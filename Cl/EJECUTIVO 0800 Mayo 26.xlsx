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29d81d6f39745/CALL/Documentos Generales/GRUPO QUEST/KENNEDY 1/REPORTES HISTORICOS/0800/2026-1 0800/"/>
    </mc:Choice>
  </mc:AlternateContent>
  <xr:revisionPtr revIDLastSave="78" documentId="8_{966736B3-D266-440B-9602-408BDB103493}" xr6:coauthVersionLast="47" xr6:coauthVersionMax="47" xr10:uidLastSave="{8F8C7ADE-2150-4900-87F4-F152F0CFAC02}"/>
  <bookViews>
    <workbookView xWindow="-120" yWindow="-120" windowWidth="29040" windowHeight="15720" activeTab="1" xr2:uid="{00000000-000D-0000-FFFF-FFFF00000000}"/>
  </bookViews>
  <sheets>
    <sheet name="info" sheetId="2" r:id="rId1"/>
    <sheet name="Tabla dinamica" sheetId="7" r:id="rId2"/>
    <sheet name="MATRICULAS" sheetId="8" r:id="rId3"/>
    <sheet name="Hoja3" sheetId="10" r:id="rId4"/>
    <sheet name="Entrantes admisiones" sheetId="6" state="hidden" r:id="rId5"/>
    <sheet name="Code" sheetId="4" state="hidden" r:id="rId6"/>
  </sheets>
  <definedNames>
    <definedName name="_xlnm._FilterDatabase" localSheetId="3" hidden="1">Hoja3!$A$1:$B$236</definedName>
    <definedName name="_xlnm._FilterDatabase" localSheetId="0" hidden="1">info!$A$1:$AV$501</definedName>
    <definedName name="_xlnm._FilterDatabase" localSheetId="1" hidden="1">'Tabla dinamica'!$A$9:$O$22</definedName>
    <definedName name="SegmentaciónDeDatos_campaña2">#N/A</definedName>
    <definedName name="SegmentaciónDeDatos_cola">#N/A</definedName>
    <definedName name="SegmentaciónDeDatos_Crm">#N/A</definedName>
    <definedName name="SegmentaciónDeDatos_Direccion2">#N/A</definedName>
    <definedName name="SegmentaciónDeDatos_fecha_real">#N/A</definedName>
    <definedName name="SegmentaciónDeDatos_fecha_real2">#N/A</definedName>
  </definedNames>
  <calcPr calcId="191029"/>
  <pivotCaches>
    <pivotCache cacheId="57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6" i="2" l="1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W7" i="7"/>
  <c r="V7" i="7"/>
  <c r="U7" i="7"/>
  <c r="T7" i="7"/>
  <c r="A41" i="2"/>
  <c r="B41" i="2"/>
  <c r="C41" i="2"/>
  <c r="D41" i="2"/>
  <c r="F41" i="2"/>
  <c r="G41" i="2"/>
  <c r="H41" i="2"/>
  <c r="A42" i="2"/>
  <c r="B42" i="2"/>
  <c r="C42" i="2"/>
  <c r="D42" i="2"/>
  <c r="F42" i="2"/>
  <c r="G42" i="2"/>
  <c r="H42" i="2"/>
  <c r="A43" i="2"/>
  <c r="B43" i="2"/>
  <c r="C43" i="2"/>
  <c r="D43" i="2"/>
  <c r="F43" i="2"/>
  <c r="G43" i="2"/>
  <c r="H43" i="2"/>
  <c r="A44" i="2"/>
  <c r="B44" i="2"/>
  <c r="C44" i="2"/>
  <c r="D44" i="2"/>
  <c r="F44" i="2"/>
  <c r="G44" i="2"/>
  <c r="H44" i="2"/>
  <c r="A45" i="2"/>
  <c r="B45" i="2"/>
  <c r="C45" i="2"/>
  <c r="D45" i="2"/>
  <c r="F45" i="2"/>
  <c r="G45" i="2"/>
  <c r="H45" i="2"/>
  <c r="A46" i="2"/>
  <c r="B46" i="2"/>
  <c r="C46" i="2"/>
  <c r="D46" i="2"/>
  <c r="F46" i="2"/>
  <c r="G46" i="2"/>
  <c r="H46" i="2"/>
  <c r="A47" i="2"/>
  <c r="B47" i="2"/>
  <c r="C47" i="2"/>
  <c r="D47" i="2"/>
  <c r="F47" i="2"/>
  <c r="G47" i="2"/>
  <c r="H47" i="2"/>
  <c r="A48" i="2"/>
  <c r="B48" i="2"/>
  <c r="C48" i="2"/>
  <c r="D48" i="2"/>
  <c r="F48" i="2"/>
  <c r="G48" i="2"/>
  <c r="H48" i="2"/>
  <c r="A49" i="2"/>
  <c r="B49" i="2"/>
  <c r="C49" i="2"/>
  <c r="D49" i="2"/>
  <c r="F49" i="2"/>
  <c r="G49" i="2"/>
  <c r="H49" i="2"/>
  <c r="A50" i="2"/>
  <c r="B50" i="2"/>
  <c r="C50" i="2"/>
  <c r="D50" i="2"/>
  <c r="F50" i="2"/>
  <c r="G50" i="2"/>
  <c r="H50" i="2"/>
  <c r="A51" i="2"/>
  <c r="B51" i="2"/>
  <c r="C51" i="2"/>
  <c r="D51" i="2"/>
  <c r="F51" i="2"/>
  <c r="G51" i="2"/>
  <c r="H51" i="2"/>
  <c r="A52" i="2"/>
  <c r="B52" i="2"/>
  <c r="C52" i="2"/>
  <c r="D52" i="2"/>
  <c r="F52" i="2"/>
  <c r="G52" i="2"/>
  <c r="H52" i="2"/>
  <c r="A53" i="2"/>
  <c r="B53" i="2"/>
  <c r="C53" i="2"/>
  <c r="D53" i="2"/>
  <c r="F53" i="2"/>
  <c r="G53" i="2"/>
  <c r="H53" i="2"/>
  <c r="A4" i="2"/>
  <c r="B4" i="2"/>
  <c r="C4" i="2"/>
  <c r="D4" i="2"/>
  <c r="F4" i="2"/>
  <c r="G4" i="2"/>
  <c r="H4" i="2"/>
  <c r="A5" i="2"/>
  <c r="B5" i="2"/>
  <c r="C5" i="2"/>
  <c r="D5" i="2"/>
  <c r="F5" i="2"/>
  <c r="G5" i="2"/>
  <c r="H5" i="2"/>
  <c r="A6" i="2"/>
  <c r="B6" i="2"/>
  <c r="C6" i="2"/>
  <c r="D6" i="2"/>
  <c r="F6" i="2"/>
  <c r="G6" i="2"/>
  <c r="H6" i="2"/>
  <c r="A7" i="2"/>
  <c r="B7" i="2"/>
  <c r="C7" i="2"/>
  <c r="D7" i="2"/>
  <c r="F7" i="2"/>
  <c r="G7" i="2"/>
  <c r="H7" i="2"/>
  <c r="A8" i="2"/>
  <c r="B8" i="2"/>
  <c r="C8" i="2"/>
  <c r="D8" i="2"/>
  <c r="F8" i="2"/>
  <c r="G8" i="2"/>
  <c r="H8" i="2"/>
  <c r="A9" i="2"/>
  <c r="B9" i="2"/>
  <c r="C9" i="2"/>
  <c r="D9" i="2"/>
  <c r="F9" i="2"/>
  <c r="G9" i="2"/>
  <c r="H9" i="2"/>
  <c r="A10" i="2"/>
  <c r="B10" i="2"/>
  <c r="C10" i="2"/>
  <c r="D10" i="2"/>
  <c r="F10" i="2"/>
  <c r="G10" i="2"/>
  <c r="H10" i="2"/>
  <c r="A11" i="2"/>
  <c r="B11" i="2"/>
  <c r="C11" i="2"/>
  <c r="D11" i="2"/>
  <c r="F11" i="2"/>
  <c r="G11" i="2"/>
  <c r="H11" i="2"/>
  <c r="A12" i="2"/>
  <c r="B12" i="2"/>
  <c r="C12" i="2"/>
  <c r="D12" i="2"/>
  <c r="F12" i="2"/>
  <c r="G12" i="2"/>
  <c r="H12" i="2"/>
  <c r="A13" i="2"/>
  <c r="B13" i="2"/>
  <c r="C13" i="2"/>
  <c r="D13" i="2"/>
  <c r="F13" i="2"/>
  <c r="G13" i="2"/>
  <c r="H13" i="2"/>
  <c r="A14" i="2"/>
  <c r="B14" i="2"/>
  <c r="C14" i="2"/>
  <c r="D14" i="2"/>
  <c r="F14" i="2"/>
  <c r="G14" i="2"/>
  <c r="H14" i="2"/>
  <c r="A15" i="2"/>
  <c r="B15" i="2"/>
  <c r="C15" i="2"/>
  <c r="D15" i="2"/>
  <c r="F15" i="2"/>
  <c r="G15" i="2"/>
  <c r="H15" i="2"/>
  <c r="A16" i="2"/>
  <c r="B16" i="2"/>
  <c r="C16" i="2"/>
  <c r="D16" i="2"/>
  <c r="F16" i="2"/>
  <c r="G16" i="2"/>
  <c r="H16" i="2"/>
  <c r="A17" i="2"/>
  <c r="B17" i="2"/>
  <c r="C17" i="2"/>
  <c r="D17" i="2"/>
  <c r="F17" i="2"/>
  <c r="G17" i="2"/>
  <c r="H17" i="2"/>
  <c r="A18" i="2"/>
  <c r="B18" i="2"/>
  <c r="C18" i="2"/>
  <c r="D18" i="2"/>
  <c r="F18" i="2"/>
  <c r="G18" i="2"/>
  <c r="H18" i="2"/>
  <c r="A19" i="2"/>
  <c r="B19" i="2"/>
  <c r="C19" i="2"/>
  <c r="D19" i="2"/>
  <c r="F19" i="2"/>
  <c r="G19" i="2"/>
  <c r="H19" i="2"/>
  <c r="A20" i="2"/>
  <c r="B20" i="2"/>
  <c r="C20" i="2"/>
  <c r="D20" i="2"/>
  <c r="F20" i="2"/>
  <c r="G20" i="2"/>
  <c r="H20" i="2"/>
  <c r="A21" i="2"/>
  <c r="B21" i="2"/>
  <c r="C21" i="2"/>
  <c r="D21" i="2"/>
  <c r="F21" i="2"/>
  <c r="G21" i="2"/>
  <c r="H21" i="2"/>
  <c r="A22" i="2"/>
  <c r="B22" i="2"/>
  <c r="C22" i="2"/>
  <c r="D22" i="2"/>
  <c r="F22" i="2"/>
  <c r="G22" i="2"/>
  <c r="H22" i="2"/>
  <c r="A23" i="2"/>
  <c r="B23" i="2"/>
  <c r="C23" i="2"/>
  <c r="D23" i="2"/>
  <c r="F23" i="2"/>
  <c r="G23" i="2"/>
  <c r="H23" i="2"/>
  <c r="A24" i="2"/>
  <c r="B24" i="2"/>
  <c r="C24" i="2"/>
  <c r="D24" i="2"/>
  <c r="F24" i="2"/>
  <c r="G24" i="2"/>
  <c r="H24" i="2"/>
  <c r="A25" i="2"/>
  <c r="B25" i="2"/>
  <c r="C25" i="2"/>
  <c r="D25" i="2"/>
  <c r="F25" i="2"/>
  <c r="G25" i="2"/>
  <c r="H25" i="2"/>
  <c r="A26" i="2"/>
  <c r="B26" i="2"/>
  <c r="C26" i="2"/>
  <c r="D26" i="2"/>
  <c r="F26" i="2"/>
  <c r="G26" i="2"/>
  <c r="H26" i="2"/>
  <c r="A27" i="2"/>
  <c r="B27" i="2"/>
  <c r="C27" i="2"/>
  <c r="D27" i="2"/>
  <c r="F27" i="2"/>
  <c r="G27" i="2"/>
  <c r="H27" i="2"/>
  <c r="A28" i="2"/>
  <c r="B28" i="2"/>
  <c r="C28" i="2"/>
  <c r="D28" i="2"/>
  <c r="F28" i="2"/>
  <c r="G28" i="2"/>
  <c r="H28" i="2"/>
  <c r="A29" i="2"/>
  <c r="B29" i="2"/>
  <c r="C29" i="2"/>
  <c r="D29" i="2"/>
  <c r="F29" i="2"/>
  <c r="G29" i="2"/>
  <c r="H29" i="2"/>
  <c r="A30" i="2"/>
  <c r="B30" i="2"/>
  <c r="C30" i="2"/>
  <c r="D30" i="2"/>
  <c r="F30" i="2"/>
  <c r="G30" i="2"/>
  <c r="H30" i="2"/>
  <c r="A331" i="2"/>
  <c r="B331" i="2"/>
  <c r="C331" i="2"/>
  <c r="D331" i="2"/>
  <c r="F331" i="2"/>
  <c r="G331" i="2"/>
  <c r="H331" i="2"/>
  <c r="A169" i="2"/>
  <c r="B169" i="2"/>
  <c r="C169" i="2"/>
  <c r="D169" i="2"/>
  <c r="F169" i="2"/>
  <c r="G169" i="2"/>
  <c r="H169" i="2"/>
  <c r="S7" i="7"/>
  <c r="R7" i="7"/>
  <c r="Q7" i="7"/>
  <c r="P7" i="7"/>
  <c r="O7" i="7"/>
  <c r="N7" i="7"/>
  <c r="M7" i="7"/>
  <c r="L7" i="7"/>
  <c r="K7" i="7"/>
  <c r="J7" i="7"/>
  <c r="I7" i="7"/>
  <c r="H7" i="7"/>
  <c r="A105" i="2"/>
  <c r="B105" i="2"/>
  <c r="C105" i="2"/>
  <c r="D105" i="2"/>
  <c r="F105" i="2"/>
  <c r="G105" i="2"/>
  <c r="H105" i="2"/>
  <c r="A106" i="2"/>
  <c r="B106" i="2"/>
  <c r="C106" i="2"/>
  <c r="D106" i="2"/>
  <c r="F106" i="2"/>
  <c r="G106" i="2"/>
  <c r="H106" i="2"/>
  <c r="A107" i="2"/>
  <c r="B107" i="2"/>
  <c r="C107" i="2"/>
  <c r="D107" i="2"/>
  <c r="F107" i="2"/>
  <c r="G107" i="2"/>
  <c r="H107" i="2"/>
  <c r="A108" i="2"/>
  <c r="B108" i="2"/>
  <c r="C108" i="2"/>
  <c r="D108" i="2"/>
  <c r="F108" i="2"/>
  <c r="G108" i="2"/>
  <c r="H108" i="2"/>
  <c r="A109" i="2"/>
  <c r="B109" i="2"/>
  <c r="C109" i="2"/>
  <c r="D109" i="2"/>
  <c r="F109" i="2"/>
  <c r="G109" i="2"/>
  <c r="H109" i="2"/>
  <c r="A110" i="2"/>
  <c r="B110" i="2"/>
  <c r="C110" i="2"/>
  <c r="D110" i="2"/>
  <c r="F110" i="2"/>
  <c r="G110" i="2"/>
  <c r="H110" i="2"/>
  <c r="A3" i="2"/>
  <c r="B3" i="2"/>
  <c r="C3" i="2"/>
  <c r="D3" i="2"/>
  <c r="F3" i="2"/>
  <c r="G3" i="2"/>
  <c r="H3" i="2"/>
  <c r="A111" i="2"/>
  <c r="B111" i="2"/>
  <c r="C111" i="2"/>
  <c r="D111" i="2"/>
  <c r="F111" i="2"/>
  <c r="G111" i="2"/>
  <c r="H111" i="2"/>
  <c r="A112" i="2"/>
  <c r="B112" i="2"/>
  <c r="C112" i="2"/>
  <c r="D112" i="2"/>
  <c r="F112" i="2"/>
  <c r="G112" i="2"/>
  <c r="H112" i="2"/>
  <c r="A113" i="2"/>
  <c r="B113" i="2"/>
  <c r="C113" i="2"/>
  <c r="D113" i="2"/>
  <c r="F113" i="2"/>
  <c r="G113" i="2"/>
  <c r="H113" i="2"/>
  <c r="A114" i="2"/>
  <c r="B114" i="2"/>
  <c r="C114" i="2"/>
  <c r="D114" i="2"/>
  <c r="F114" i="2"/>
  <c r="G114" i="2"/>
  <c r="H114" i="2"/>
  <c r="A115" i="2"/>
  <c r="B115" i="2"/>
  <c r="C115" i="2"/>
  <c r="D115" i="2"/>
  <c r="F115" i="2"/>
  <c r="G115" i="2"/>
  <c r="H115" i="2"/>
  <c r="A116" i="2"/>
  <c r="B116" i="2"/>
  <c r="C116" i="2"/>
  <c r="D116" i="2"/>
  <c r="F116" i="2"/>
  <c r="G116" i="2"/>
  <c r="H116" i="2"/>
  <c r="A117" i="2"/>
  <c r="B117" i="2"/>
  <c r="C117" i="2"/>
  <c r="D117" i="2"/>
  <c r="F117" i="2"/>
  <c r="G117" i="2"/>
  <c r="H117" i="2"/>
  <c r="A118" i="2"/>
  <c r="B118" i="2"/>
  <c r="C118" i="2"/>
  <c r="D118" i="2"/>
  <c r="F118" i="2"/>
  <c r="G118" i="2"/>
  <c r="H118" i="2"/>
  <c r="A119" i="2"/>
  <c r="B119" i="2"/>
  <c r="C119" i="2"/>
  <c r="D119" i="2"/>
  <c r="F119" i="2"/>
  <c r="G119" i="2"/>
  <c r="H119" i="2"/>
  <c r="A120" i="2"/>
  <c r="B120" i="2"/>
  <c r="C120" i="2"/>
  <c r="D120" i="2"/>
  <c r="F120" i="2"/>
  <c r="G120" i="2"/>
  <c r="H120" i="2"/>
  <c r="A84" i="2"/>
  <c r="B84" i="2"/>
  <c r="C84" i="2"/>
  <c r="D84" i="2"/>
  <c r="F84" i="2"/>
  <c r="G84" i="2"/>
  <c r="H84" i="2"/>
  <c r="A85" i="2"/>
  <c r="B85" i="2"/>
  <c r="C85" i="2"/>
  <c r="D85" i="2"/>
  <c r="F85" i="2"/>
  <c r="G85" i="2"/>
  <c r="H85" i="2"/>
  <c r="A86" i="2"/>
  <c r="B86" i="2"/>
  <c r="C86" i="2"/>
  <c r="D86" i="2"/>
  <c r="F86" i="2"/>
  <c r="G86" i="2"/>
  <c r="H86" i="2"/>
  <c r="A87" i="2"/>
  <c r="B87" i="2"/>
  <c r="C87" i="2"/>
  <c r="D87" i="2"/>
  <c r="F87" i="2"/>
  <c r="G87" i="2"/>
  <c r="H87" i="2"/>
  <c r="A88" i="2"/>
  <c r="B88" i="2"/>
  <c r="C88" i="2"/>
  <c r="D88" i="2"/>
  <c r="F88" i="2"/>
  <c r="G88" i="2"/>
  <c r="H88" i="2"/>
  <c r="A89" i="2"/>
  <c r="B89" i="2"/>
  <c r="C89" i="2"/>
  <c r="D89" i="2"/>
  <c r="F89" i="2"/>
  <c r="G89" i="2"/>
  <c r="H89" i="2"/>
  <c r="A90" i="2"/>
  <c r="B90" i="2"/>
  <c r="C90" i="2"/>
  <c r="D90" i="2"/>
  <c r="F90" i="2"/>
  <c r="G90" i="2"/>
  <c r="H90" i="2"/>
  <c r="A91" i="2"/>
  <c r="B91" i="2"/>
  <c r="C91" i="2"/>
  <c r="D91" i="2"/>
  <c r="F91" i="2"/>
  <c r="G91" i="2"/>
  <c r="H91" i="2"/>
  <c r="A92" i="2"/>
  <c r="B92" i="2"/>
  <c r="C92" i="2"/>
  <c r="D92" i="2"/>
  <c r="F92" i="2"/>
  <c r="G92" i="2"/>
  <c r="H92" i="2"/>
  <c r="A93" i="2"/>
  <c r="B93" i="2"/>
  <c r="C93" i="2"/>
  <c r="D93" i="2"/>
  <c r="F93" i="2"/>
  <c r="G93" i="2"/>
  <c r="H93" i="2"/>
  <c r="A94" i="2"/>
  <c r="B94" i="2"/>
  <c r="C94" i="2"/>
  <c r="D94" i="2"/>
  <c r="F94" i="2"/>
  <c r="G94" i="2"/>
  <c r="H94" i="2"/>
  <c r="A95" i="2"/>
  <c r="B95" i="2"/>
  <c r="C95" i="2"/>
  <c r="D95" i="2"/>
  <c r="F95" i="2"/>
  <c r="G95" i="2"/>
  <c r="H95" i="2"/>
  <c r="A96" i="2"/>
  <c r="B96" i="2"/>
  <c r="C96" i="2"/>
  <c r="D96" i="2"/>
  <c r="F96" i="2"/>
  <c r="G96" i="2"/>
  <c r="H96" i="2"/>
  <c r="A97" i="2"/>
  <c r="B97" i="2"/>
  <c r="C97" i="2"/>
  <c r="D97" i="2"/>
  <c r="F97" i="2"/>
  <c r="G97" i="2"/>
  <c r="H97" i="2"/>
  <c r="A98" i="2"/>
  <c r="B98" i="2"/>
  <c r="C98" i="2"/>
  <c r="D98" i="2"/>
  <c r="F98" i="2"/>
  <c r="G98" i="2"/>
  <c r="H98" i="2"/>
  <c r="A99" i="2"/>
  <c r="B99" i="2"/>
  <c r="C99" i="2"/>
  <c r="D99" i="2"/>
  <c r="F99" i="2"/>
  <c r="G99" i="2"/>
  <c r="H99" i="2"/>
  <c r="A100" i="2"/>
  <c r="B100" i="2"/>
  <c r="C100" i="2"/>
  <c r="D100" i="2"/>
  <c r="F100" i="2"/>
  <c r="G100" i="2"/>
  <c r="H100" i="2"/>
  <c r="A101" i="2"/>
  <c r="B101" i="2"/>
  <c r="C101" i="2"/>
  <c r="D101" i="2"/>
  <c r="F101" i="2"/>
  <c r="G101" i="2"/>
  <c r="H101" i="2"/>
  <c r="A102" i="2"/>
  <c r="B102" i="2"/>
  <c r="C102" i="2"/>
  <c r="D102" i="2"/>
  <c r="F102" i="2"/>
  <c r="G102" i="2"/>
  <c r="H102" i="2"/>
  <c r="A54" i="2"/>
  <c r="B54" i="2"/>
  <c r="C54" i="2"/>
  <c r="D54" i="2"/>
  <c r="F54" i="2"/>
  <c r="G54" i="2"/>
  <c r="H54" i="2"/>
  <c r="A55" i="2"/>
  <c r="B55" i="2"/>
  <c r="C55" i="2"/>
  <c r="D55" i="2"/>
  <c r="F55" i="2"/>
  <c r="G55" i="2"/>
  <c r="H55" i="2"/>
  <c r="A56" i="2"/>
  <c r="B56" i="2"/>
  <c r="C56" i="2"/>
  <c r="D56" i="2"/>
  <c r="F56" i="2"/>
  <c r="G56" i="2"/>
  <c r="H56" i="2"/>
  <c r="A57" i="2"/>
  <c r="B57" i="2"/>
  <c r="C57" i="2"/>
  <c r="D57" i="2"/>
  <c r="F57" i="2"/>
  <c r="G57" i="2"/>
  <c r="H57" i="2"/>
  <c r="A58" i="2"/>
  <c r="B58" i="2"/>
  <c r="C58" i="2"/>
  <c r="D58" i="2"/>
  <c r="F58" i="2"/>
  <c r="G58" i="2"/>
  <c r="H58" i="2"/>
  <c r="A59" i="2"/>
  <c r="B59" i="2"/>
  <c r="C59" i="2"/>
  <c r="D59" i="2"/>
  <c r="F59" i="2"/>
  <c r="G59" i="2"/>
  <c r="H59" i="2"/>
  <c r="A60" i="2"/>
  <c r="B60" i="2"/>
  <c r="C60" i="2"/>
  <c r="D60" i="2"/>
  <c r="F60" i="2"/>
  <c r="G60" i="2"/>
  <c r="H60" i="2"/>
  <c r="A61" i="2"/>
  <c r="B61" i="2"/>
  <c r="C61" i="2"/>
  <c r="D61" i="2"/>
  <c r="F61" i="2"/>
  <c r="G61" i="2"/>
  <c r="H61" i="2"/>
  <c r="A62" i="2"/>
  <c r="B62" i="2"/>
  <c r="C62" i="2"/>
  <c r="D62" i="2"/>
  <c r="F62" i="2"/>
  <c r="G62" i="2"/>
  <c r="H62" i="2"/>
  <c r="A63" i="2"/>
  <c r="B63" i="2"/>
  <c r="C63" i="2"/>
  <c r="D63" i="2"/>
  <c r="F63" i="2"/>
  <c r="G63" i="2"/>
  <c r="H63" i="2"/>
  <c r="A64" i="2"/>
  <c r="B64" i="2"/>
  <c r="C64" i="2"/>
  <c r="D64" i="2"/>
  <c r="F64" i="2"/>
  <c r="G64" i="2"/>
  <c r="H64" i="2"/>
  <c r="A65" i="2"/>
  <c r="B65" i="2"/>
  <c r="C65" i="2"/>
  <c r="D65" i="2"/>
  <c r="F65" i="2"/>
  <c r="G65" i="2"/>
  <c r="H65" i="2"/>
  <c r="A66" i="2"/>
  <c r="B66" i="2"/>
  <c r="C66" i="2"/>
  <c r="D66" i="2"/>
  <c r="F66" i="2"/>
  <c r="G66" i="2"/>
  <c r="H66" i="2"/>
  <c r="A67" i="2"/>
  <c r="B67" i="2"/>
  <c r="C67" i="2"/>
  <c r="D67" i="2"/>
  <c r="F67" i="2"/>
  <c r="G67" i="2"/>
  <c r="H67" i="2"/>
  <c r="A68" i="2"/>
  <c r="B68" i="2"/>
  <c r="C68" i="2"/>
  <c r="D68" i="2"/>
  <c r="F68" i="2"/>
  <c r="G68" i="2"/>
  <c r="H68" i="2"/>
  <c r="A69" i="2"/>
  <c r="B69" i="2"/>
  <c r="C69" i="2"/>
  <c r="D69" i="2"/>
  <c r="F69" i="2"/>
  <c r="G69" i="2"/>
  <c r="H69" i="2"/>
  <c r="A70" i="2"/>
  <c r="B70" i="2"/>
  <c r="C70" i="2"/>
  <c r="D70" i="2"/>
  <c r="F70" i="2"/>
  <c r="G70" i="2"/>
  <c r="H70" i="2"/>
  <c r="A71" i="2"/>
  <c r="B71" i="2"/>
  <c r="C71" i="2"/>
  <c r="D71" i="2"/>
  <c r="F71" i="2"/>
  <c r="G71" i="2"/>
  <c r="H71" i="2"/>
  <c r="A72" i="2"/>
  <c r="B72" i="2"/>
  <c r="C72" i="2"/>
  <c r="D72" i="2"/>
  <c r="F72" i="2"/>
  <c r="G72" i="2"/>
  <c r="H72" i="2"/>
  <c r="A73" i="2"/>
  <c r="B73" i="2"/>
  <c r="C73" i="2"/>
  <c r="D73" i="2"/>
  <c r="F73" i="2"/>
  <c r="G73" i="2"/>
  <c r="H73" i="2"/>
  <c r="A74" i="2"/>
  <c r="B74" i="2"/>
  <c r="C74" i="2"/>
  <c r="D74" i="2"/>
  <c r="F74" i="2"/>
  <c r="G74" i="2"/>
  <c r="H74" i="2"/>
  <c r="A75" i="2"/>
  <c r="B75" i="2"/>
  <c r="C75" i="2"/>
  <c r="D75" i="2"/>
  <c r="F75" i="2"/>
  <c r="G75" i="2"/>
  <c r="H75" i="2"/>
  <c r="A76" i="2"/>
  <c r="B76" i="2"/>
  <c r="C76" i="2"/>
  <c r="D76" i="2"/>
  <c r="F76" i="2"/>
  <c r="G76" i="2"/>
  <c r="H76" i="2"/>
  <c r="A77" i="2"/>
  <c r="B77" i="2"/>
  <c r="C77" i="2"/>
  <c r="D77" i="2"/>
  <c r="F77" i="2"/>
  <c r="G77" i="2"/>
  <c r="H77" i="2"/>
  <c r="A78" i="2"/>
  <c r="B78" i="2"/>
  <c r="C78" i="2"/>
  <c r="D78" i="2"/>
  <c r="F78" i="2"/>
  <c r="G78" i="2"/>
  <c r="H78" i="2"/>
  <c r="A79" i="2"/>
  <c r="B79" i="2"/>
  <c r="C79" i="2"/>
  <c r="D79" i="2"/>
  <c r="F79" i="2"/>
  <c r="G79" i="2"/>
  <c r="H79" i="2"/>
  <c r="A80" i="2"/>
  <c r="B80" i="2"/>
  <c r="C80" i="2"/>
  <c r="D80" i="2"/>
  <c r="F80" i="2"/>
  <c r="G80" i="2"/>
  <c r="H80" i="2"/>
  <c r="A81" i="2"/>
  <c r="B81" i="2"/>
  <c r="C81" i="2"/>
  <c r="D81" i="2"/>
  <c r="F81" i="2"/>
  <c r="G81" i="2"/>
  <c r="H81" i="2"/>
  <c r="A82" i="2"/>
  <c r="B82" i="2"/>
  <c r="C82" i="2"/>
  <c r="D82" i="2"/>
  <c r="F82" i="2"/>
  <c r="G82" i="2"/>
  <c r="H82" i="2"/>
  <c r="A83" i="2"/>
  <c r="B83" i="2"/>
  <c r="C83" i="2"/>
  <c r="D83" i="2"/>
  <c r="F83" i="2"/>
  <c r="G83" i="2"/>
  <c r="H83" i="2"/>
  <c r="A31" i="2"/>
  <c r="B31" i="2"/>
  <c r="C31" i="2"/>
  <c r="D31" i="2"/>
  <c r="F31" i="2"/>
  <c r="G31" i="2"/>
  <c r="H31" i="2"/>
  <c r="A32" i="2"/>
  <c r="B32" i="2"/>
  <c r="C32" i="2"/>
  <c r="D32" i="2"/>
  <c r="F32" i="2"/>
  <c r="G32" i="2"/>
  <c r="H32" i="2"/>
  <c r="A33" i="2"/>
  <c r="B33" i="2"/>
  <c r="C33" i="2"/>
  <c r="D33" i="2"/>
  <c r="F33" i="2"/>
  <c r="G33" i="2"/>
  <c r="H33" i="2"/>
  <c r="A34" i="2"/>
  <c r="B34" i="2"/>
  <c r="C34" i="2"/>
  <c r="D34" i="2"/>
  <c r="F34" i="2"/>
  <c r="G34" i="2"/>
  <c r="H34" i="2"/>
  <c r="A35" i="2"/>
  <c r="B35" i="2"/>
  <c r="C35" i="2"/>
  <c r="D35" i="2"/>
  <c r="F35" i="2"/>
  <c r="G35" i="2"/>
  <c r="H35" i="2"/>
  <c r="A36" i="2"/>
  <c r="B36" i="2"/>
  <c r="C36" i="2"/>
  <c r="D36" i="2"/>
  <c r="F36" i="2"/>
  <c r="G36" i="2"/>
  <c r="H36" i="2"/>
  <c r="A37" i="2"/>
  <c r="B37" i="2"/>
  <c r="C37" i="2"/>
  <c r="D37" i="2"/>
  <c r="F37" i="2"/>
  <c r="G37" i="2"/>
  <c r="H37" i="2"/>
  <c r="A38" i="2"/>
  <c r="B38" i="2"/>
  <c r="C38" i="2"/>
  <c r="D38" i="2"/>
  <c r="F38" i="2"/>
  <c r="G38" i="2"/>
  <c r="H38" i="2"/>
  <c r="A39" i="2"/>
  <c r="B39" i="2"/>
  <c r="C39" i="2"/>
  <c r="D39" i="2"/>
  <c r="F39" i="2"/>
  <c r="G39" i="2"/>
  <c r="H39" i="2"/>
  <c r="A40" i="2"/>
  <c r="B40" i="2"/>
  <c r="C40" i="2"/>
  <c r="D40" i="2"/>
  <c r="F40" i="2"/>
  <c r="G40" i="2"/>
  <c r="H40" i="2"/>
  <c r="B27" i="7"/>
  <c r="B29" i="7"/>
  <c r="B34" i="7"/>
  <c r="B35" i="7"/>
  <c r="B24" i="7"/>
  <c r="B26" i="7"/>
  <c r="B28" i="7"/>
  <c r="B30" i="7"/>
  <c r="B31" i="7"/>
  <c r="B32" i="7"/>
  <c r="B33" i="7"/>
  <c r="B25" i="7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69" i="2"/>
  <c r="I331" i="2"/>
  <c r="B36" i="7"/>
  <c r="A220" i="2"/>
  <c r="B220" i="2"/>
  <c r="I220" i="2" s="1"/>
  <c r="C220" i="2"/>
  <c r="D220" i="2"/>
  <c r="F220" i="2"/>
  <c r="G220" i="2"/>
  <c r="H220" i="2"/>
  <c r="A221" i="2"/>
  <c r="B221" i="2"/>
  <c r="I221" i="2" s="1"/>
  <c r="C221" i="2"/>
  <c r="D221" i="2"/>
  <c r="F221" i="2"/>
  <c r="G221" i="2"/>
  <c r="H221" i="2"/>
  <c r="A222" i="2"/>
  <c r="B222" i="2"/>
  <c r="I222" i="2" s="1"/>
  <c r="C222" i="2"/>
  <c r="D222" i="2"/>
  <c r="F222" i="2"/>
  <c r="G222" i="2"/>
  <c r="H222" i="2"/>
  <c r="A223" i="2"/>
  <c r="B223" i="2"/>
  <c r="I223" i="2" s="1"/>
  <c r="C223" i="2"/>
  <c r="D223" i="2"/>
  <c r="F223" i="2"/>
  <c r="G223" i="2"/>
  <c r="H223" i="2"/>
  <c r="A224" i="2"/>
  <c r="B224" i="2"/>
  <c r="I224" i="2" s="1"/>
  <c r="C224" i="2"/>
  <c r="D224" i="2"/>
  <c r="F224" i="2"/>
  <c r="G224" i="2"/>
  <c r="H224" i="2"/>
  <c r="A225" i="2"/>
  <c r="B225" i="2"/>
  <c r="I225" i="2" s="1"/>
  <c r="C225" i="2"/>
  <c r="D225" i="2"/>
  <c r="F225" i="2"/>
  <c r="G225" i="2"/>
  <c r="H225" i="2"/>
  <c r="A226" i="2"/>
  <c r="B226" i="2"/>
  <c r="I226" i="2" s="1"/>
  <c r="C226" i="2"/>
  <c r="D226" i="2"/>
  <c r="F226" i="2"/>
  <c r="G226" i="2"/>
  <c r="H226" i="2"/>
  <c r="A227" i="2"/>
  <c r="B227" i="2"/>
  <c r="I227" i="2" s="1"/>
  <c r="C227" i="2"/>
  <c r="D227" i="2"/>
  <c r="F227" i="2"/>
  <c r="G227" i="2"/>
  <c r="H227" i="2"/>
  <c r="A228" i="2"/>
  <c r="B228" i="2"/>
  <c r="I228" i="2" s="1"/>
  <c r="C228" i="2"/>
  <c r="D228" i="2"/>
  <c r="F228" i="2"/>
  <c r="G228" i="2"/>
  <c r="H228" i="2"/>
  <c r="A229" i="2"/>
  <c r="B229" i="2"/>
  <c r="I229" i="2" s="1"/>
  <c r="C229" i="2"/>
  <c r="D229" i="2"/>
  <c r="F229" i="2"/>
  <c r="G229" i="2"/>
  <c r="H229" i="2"/>
  <c r="A230" i="2"/>
  <c r="B230" i="2"/>
  <c r="I230" i="2" s="1"/>
  <c r="C230" i="2"/>
  <c r="D230" i="2"/>
  <c r="F230" i="2"/>
  <c r="G230" i="2"/>
  <c r="H230" i="2"/>
  <c r="A231" i="2"/>
  <c r="B231" i="2"/>
  <c r="I231" i="2" s="1"/>
  <c r="C231" i="2"/>
  <c r="D231" i="2"/>
  <c r="F231" i="2"/>
  <c r="G231" i="2"/>
  <c r="H231" i="2"/>
  <c r="A232" i="2"/>
  <c r="B232" i="2"/>
  <c r="I232" i="2" s="1"/>
  <c r="C232" i="2"/>
  <c r="D232" i="2"/>
  <c r="F232" i="2"/>
  <c r="G232" i="2"/>
  <c r="H232" i="2"/>
  <c r="A233" i="2"/>
  <c r="B233" i="2"/>
  <c r="I233" i="2" s="1"/>
  <c r="C233" i="2"/>
  <c r="D233" i="2"/>
  <c r="F233" i="2"/>
  <c r="G233" i="2"/>
  <c r="H233" i="2"/>
  <c r="A234" i="2"/>
  <c r="B234" i="2"/>
  <c r="I234" i="2" s="1"/>
  <c r="C234" i="2"/>
  <c r="D234" i="2"/>
  <c r="F234" i="2"/>
  <c r="G234" i="2"/>
  <c r="H234" i="2"/>
  <c r="A235" i="2"/>
  <c r="B235" i="2"/>
  <c r="I235" i="2" s="1"/>
  <c r="C235" i="2"/>
  <c r="D235" i="2"/>
  <c r="F235" i="2"/>
  <c r="G235" i="2"/>
  <c r="H235" i="2"/>
  <c r="A236" i="2"/>
  <c r="B236" i="2"/>
  <c r="I236" i="2" s="1"/>
  <c r="C236" i="2"/>
  <c r="D236" i="2"/>
  <c r="F236" i="2"/>
  <c r="G236" i="2"/>
  <c r="H236" i="2"/>
  <c r="A237" i="2"/>
  <c r="B237" i="2"/>
  <c r="I237" i="2" s="1"/>
  <c r="C237" i="2"/>
  <c r="D237" i="2"/>
  <c r="F237" i="2"/>
  <c r="G237" i="2"/>
  <c r="H237" i="2"/>
  <c r="A238" i="2"/>
  <c r="B238" i="2"/>
  <c r="I238" i="2" s="1"/>
  <c r="C238" i="2"/>
  <c r="D238" i="2"/>
  <c r="F238" i="2"/>
  <c r="G238" i="2"/>
  <c r="H238" i="2"/>
  <c r="A239" i="2"/>
  <c r="B239" i="2"/>
  <c r="I239" i="2" s="1"/>
  <c r="C239" i="2"/>
  <c r="D239" i="2"/>
  <c r="F239" i="2"/>
  <c r="G239" i="2"/>
  <c r="H239" i="2"/>
  <c r="A240" i="2"/>
  <c r="B240" i="2"/>
  <c r="I240" i="2" s="1"/>
  <c r="C240" i="2"/>
  <c r="D240" i="2"/>
  <c r="F240" i="2"/>
  <c r="G240" i="2"/>
  <c r="H240" i="2"/>
  <c r="A241" i="2"/>
  <c r="B241" i="2"/>
  <c r="I241" i="2" s="1"/>
  <c r="C241" i="2"/>
  <c r="D241" i="2"/>
  <c r="F241" i="2"/>
  <c r="G241" i="2"/>
  <c r="H241" i="2"/>
  <c r="A242" i="2"/>
  <c r="B242" i="2"/>
  <c r="I242" i="2" s="1"/>
  <c r="C242" i="2"/>
  <c r="D242" i="2"/>
  <c r="F242" i="2"/>
  <c r="G242" i="2"/>
  <c r="H242" i="2"/>
  <c r="A243" i="2"/>
  <c r="B243" i="2"/>
  <c r="I243" i="2" s="1"/>
  <c r="C243" i="2"/>
  <c r="D243" i="2"/>
  <c r="F243" i="2"/>
  <c r="G243" i="2"/>
  <c r="H243" i="2"/>
  <c r="A244" i="2"/>
  <c r="B244" i="2"/>
  <c r="I244" i="2" s="1"/>
  <c r="C244" i="2"/>
  <c r="D244" i="2"/>
  <c r="F244" i="2"/>
  <c r="G244" i="2"/>
  <c r="H244" i="2"/>
  <c r="A245" i="2"/>
  <c r="B245" i="2"/>
  <c r="I245" i="2" s="1"/>
  <c r="C245" i="2"/>
  <c r="D245" i="2"/>
  <c r="F245" i="2"/>
  <c r="G245" i="2"/>
  <c r="H245" i="2"/>
  <c r="A246" i="2"/>
  <c r="B246" i="2"/>
  <c r="I246" i="2" s="1"/>
  <c r="C246" i="2"/>
  <c r="D246" i="2"/>
  <c r="F246" i="2"/>
  <c r="G246" i="2"/>
  <c r="H246" i="2"/>
  <c r="A247" i="2"/>
  <c r="B247" i="2"/>
  <c r="I247" i="2" s="1"/>
  <c r="C247" i="2"/>
  <c r="D247" i="2"/>
  <c r="F247" i="2"/>
  <c r="G247" i="2"/>
  <c r="H247" i="2"/>
  <c r="A198" i="2"/>
  <c r="B198" i="2"/>
  <c r="I198" i="2" s="1"/>
  <c r="C198" i="2"/>
  <c r="D198" i="2"/>
  <c r="F198" i="2"/>
  <c r="G198" i="2"/>
  <c r="H198" i="2"/>
  <c r="A199" i="2"/>
  <c r="B199" i="2"/>
  <c r="I199" i="2" s="1"/>
  <c r="C199" i="2"/>
  <c r="D199" i="2"/>
  <c r="F199" i="2"/>
  <c r="G199" i="2"/>
  <c r="H199" i="2"/>
  <c r="A200" i="2"/>
  <c r="B200" i="2"/>
  <c r="I200" i="2" s="1"/>
  <c r="C200" i="2"/>
  <c r="D200" i="2"/>
  <c r="F200" i="2"/>
  <c r="G200" i="2"/>
  <c r="H200" i="2"/>
  <c r="A201" i="2"/>
  <c r="B201" i="2"/>
  <c r="I201" i="2" s="1"/>
  <c r="C201" i="2"/>
  <c r="D201" i="2"/>
  <c r="F201" i="2"/>
  <c r="G201" i="2"/>
  <c r="H201" i="2"/>
  <c r="A202" i="2"/>
  <c r="B202" i="2"/>
  <c r="I202" i="2" s="1"/>
  <c r="C202" i="2"/>
  <c r="D202" i="2"/>
  <c r="F202" i="2"/>
  <c r="G202" i="2"/>
  <c r="H202" i="2"/>
  <c r="A203" i="2"/>
  <c r="B203" i="2"/>
  <c r="I203" i="2" s="1"/>
  <c r="C203" i="2"/>
  <c r="D203" i="2"/>
  <c r="F203" i="2"/>
  <c r="G203" i="2"/>
  <c r="H203" i="2"/>
  <c r="A204" i="2"/>
  <c r="B204" i="2"/>
  <c r="I204" i="2" s="1"/>
  <c r="C204" i="2"/>
  <c r="D204" i="2"/>
  <c r="F204" i="2"/>
  <c r="G204" i="2"/>
  <c r="H204" i="2"/>
  <c r="A205" i="2"/>
  <c r="B205" i="2"/>
  <c r="I205" i="2" s="1"/>
  <c r="C205" i="2"/>
  <c r="D205" i="2"/>
  <c r="F205" i="2"/>
  <c r="G205" i="2"/>
  <c r="H205" i="2"/>
  <c r="A206" i="2"/>
  <c r="B206" i="2"/>
  <c r="I206" i="2" s="1"/>
  <c r="C206" i="2"/>
  <c r="D206" i="2"/>
  <c r="F206" i="2"/>
  <c r="G206" i="2"/>
  <c r="H206" i="2"/>
  <c r="A207" i="2"/>
  <c r="B207" i="2"/>
  <c r="I207" i="2" s="1"/>
  <c r="C207" i="2"/>
  <c r="D207" i="2"/>
  <c r="F207" i="2"/>
  <c r="G207" i="2"/>
  <c r="H207" i="2"/>
  <c r="A208" i="2"/>
  <c r="B208" i="2"/>
  <c r="I208" i="2" s="1"/>
  <c r="C208" i="2"/>
  <c r="D208" i="2"/>
  <c r="F208" i="2"/>
  <c r="G208" i="2"/>
  <c r="H208" i="2"/>
  <c r="A209" i="2"/>
  <c r="B209" i="2"/>
  <c r="I209" i="2" s="1"/>
  <c r="C209" i="2"/>
  <c r="D209" i="2"/>
  <c r="F209" i="2"/>
  <c r="G209" i="2"/>
  <c r="H209" i="2"/>
  <c r="A210" i="2"/>
  <c r="B210" i="2"/>
  <c r="I210" i="2" s="1"/>
  <c r="C210" i="2"/>
  <c r="D210" i="2"/>
  <c r="F210" i="2"/>
  <c r="G210" i="2"/>
  <c r="H210" i="2"/>
  <c r="A211" i="2"/>
  <c r="B211" i="2"/>
  <c r="I211" i="2" s="1"/>
  <c r="C211" i="2"/>
  <c r="D211" i="2"/>
  <c r="F211" i="2"/>
  <c r="G211" i="2"/>
  <c r="H211" i="2"/>
  <c r="A212" i="2"/>
  <c r="B212" i="2"/>
  <c r="I212" i="2" s="1"/>
  <c r="C212" i="2"/>
  <c r="D212" i="2"/>
  <c r="F212" i="2"/>
  <c r="G212" i="2"/>
  <c r="H212" i="2"/>
  <c r="A213" i="2"/>
  <c r="B213" i="2"/>
  <c r="I213" i="2" s="1"/>
  <c r="C213" i="2"/>
  <c r="D213" i="2"/>
  <c r="F213" i="2"/>
  <c r="G213" i="2"/>
  <c r="H213" i="2"/>
  <c r="A214" i="2"/>
  <c r="B214" i="2"/>
  <c r="I214" i="2" s="1"/>
  <c r="C214" i="2"/>
  <c r="D214" i="2"/>
  <c r="F214" i="2"/>
  <c r="G214" i="2"/>
  <c r="H214" i="2"/>
  <c r="A215" i="2"/>
  <c r="B215" i="2"/>
  <c r="I215" i="2" s="1"/>
  <c r="C215" i="2"/>
  <c r="D215" i="2"/>
  <c r="F215" i="2"/>
  <c r="G215" i="2"/>
  <c r="H215" i="2"/>
  <c r="A216" i="2"/>
  <c r="B216" i="2"/>
  <c r="I216" i="2" s="1"/>
  <c r="C216" i="2"/>
  <c r="D216" i="2"/>
  <c r="F216" i="2"/>
  <c r="G216" i="2"/>
  <c r="H216" i="2"/>
  <c r="A217" i="2"/>
  <c r="B217" i="2"/>
  <c r="I217" i="2" s="1"/>
  <c r="C217" i="2"/>
  <c r="D217" i="2"/>
  <c r="F217" i="2"/>
  <c r="G217" i="2"/>
  <c r="H217" i="2"/>
  <c r="A218" i="2"/>
  <c r="B218" i="2"/>
  <c r="I218" i="2" s="1"/>
  <c r="C218" i="2"/>
  <c r="D218" i="2"/>
  <c r="F218" i="2"/>
  <c r="G218" i="2"/>
  <c r="H218" i="2"/>
  <c r="A184" i="2"/>
  <c r="B184" i="2"/>
  <c r="I184" i="2" s="1"/>
  <c r="C184" i="2"/>
  <c r="D184" i="2"/>
  <c r="F184" i="2"/>
  <c r="G184" i="2"/>
  <c r="H184" i="2"/>
  <c r="A185" i="2"/>
  <c r="B185" i="2"/>
  <c r="I185" i="2" s="1"/>
  <c r="C185" i="2"/>
  <c r="D185" i="2"/>
  <c r="F185" i="2"/>
  <c r="G185" i="2"/>
  <c r="H185" i="2"/>
  <c r="A186" i="2"/>
  <c r="B186" i="2"/>
  <c r="I186" i="2" s="1"/>
  <c r="C186" i="2"/>
  <c r="D186" i="2"/>
  <c r="F186" i="2"/>
  <c r="G186" i="2"/>
  <c r="H186" i="2"/>
  <c r="A187" i="2"/>
  <c r="B187" i="2"/>
  <c r="I187" i="2" s="1"/>
  <c r="C187" i="2"/>
  <c r="D187" i="2"/>
  <c r="F187" i="2"/>
  <c r="G187" i="2"/>
  <c r="H187" i="2"/>
  <c r="A188" i="2"/>
  <c r="B188" i="2"/>
  <c r="I188" i="2" s="1"/>
  <c r="C188" i="2"/>
  <c r="D188" i="2"/>
  <c r="F188" i="2"/>
  <c r="G188" i="2"/>
  <c r="H188" i="2"/>
  <c r="A189" i="2"/>
  <c r="B189" i="2"/>
  <c r="I189" i="2" s="1"/>
  <c r="C189" i="2"/>
  <c r="D189" i="2"/>
  <c r="F189" i="2"/>
  <c r="G189" i="2"/>
  <c r="H189" i="2"/>
  <c r="A190" i="2"/>
  <c r="B190" i="2"/>
  <c r="I190" i="2" s="1"/>
  <c r="C190" i="2"/>
  <c r="D190" i="2"/>
  <c r="F190" i="2"/>
  <c r="G190" i="2"/>
  <c r="H190" i="2"/>
  <c r="A191" i="2"/>
  <c r="B191" i="2"/>
  <c r="I191" i="2" s="1"/>
  <c r="C191" i="2"/>
  <c r="D191" i="2"/>
  <c r="F191" i="2"/>
  <c r="G191" i="2"/>
  <c r="H191" i="2"/>
  <c r="A192" i="2"/>
  <c r="B192" i="2"/>
  <c r="I192" i="2" s="1"/>
  <c r="C192" i="2"/>
  <c r="D192" i="2"/>
  <c r="F192" i="2"/>
  <c r="G192" i="2"/>
  <c r="H192" i="2"/>
  <c r="A193" i="2"/>
  <c r="B193" i="2"/>
  <c r="I193" i="2" s="1"/>
  <c r="C193" i="2"/>
  <c r="D193" i="2"/>
  <c r="F193" i="2"/>
  <c r="G193" i="2"/>
  <c r="H193" i="2"/>
  <c r="A194" i="2"/>
  <c r="B194" i="2"/>
  <c r="I194" i="2" s="1"/>
  <c r="C194" i="2"/>
  <c r="D194" i="2"/>
  <c r="F194" i="2"/>
  <c r="G194" i="2"/>
  <c r="H194" i="2"/>
  <c r="A195" i="2"/>
  <c r="B195" i="2"/>
  <c r="I195" i="2" s="1"/>
  <c r="C195" i="2"/>
  <c r="D195" i="2"/>
  <c r="F195" i="2"/>
  <c r="G195" i="2"/>
  <c r="H195" i="2"/>
  <c r="A196" i="2"/>
  <c r="B196" i="2"/>
  <c r="I196" i="2" s="1"/>
  <c r="C196" i="2"/>
  <c r="D196" i="2"/>
  <c r="F196" i="2"/>
  <c r="G196" i="2"/>
  <c r="H196" i="2"/>
  <c r="A197" i="2"/>
  <c r="B197" i="2"/>
  <c r="I197" i="2" s="1"/>
  <c r="C197" i="2"/>
  <c r="D197" i="2"/>
  <c r="F197" i="2"/>
  <c r="G197" i="2"/>
  <c r="H197" i="2"/>
  <c r="A170" i="2"/>
  <c r="B170" i="2"/>
  <c r="I170" i="2" s="1"/>
  <c r="C170" i="2"/>
  <c r="D170" i="2"/>
  <c r="F170" i="2"/>
  <c r="G170" i="2"/>
  <c r="H170" i="2"/>
  <c r="A171" i="2"/>
  <c r="B171" i="2"/>
  <c r="I171" i="2" s="1"/>
  <c r="C171" i="2"/>
  <c r="D171" i="2"/>
  <c r="F171" i="2"/>
  <c r="G171" i="2"/>
  <c r="H171" i="2"/>
  <c r="A172" i="2"/>
  <c r="B172" i="2"/>
  <c r="I172" i="2" s="1"/>
  <c r="C172" i="2"/>
  <c r="D172" i="2"/>
  <c r="F172" i="2"/>
  <c r="G172" i="2"/>
  <c r="H172" i="2"/>
  <c r="A173" i="2"/>
  <c r="B173" i="2"/>
  <c r="I173" i="2" s="1"/>
  <c r="C173" i="2"/>
  <c r="D173" i="2"/>
  <c r="F173" i="2"/>
  <c r="G173" i="2"/>
  <c r="H173" i="2"/>
  <c r="A174" i="2"/>
  <c r="B174" i="2"/>
  <c r="I174" i="2" s="1"/>
  <c r="C174" i="2"/>
  <c r="D174" i="2"/>
  <c r="F174" i="2"/>
  <c r="G174" i="2"/>
  <c r="H174" i="2"/>
  <c r="A175" i="2"/>
  <c r="B175" i="2"/>
  <c r="I175" i="2" s="1"/>
  <c r="C175" i="2"/>
  <c r="D175" i="2"/>
  <c r="F175" i="2"/>
  <c r="G175" i="2"/>
  <c r="H175" i="2"/>
  <c r="A176" i="2"/>
  <c r="B176" i="2"/>
  <c r="I176" i="2" s="1"/>
  <c r="C176" i="2"/>
  <c r="D176" i="2"/>
  <c r="F176" i="2"/>
  <c r="G176" i="2"/>
  <c r="H176" i="2"/>
  <c r="A177" i="2"/>
  <c r="B177" i="2"/>
  <c r="I177" i="2" s="1"/>
  <c r="C177" i="2"/>
  <c r="D177" i="2"/>
  <c r="F177" i="2"/>
  <c r="G177" i="2"/>
  <c r="H177" i="2"/>
  <c r="A178" i="2"/>
  <c r="B178" i="2"/>
  <c r="I178" i="2" s="1"/>
  <c r="C178" i="2"/>
  <c r="D178" i="2"/>
  <c r="F178" i="2"/>
  <c r="G178" i="2"/>
  <c r="H178" i="2"/>
  <c r="A179" i="2"/>
  <c r="B179" i="2"/>
  <c r="I179" i="2" s="1"/>
  <c r="C179" i="2"/>
  <c r="D179" i="2"/>
  <c r="F179" i="2"/>
  <c r="G179" i="2"/>
  <c r="H179" i="2"/>
  <c r="A180" i="2"/>
  <c r="B180" i="2"/>
  <c r="I180" i="2" s="1"/>
  <c r="C180" i="2"/>
  <c r="D180" i="2"/>
  <c r="F180" i="2"/>
  <c r="G180" i="2"/>
  <c r="H180" i="2"/>
  <c r="A181" i="2"/>
  <c r="B181" i="2"/>
  <c r="I181" i="2" s="1"/>
  <c r="C181" i="2"/>
  <c r="D181" i="2"/>
  <c r="F181" i="2"/>
  <c r="G181" i="2"/>
  <c r="H181" i="2"/>
  <c r="A182" i="2"/>
  <c r="B182" i="2"/>
  <c r="I182" i="2" s="1"/>
  <c r="C182" i="2"/>
  <c r="D182" i="2"/>
  <c r="F182" i="2"/>
  <c r="G182" i="2"/>
  <c r="H182" i="2"/>
  <c r="A183" i="2"/>
  <c r="B183" i="2"/>
  <c r="I183" i="2" s="1"/>
  <c r="C183" i="2"/>
  <c r="D183" i="2"/>
  <c r="F183" i="2"/>
  <c r="G183" i="2"/>
  <c r="H183" i="2"/>
  <c r="A145" i="2"/>
  <c r="B145" i="2"/>
  <c r="I145" i="2" s="1"/>
  <c r="C145" i="2"/>
  <c r="D145" i="2"/>
  <c r="F145" i="2"/>
  <c r="G145" i="2"/>
  <c r="H145" i="2"/>
  <c r="A146" i="2"/>
  <c r="B146" i="2"/>
  <c r="I146" i="2" s="1"/>
  <c r="C146" i="2"/>
  <c r="D146" i="2"/>
  <c r="F146" i="2"/>
  <c r="G146" i="2"/>
  <c r="H146" i="2"/>
  <c r="A147" i="2"/>
  <c r="B147" i="2"/>
  <c r="I147" i="2" s="1"/>
  <c r="C147" i="2"/>
  <c r="D147" i="2"/>
  <c r="F147" i="2"/>
  <c r="G147" i="2"/>
  <c r="H147" i="2"/>
  <c r="A148" i="2"/>
  <c r="B148" i="2"/>
  <c r="I148" i="2" s="1"/>
  <c r="C148" i="2"/>
  <c r="D148" i="2"/>
  <c r="F148" i="2"/>
  <c r="G148" i="2"/>
  <c r="H148" i="2"/>
  <c r="A149" i="2"/>
  <c r="B149" i="2"/>
  <c r="I149" i="2" s="1"/>
  <c r="C149" i="2"/>
  <c r="D149" i="2"/>
  <c r="F149" i="2"/>
  <c r="G149" i="2"/>
  <c r="H149" i="2"/>
  <c r="A150" i="2"/>
  <c r="B150" i="2"/>
  <c r="I150" i="2" s="1"/>
  <c r="C150" i="2"/>
  <c r="D150" i="2"/>
  <c r="F150" i="2"/>
  <c r="G150" i="2"/>
  <c r="H150" i="2"/>
  <c r="A151" i="2"/>
  <c r="B151" i="2"/>
  <c r="I151" i="2" s="1"/>
  <c r="C151" i="2"/>
  <c r="D151" i="2"/>
  <c r="F151" i="2"/>
  <c r="G151" i="2"/>
  <c r="H151" i="2"/>
  <c r="A152" i="2"/>
  <c r="B152" i="2"/>
  <c r="I152" i="2" s="1"/>
  <c r="C152" i="2"/>
  <c r="D152" i="2"/>
  <c r="F152" i="2"/>
  <c r="G152" i="2"/>
  <c r="H152" i="2"/>
  <c r="A153" i="2"/>
  <c r="B153" i="2"/>
  <c r="I153" i="2" s="1"/>
  <c r="C153" i="2"/>
  <c r="D153" i="2"/>
  <c r="F153" i="2"/>
  <c r="G153" i="2"/>
  <c r="H153" i="2"/>
  <c r="A154" i="2"/>
  <c r="B154" i="2"/>
  <c r="I154" i="2" s="1"/>
  <c r="C154" i="2"/>
  <c r="D154" i="2"/>
  <c r="F154" i="2"/>
  <c r="G154" i="2"/>
  <c r="H154" i="2"/>
  <c r="A155" i="2"/>
  <c r="B155" i="2"/>
  <c r="I155" i="2" s="1"/>
  <c r="C155" i="2"/>
  <c r="D155" i="2"/>
  <c r="F155" i="2"/>
  <c r="G155" i="2"/>
  <c r="H155" i="2"/>
  <c r="A156" i="2"/>
  <c r="B156" i="2"/>
  <c r="I156" i="2" s="1"/>
  <c r="C156" i="2"/>
  <c r="D156" i="2"/>
  <c r="F156" i="2"/>
  <c r="G156" i="2"/>
  <c r="H156" i="2"/>
  <c r="A157" i="2"/>
  <c r="B157" i="2"/>
  <c r="I157" i="2" s="1"/>
  <c r="C157" i="2"/>
  <c r="D157" i="2"/>
  <c r="F157" i="2"/>
  <c r="G157" i="2"/>
  <c r="H157" i="2"/>
  <c r="A158" i="2"/>
  <c r="B158" i="2"/>
  <c r="I158" i="2" s="1"/>
  <c r="C158" i="2"/>
  <c r="D158" i="2"/>
  <c r="F158" i="2"/>
  <c r="G158" i="2"/>
  <c r="H158" i="2"/>
  <c r="A159" i="2"/>
  <c r="B159" i="2"/>
  <c r="I159" i="2" s="1"/>
  <c r="C159" i="2"/>
  <c r="D159" i="2"/>
  <c r="F159" i="2"/>
  <c r="G159" i="2"/>
  <c r="H159" i="2"/>
  <c r="A160" i="2"/>
  <c r="B160" i="2"/>
  <c r="I160" i="2" s="1"/>
  <c r="C160" i="2"/>
  <c r="D160" i="2"/>
  <c r="F160" i="2"/>
  <c r="G160" i="2"/>
  <c r="H160" i="2"/>
  <c r="A161" i="2"/>
  <c r="B161" i="2"/>
  <c r="I161" i="2" s="1"/>
  <c r="C161" i="2"/>
  <c r="D161" i="2"/>
  <c r="F161" i="2"/>
  <c r="G161" i="2"/>
  <c r="H161" i="2"/>
  <c r="A162" i="2"/>
  <c r="B162" i="2"/>
  <c r="I162" i="2" s="1"/>
  <c r="C162" i="2"/>
  <c r="D162" i="2"/>
  <c r="F162" i="2"/>
  <c r="G162" i="2"/>
  <c r="H162" i="2"/>
  <c r="A163" i="2"/>
  <c r="B163" i="2"/>
  <c r="I163" i="2" s="1"/>
  <c r="C163" i="2"/>
  <c r="D163" i="2"/>
  <c r="F163" i="2"/>
  <c r="G163" i="2"/>
  <c r="H163" i="2"/>
  <c r="A164" i="2"/>
  <c r="B164" i="2"/>
  <c r="I164" i="2" s="1"/>
  <c r="C164" i="2"/>
  <c r="D164" i="2"/>
  <c r="F164" i="2"/>
  <c r="G164" i="2"/>
  <c r="H164" i="2"/>
  <c r="A165" i="2"/>
  <c r="B165" i="2"/>
  <c r="I165" i="2" s="1"/>
  <c r="C165" i="2"/>
  <c r="D165" i="2"/>
  <c r="F165" i="2"/>
  <c r="G165" i="2"/>
  <c r="H165" i="2"/>
  <c r="A166" i="2"/>
  <c r="B166" i="2"/>
  <c r="I166" i="2" s="1"/>
  <c r="C166" i="2"/>
  <c r="D166" i="2"/>
  <c r="F166" i="2"/>
  <c r="G166" i="2"/>
  <c r="H166" i="2"/>
  <c r="A167" i="2"/>
  <c r="B167" i="2"/>
  <c r="I167" i="2" s="1"/>
  <c r="C167" i="2"/>
  <c r="D167" i="2"/>
  <c r="F167" i="2"/>
  <c r="G167" i="2"/>
  <c r="H167" i="2"/>
  <c r="A168" i="2"/>
  <c r="B168" i="2"/>
  <c r="I168" i="2" s="1"/>
  <c r="C168" i="2"/>
  <c r="D168" i="2"/>
  <c r="F168" i="2"/>
  <c r="G168" i="2"/>
  <c r="H168" i="2"/>
  <c r="A121" i="2"/>
  <c r="B121" i="2"/>
  <c r="I121" i="2" s="1"/>
  <c r="C121" i="2"/>
  <c r="D121" i="2"/>
  <c r="F121" i="2"/>
  <c r="G121" i="2"/>
  <c r="H121" i="2"/>
  <c r="A122" i="2"/>
  <c r="B122" i="2"/>
  <c r="I122" i="2" s="1"/>
  <c r="C122" i="2"/>
  <c r="D122" i="2"/>
  <c r="F122" i="2"/>
  <c r="G122" i="2"/>
  <c r="H122" i="2"/>
  <c r="A123" i="2"/>
  <c r="B123" i="2"/>
  <c r="I123" i="2" s="1"/>
  <c r="C123" i="2"/>
  <c r="D123" i="2"/>
  <c r="F123" i="2"/>
  <c r="G123" i="2"/>
  <c r="H123" i="2"/>
  <c r="A124" i="2"/>
  <c r="B124" i="2"/>
  <c r="I124" i="2" s="1"/>
  <c r="C124" i="2"/>
  <c r="D124" i="2"/>
  <c r="F124" i="2"/>
  <c r="G124" i="2"/>
  <c r="H124" i="2"/>
  <c r="A125" i="2"/>
  <c r="B125" i="2"/>
  <c r="I125" i="2" s="1"/>
  <c r="C125" i="2"/>
  <c r="D125" i="2"/>
  <c r="F125" i="2"/>
  <c r="G125" i="2"/>
  <c r="H125" i="2"/>
  <c r="A126" i="2"/>
  <c r="B126" i="2"/>
  <c r="I126" i="2" s="1"/>
  <c r="C126" i="2"/>
  <c r="D126" i="2"/>
  <c r="F126" i="2"/>
  <c r="G126" i="2"/>
  <c r="H126" i="2"/>
  <c r="A127" i="2"/>
  <c r="B127" i="2"/>
  <c r="I127" i="2" s="1"/>
  <c r="C127" i="2"/>
  <c r="D127" i="2"/>
  <c r="F127" i="2"/>
  <c r="G127" i="2"/>
  <c r="H127" i="2"/>
  <c r="A128" i="2"/>
  <c r="B128" i="2"/>
  <c r="I128" i="2" s="1"/>
  <c r="C128" i="2"/>
  <c r="D128" i="2"/>
  <c r="F128" i="2"/>
  <c r="G128" i="2"/>
  <c r="H128" i="2"/>
  <c r="A129" i="2"/>
  <c r="B129" i="2"/>
  <c r="I129" i="2" s="1"/>
  <c r="C129" i="2"/>
  <c r="D129" i="2"/>
  <c r="F129" i="2"/>
  <c r="G129" i="2"/>
  <c r="H129" i="2"/>
  <c r="A130" i="2"/>
  <c r="B130" i="2"/>
  <c r="I130" i="2" s="1"/>
  <c r="C130" i="2"/>
  <c r="D130" i="2"/>
  <c r="F130" i="2"/>
  <c r="G130" i="2"/>
  <c r="H130" i="2"/>
  <c r="A131" i="2"/>
  <c r="B131" i="2"/>
  <c r="I131" i="2" s="1"/>
  <c r="C131" i="2"/>
  <c r="D131" i="2"/>
  <c r="F131" i="2"/>
  <c r="G131" i="2"/>
  <c r="H131" i="2"/>
  <c r="A132" i="2"/>
  <c r="B132" i="2"/>
  <c r="I132" i="2" s="1"/>
  <c r="C132" i="2"/>
  <c r="D132" i="2"/>
  <c r="F132" i="2"/>
  <c r="G132" i="2"/>
  <c r="H132" i="2"/>
  <c r="A133" i="2"/>
  <c r="B133" i="2"/>
  <c r="I133" i="2" s="1"/>
  <c r="C133" i="2"/>
  <c r="D133" i="2"/>
  <c r="F133" i="2"/>
  <c r="G133" i="2"/>
  <c r="H133" i="2"/>
  <c r="A134" i="2"/>
  <c r="B134" i="2"/>
  <c r="I134" i="2" s="1"/>
  <c r="C134" i="2"/>
  <c r="D134" i="2"/>
  <c r="F134" i="2"/>
  <c r="G134" i="2"/>
  <c r="H134" i="2"/>
  <c r="A135" i="2"/>
  <c r="B135" i="2"/>
  <c r="I135" i="2" s="1"/>
  <c r="C135" i="2"/>
  <c r="D135" i="2"/>
  <c r="F135" i="2"/>
  <c r="G135" i="2"/>
  <c r="H135" i="2"/>
  <c r="A136" i="2"/>
  <c r="B136" i="2"/>
  <c r="I136" i="2" s="1"/>
  <c r="C136" i="2"/>
  <c r="D136" i="2"/>
  <c r="F136" i="2"/>
  <c r="G136" i="2"/>
  <c r="H136" i="2"/>
  <c r="A137" i="2"/>
  <c r="B137" i="2"/>
  <c r="I137" i="2" s="1"/>
  <c r="C137" i="2"/>
  <c r="D137" i="2"/>
  <c r="F137" i="2"/>
  <c r="G137" i="2"/>
  <c r="H137" i="2"/>
  <c r="A138" i="2"/>
  <c r="B138" i="2"/>
  <c r="I138" i="2" s="1"/>
  <c r="C138" i="2"/>
  <c r="D138" i="2"/>
  <c r="F138" i="2"/>
  <c r="G138" i="2"/>
  <c r="H138" i="2"/>
  <c r="A139" i="2"/>
  <c r="B139" i="2"/>
  <c r="I139" i="2" s="1"/>
  <c r="C139" i="2"/>
  <c r="D139" i="2"/>
  <c r="F139" i="2"/>
  <c r="G139" i="2"/>
  <c r="H139" i="2"/>
  <c r="A140" i="2"/>
  <c r="B140" i="2"/>
  <c r="I140" i="2" s="1"/>
  <c r="C140" i="2"/>
  <c r="D140" i="2"/>
  <c r="F140" i="2"/>
  <c r="G140" i="2"/>
  <c r="H140" i="2"/>
  <c r="A141" i="2"/>
  <c r="B141" i="2"/>
  <c r="I141" i="2" s="1"/>
  <c r="C141" i="2"/>
  <c r="D141" i="2"/>
  <c r="F141" i="2"/>
  <c r="G141" i="2"/>
  <c r="H141" i="2"/>
  <c r="A142" i="2"/>
  <c r="B142" i="2"/>
  <c r="I142" i="2" s="1"/>
  <c r="C142" i="2"/>
  <c r="D142" i="2"/>
  <c r="F142" i="2"/>
  <c r="G142" i="2"/>
  <c r="H142" i="2"/>
  <c r="A143" i="2"/>
  <c r="B143" i="2"/>
  <c r="I143" i="2" s="1"/>
  <c r="C143" i="2"/>
  <c r="D143" i="2"/>
  <c r="F143" i="2"/>
  <c r="G143" i="2"/>
  <c r="H143" i="2"/>
  <c r="A144" i="2"/>
  <c r="B144" i="2"/>
  <c r="I144" i="2" s="1"/>
  <c r="C144" i="2"/>
  <c r="D144" i="2"/>
  <c r="F144" i="2"/>
  <c r="G144" i="2"/>
  <c r="H144" i="2"/>
  <c r="A103" i="2"/>
  <c r="B103" i="2"/>
  <c r="I103" i="2" s="1"/>
  <c r="C103" i="2"/>
  <c r="D103" i="2"/>
  <c r="F103" i="2"/>
  <c r="G103" i="2"/>
  <c r="H103" i="2"/>
  <c r="A104" i="2"/>
  <c r="B104" i="2"/>
  <c r="I104" i="2" s="1"/>
  <c r="C104" i="2"/>
  <c r="D104" i="2"/>
  <c r="F104" i="2"/>
  <c r="G104" i="2"/>
  <c r="H104" i="2"/>
  <c r="A400" i="2" l="1"/>
  <c r="B400" i="2"/>
  <c r="I400" i="2" s="1"/>
  <c r="C400" i="2"/>
  <c r="D400" i="2"/>
  <c r="F400" i="2"/>
  <c r="G400" i="2"/>
  <c r="H400" i="2"/>
  <c r="A401" i="2"/>
  <c r="B401" i="2"/>
  <c r="I401" i="2" s="1"/>
  <c r="C401" i="2"/>
  <c r="D401" i="2"/>
  <c r="F401" i="2"/>
  <c r="G401" i="2"/>
  <c r="H401" i="2"/>
  <c r="A402" i="2"/>
  <c r="B402" i="2"/>
  <c r="I402" i="2" s="1"/>
  <c r="C402" i="2"/>
  <c r="D402" i="2"/>
  <c r="F402" i="2"/>
  <c r="G402" i="2"/>
  <c r="H402" i="2"/>
  <c r="A403" i="2"/>
  <c r="B403" i="2"/>
  <c r="I403" i="2" s="1"/>
  <c r="C403" i="2"/>
  <c r="D403" i="2"/>
  <c r="F403" i="2"/>
  <c r="G403" i="2"/>
  <c r="H403" i="2"/>
  <c r="A404" i="2"/>
  <c r="B404" i="2"/>
  <c r="I404" i="2" s="1"/>
  <c r="C404" i="2"/>
  <c r="D404" i="2"/>
  <c r="F404" i="2"/>
  <c r="G404" i="2"/>
  <c r="H404" i="2"/>
  <c r="A405" i="2"/>
  <c r="B405" i="2"/>
  <c r="I405" i="2" s="1"/>
  <c r="C405" i="2"/>
  <c r="D405" i="2"/>
  <c r="F405" i="2"/>
  <c r="G405" i="2"/>
  <c r="H405" i="2"/>
  <c r="A406" i="2"/>
  <c r="B406" i="2"/>
  <c r="I406" i="2" s="1"/>
  <c r="C406" i="2"/>
  <c r="D406" i="2"/>
  <c r="F406" i="2"/>
  <c r="G406" i="2"/>
  <c r="H406" i="2"/>
  <c r="A407" i="2"/>
  <c r="B407" i="2"/>
  <c r="I407" i="2" s="1"/>
  <c r="C407" i="2"/>
  <c r="D407" i="2"/>
  <c r="F407" i="2"/>
  <c r="G407" i="2"/>
  <c r="H407" i="2"/>
  <c r="A408" i="2"/>
  <c r="B408" i="2"/>
  <c r="I408" i="2" s="1"/>
  <c r="C408" i="2"/>
  <c r="D408" i="2"/>
  <c r="F408" i="2"/>
  <c r="G408" i="2"/>
  <c r="H408" i="2"/>
  <c r="A409" i="2"/>
  <c r="B409" i="2"/>
  <c r="I409" i="2" s="1"/>
  <c r="C409" i="2"/>
  <c r="D409" i="2"/>
  <c r="F409" i="2"/>
  <c r="G409" i="2"/>
  <c r="H409" i="2"/>
  <c r="A410" i="2"/>
  <c r="B410" i="2"/>
  <c r="I410" i="2" s="1"/>
  <c r="C410" i="2"/>
  <c r="D410" i="2"/>
  <c r="F410" i="2"/>
  <c r="G410" i="2"/>
  <c r="H410" i="2"/>
  <c r="A411" i="2"/>
  <c r="B411" i="2"/>
  <c r="I411" i="2" s="1"/>
  <c r="C411" i="2"/>
  <c r="D411" i="2"/>
  <c r="F411" i="2"/>
  <c r="G411" i="2"/>
  <c r="H411" i="2"/>
  <c r="A412" i="2"/>
  <c r="B412" i="2"/>
  <c r="I412" i="2" s="1"/>
  <c r="C412" i="2"/>
  <c r="D412" i="2"/>
  <c r="F412" i="2"/>
  <c r="G412" i="2"/>
  <c r="H412" i="2"/>
  <c r="A413" i="2"/>
  <c r="B413" i="2"/>
  <c r="I413" i="2" s="1"/>
  <c r="C413" i="2"/>
  <c r="D413" i="2"/>
  <c r="F413" i="2"/>
  <c r="G413" i="2"/>
  <c r="H413" i="2"/>
  <c r="A414" i="2"/>
  <c r="B414" i="2"/>
  <c r="I414" i="2" s="1"/>
  <c r="C414" i="2"/>
  <c r="D414" i="2"/>
  <c r="F414" i="2"/>
  <c r="G414" i="2"/>
  <c r="H414" i="2"/>
  <c r="A415" i="2"/>
  <c r="B415" i="2"/>
  <c r="I415" i="2" s="1"/>
  <c r="C415" i="2"/>
  <c r="D415" i="2"/>
  <c r="F415" i="2"/>
  <c r="G415" i="2"/>
  <c r="H415" i="2"/>
  <c r="A376" i="2"/>
  <c r="B376" i="2"/>
  <c r="I376" i="2" s="1"/>
  <c r="C376" i="2"/>
  <c r="D376" i="2"/>
  <c r="F376" i="2"/>
  <c r="G376" i="2"/>
  <c r="H376" i="2"/>
  <c r="A377" i="2"/>
  <c r="B377" i="2"/>
  <c r="I377" i="2" s="1"/>
  <c r="C377" i="2"/>
  <c r="D377" i="2"/>
  <c r="F377" i="2"/>
  <c r="G377" i="2"/>
  <c r="H377" i="2"/>
  <c r="A378" i="2"/>
  <c r="B378" i="2"/>
  <c r="I378" i="2" s="1"/>
  <c r="C378" i="2"/>
  <c r="D378" i="2"/>
  <c r="F378" i="2"/>
  <c r="G378" i="2"/>
  <c r="H378" i="2"/>
  <c r="A379" i="2"/>
  <c r="B379" i="2"/>
  <c r="I379" i="2" s="1"/>
  <c r="C379" i="2"/>
  <c r="D379" i="2"/>
  <c r="F379" i="2"/>
  <c r="G379" i="2"/>
  <c r="H379" i="2"/>
  <c r="A380" i="2"/>
  <c r="B380" i="2"/>
  <c r="I380" i="2" s="1"/>
  <c r="C380" i="2"/>
  <c r="D380" i="2"/>
  <c r="F380" i="2"/>
  <c r="G380" i="2"/>
  <c r="H380" i="2"/>
  <c r="A381" i="2"/>
  <c r="B381" i="2"/>
  <c r="I381" i="2" s="1"/>
  <c r="C381" i="2"/>
  <c r="D381" i="2"/>
  <c r="F381" i="2"/>
  <c r="G381" i="2"/>
  <c r="H381" i="2"/>
  <c r="A382" i="2"/>
  <c r="B382" i="2"/>
  <c r="I382" i="2" s="1"/>
  <c r="C382" i="2"/>
  <c r="D382" i="2"/>
  <c r="F382" i="2"/>
  <c r="G382" i="2"/>
  <c r="H382" i="2"/>
  <c r="A383" i="2"/>
  <c r="B383" i="2"/>
  <c r="I383" i="2" s="1"/>
  <c r="C383" i="2"/>
  <c r="D383" i="2"/>
  <c r="F383" i="2"/>
  <c r="G383" i="2"/>
  <c r="H383" i="2"/>
  <c r="A384" i="2"/>
  <c r="B384" i="2"/>
  <c r="I384" i="2" s="1"/>
  <c r="C384" i="2"/>
  <c r="D384" i="2"/>
  <c r="F384" i="2"/>
  <c r="G384" i="2"/>
  <c r="H384" i="2"/>
  <c r="A385" i="2"/>
  <c r="B385" i="2"/>
  <c r="I385" i="2" s="1"/>
  <c r="C385" i="2"/>
  <c r="D385" i="2"/>
  <c r="F385" i="2"/>
  <c r="G385" i="2"/>
  <c r="H385" i="2"/>
  <c r="A386" i="2"/>
  <c r="B386" i="2"/>
  <c r="I386" i="2" s="1"/>
  <c r="C386" i="2"/>
  <c r="D386" i="2"/>
  <c r="F386" i="2"/>
  <c r="G386" i="2"/>
  <c r="H386" i="2"/>
  <c r="A387" i="2"/>
  <c r="B387" i="2"/>
  <c r="I387" i="2" s="1"/>
  <c r="C387" i="2"/>
  <c r="D387" i="2"/>
  <c r="F387" i="2"/>
  <c r="G387" i="2"/>
  <c r="H387" i="2"/>
  <c r="A388" i="2"/>
  <c r="B388" i="2"/>
  <c r="I388" i="2" s="1"/>
  <c r="C388" i="2"/>
  <c r="D388" i="2"/>
  <c r="F388" i="2"/>
  <c r="G388" i="2"/>
  <c r="H388" i="2"/>
  <c r="A389" i="2"/>
  <c r="B389" i="2"/>
  <c r="I389" i="2" s="1"/>
  <c r="C389" i="2"/>
  <c r="D389" i="2"/>
  <c r="F389" i="2"/>
  <c r="G389" i="2"/>
  <c r="H389" i="2"/>
  <c r="A390" i="2"/>
  <c r="B390" i="2"/>
  <c r="I390" i="2" s="1"/>
  <c r="C390" i="2"/>
  <c r="D390" i="2"/>
  <c r="F390" i="2"/>
  <c r="G390" i="2"/>
  <c r="H390" i="2"/>
  <c r="A391" i="2"/>
  <c r="B391" i="2"/>
  <c r="I391" i="2" s="1"/>
  <c r="C391" i="2"/>
  <c r="D391" i="2"/>
  <c r="F391" i="2"/>
  <c r="G391" i="2"/>
  <c r="H391" i="2"/>
  <c r="A392" i="2"/>
  <c r="B392" i="2"/>
  <c r="I392" i="2" s="1"/>
  <c r="C392" i="2"/>
  <c r="D392" i="2"/>
  <c r="F392" i="2"/>
  <c r="G392" i="2"/>
  <c r="H392" i="2"/>
  <c r="A393" i="2"/>
  <c r="B393" i="2"/>
  <c r="I393" i="2" s="1"/>
  <c r="C393" i="2"/>
  <c r="D393" i="2"/>
  <c r="F393" i="2"/>
  <c r="G393" i="2"/>
  <c r="H393" i="2"/>
  <c r="A394" i="2"/>
  <c r="B394" i="2"/>
  <c r="I394" i="2" s="1"/>
  <c r="C394" i="2"/>
  <c r="D394" i="2"/>
  <c r="F394" i="2"/>
  <c r="G394" i="2"/>
  <c r="H394" i="2"/>
  <c r="A395" i="2"/>
  <c r="B395" i="2"/>
  <c r="I395" i="2" s="1"/>
  <c r="C395" i="2"/>
  <c r="D395" i="2"/>
  <c r="F395" i="2"/>
  <c r="G395" i="2"/>
  <c r="H395" i="2"/>
  <c r="A396" i="2"/>
  <c r="B396" i="2"/>
  <c r="I396" i="2" s="1"/>
  <c r="C396" i="2"/>
  <c r="D396" i="2"/>
  <c r="F396" i="2"/>
  <c r="G396" i="2"/>
  <c r="H396" i="2"/>
  <c r="A397" i="2"/>
  <c r="B397" i="2"/>
  <c r="I397" i="2" s="1"/>
  <c r="C397" i="2"/>
  <c r="D397" i="2"/>
  <c r="F397" i="2"/>
  <c r="G397" i="2"/>
  <c r="H397" i="2"/>
  <c r="A398" i="2"/>
  <c r="B398" i="2"/>
  <c r="I398" i="2" s="1"/>
  <c r="C398" i="2"/>
  <c r="D398" i="2"/>
  <c r="F398" i="2"/>
  <c r="G398" i="2"/>
  <c r="H398" i="2"/>
  <c r="A358" i="2"/>
  <c r="B358" i="2"/>
  <c r="I358" i="2" s="1"/>
  <c r="C358" i="2"/>
  <c r="D358" i="2"/>
  <c r="F358" i="2"/>
  <c r="G358" i="2"/>
  <c r="H358" i="2"/>
  <c r="A359" i="2"/>
  <c r="B359" i="2"/>
  <c r="I359" i="2" s="1"/>
  <c r="C359" i="2"/>
  <c r="D359" i="2"/>
  <c r="F359" i="2"/>
  <c r="G359" i="2"/>
  <c r="H359" i="2"/>
  <c r="A360" i="2"/>
  <c r="B360" i="2"/>
  <c r="I360" i="2" s="1"/>
  <c r="C360" i="2"/>
  <c r="D360" i="2"/>
  <c r="F360" i="2"/>
  <c r="G360" i="2"/>
  <c r="H360" i="2"/>
  <c r="A361" i="2"/>
  <c r="B361" i="2"/>
  <c r="I361" i="2" s="1"/>
  <c r="C361" i="2"/>
  <c r="D361" i="2"/>
  <c r="F361" i="2"/>
  <c r="G361" i="2"/>
  <c r="H361" i="2"/>
  <c r="A362" i="2"/>
  <c r="B362" i="2"/>
  <c r="I362" i="2" s="1"/>
  <c r="C362" i="2"/>
  <c r="D362" i="2"/>
  <c r="F362" i="2"/>
  <c r="G362" i="2"/>
  <c r="H362" i="2"/>
  <c r="A363" i="2"/>
  <c r="B363" i="2"/>
  <c r="I363" i="2" s="1"/>
  <c r="C363" i="2"/>
  <c r="D363" i="2"/>
  <c r="F363" i="2"/>
  <c r="G363" i="2"/>
  <c r="H363" i="2"/>
  <c r="A364" i="2"/>
  <c r="B364" i="2"/>
  <c r="I364" i="2" s="1"/>
  <c r="C364" i="2"/>
  <c r="D364" i="2"/>
  <c r="F364" i="2"/>
  <c r="G364" i="2"/>
  <c r="H364" i="2"/>
  <c r="A365" i="2"/>
  <c r="B365" i="2"/>
  <c r="I365" i="2" s="1"/>
  <c r="C365" i="2"/>
  <c r="D365" i="2"/>
  <c r="F365" i="2"/>
  <c r="G365" i="2"/>
  <c r="H365" i="2"/>
  <c r="A366" i="2"/>
  <c r="B366" i="2"/>
  <c r="I366" i="2" s="1"/>
  <c r="C366" i="2"/>
  <c r="D366" i="2"/>
  <c r="F366" i="2"/>
  <c r="G366" i="2"/>
  <c r="H366" i="2"/>
  <c r="A367" i="2"/>
  <c r="B367" i="2"/>
  <c r="I367" i="2" s="1"/>
  <c r="C367" i="2"/>
  <c r="D367" i="2"/>
  <c r="F367" i="2"/>
  <c r="G367" i="2"/>
  <c r="H367" i="2"/>
  <c r="A368" i="2"/>
  <c r="B368" i="2"/>
  <c r="I368" i="2" s="1"/>
  <c r="C368" i="2"/>
  <c r="D368" i="2"/>
  <c r="F368" i="2"/>
  <c r="G368" i="2"/>
  <c r="H368" i="2"/>
  <c r="A369" i="2"/>
  <c r="B369" i="2"/>
  <c r="I369" i="2" s="1"/>
  <c r="C369" i="2"/>
  <c r="D369" i="2"/>
  <c r="F369" i="2"/>
  <c r="G369" i="2"/>
  <c r="H369" i="2"/>
  <c r="A370" i="2"/>
  <c r="B370" i="2"/>
  <c r="I370" i="2" s="1"/>
  <c r="C370" i="2"/>
  <c r="D370" i="2"/>
  <c r="F370" i="2"/>
  <c r="G370" i="2"/>
  <c r="H370" i="2"/>
  <c r="A371" i="2"/>
  <c r="B371" i="2"/>
  <c r="I371" i="2" s="1"/>
  <c r="C371" i="2"/>
  <c r="D371" i="2"/>
  <c r="F371" i="2"/>
  <c r="G371" i="2"/>
  <c r="H371" i="2"/>
  <c r="A372" i="2"/>
  <c r="B372" i="2"/>
  <c r="I372" i="2" s="1"/>
  <c r="C372" i="2"/>
  <c r="D372" i="2"/>
  <c r="F372" i="2"/>
  <c r="G372" i="2"/>
  <c r="H372" i="2"/>
  <c r="A373" i="2"/>
  <c r="B373" i="2"/>
  <c r="I373" i="2" s="1"/>
  <c r="C373" i="2"/>
  <c r="D373" i="2"/>
  <c r="F373" i="2"/>
  <c r="G373" i="2"/>
  <c r="H373" i="2"/>
  <c r="A374" i="2"/>
  <c r="B374" i="2"/>
  <c r="I374" i="2" s="1"/>
  <c r="C374" i="2"/>
  <c r="D374" i="2"/>
  <c r="F374" i="2"/>
  <c r="G374" i="2"/>
  <c r="H374" i="2"/>
  <c r="A375" i="2"/>
  <c r="B375" i="2"/>
  <c r="I375" i="2" s="1"/>
  <c r="C375" i="2"/>
  <c r="D375" i="2"/>
  <c r="F375" i="2"/>
  <c r="G375" i="2"/>
  <c r="H375" i="2"/>
  <c r="A332" i="2"/>
  <c r="B332" i="2"/>
  <c r="I332" i="2" s="1"/>
  <c r="C332" i="2"/>
  <c r="D332" i="2"/>
  <c r="F332" i="2"/>
  <c r="G332" i="2"/>
  <c r="H332" i="2"/>
  <c r="A333" i="2"/>
  <c r="B333" i="2"/>
  <c r="I333" i="2" s="1"/>
  <c r="C333" i="2"/>
  <c r="D333" i="2"/>
  <c r="F333" i="2"/>
  <c r="G333" i="2"/>
  <c r="H333" i="2"/>
  <c r="A334" i="2"/>
  <c r="B334" i="2"/>
  <c r="I334" i="2" s="1"/>
  <c r="C334" i="2"/>
  <c r="D334" i="2"/>
  <c r="F334" i="2"/>
  <c r="G334" i="2"/>
  <c r="H334" i="2"/>
  <c r="A2" i="2"/>
  <c r="B2" i="2"/>
  <c r="I2" i="2" s="1"/>
  <c r="C2" i="2"/>
  <c r="D2" i="2"/>
  <c r="F2" i="2"/>
  <c r="G2" i="2"/>
  <c r="H2" i="2"/>
  <c r="A335" i="2"/>
  <c r="B335" i="2"/>
  <c r="I335" i="2" s="1"/>
  <c r="C335" i="2"/>
  <c r="D335" i="2"/>
  <c r="F335" i="2"/>
  <c r="G335" i="2"/>
  <c r="H335" i="2"/>
  <c r="A336" i="2"/>
  <c r="B336" i="2"/>
  <c r="I336" i="2" s="1"/>
  <c r="C336" i="2"/>
  <c r="D336" i="2"/>
  <c r="F336" i="2"/>
  <c r="G336" i="2"/>
  <c r="H336" i="2"/>
  <c r="A337" i="2"/>
  <c r="B337" i="2"/>
  <c r="I337" i="2" s="1"/>
  <c r="C337" i="2"/>
  <c r="D337" i="2"/>
  <c r="F337" i="2"/>
  <c r="G337" i="2"/>
  <c r="H337" i="2"/>
  <c r="A338" i="2"/>
  <c r="B338" i="2"/>
  <c r="I338" i="2" s="1"/>
  <c r="C338" i="2"/>
  <c r="D338" i="2"/>
  <c r="F338" i="2"/>
  <c r="G338" i="2"/>
  <c r="H338" i="2"/>
  <c r="A339" i="2"/>
  <c r="B339" i="2"/>
  <c r="I339" i="2" s="1"/>
  <c r="C339" i="2"/>
  <c r="D339" i="2"/>
  <c r="F339" i="2"/>
  <c r="G339" i="2"/>
  <c r="H339" i="2"/>
  <c r="A340" i="2"/>
  <c r="B340" i="2"/>
  <c r="I340" i="2" s="1"/>
  <c r="C340" i="2"/>
  <c r="D340" i="2"/>
  <c r="F340" i="2"/>
  <c r="G340" i="2"/>
  <c r="H340" i="2"/>
  <c r="A341" i="2"/>
  <c r="B341" i="2"/>
  <c r="I341" i="2" s="1"/>
  <c r="C341" i="2"/>
  <c r="D341" i="2"/>
  <c r="F341" i="2"/>
  <c r="G341" i="2"/>
  <c r="H341" i="2"/>
  <c r="A342" i="2"/>
  <c r="B342" i="2"/>
  <c r="I342" i="2" s="1"/>
  <c r="C342" i="2"/>
  <c r="D342" i="2"/>
  <c r="F342" i="2"/>
  <c r="G342" i="2"/>
  <c r="H342" i="2"/>
  <c r="A343" i="2"/>
  <c r="B343" i="2"/>
  <c r="I343" i="2" s="1"/>
  <c r="C343" i="2"/>
  <c r="D343" i="2"/>
  <c r="F343" i="2"/>
  <c r="G343" i="2"/>
  <c r="H343" i="2"/>
  <c r="A344" i="2"/>
  <c r="B344" i="2"/>
  <c r="I344" i="2" s="1"/>
  <c r="C344" i="2"/>
  <c r="D344" i="2"/>
  <c r="F344" i="2"/>
  <c r="G344" i="2"/>
  <c r="H344" i="2"/>
  <c r="A345" i="2"/>
  <c r="B345" i="2"/>
  <c r="I345" i="2" s="1"/>
  <c r="C345" i="2"/>
  <c r="D345" i="2"/>
  <c r="F345" i="2"/>
  <c r="G345" i="2"/>
  <c r="H345" i="2"/>
  <c r="A346" i="2"/>
  <c r="B346" i="2"/>
  <c r="I346" i="2" s="1"/>
  <c r="C346" i="2"/>
  <c r="D346" i="2"/>
  <c r="F346" i="2"/>
  <c r="G346" i="2"/>
  <c r="H346" i="2"/>
  <c r="A347" i="2"/>
  <c r="B347" i="2"/>
  <c r="I347" i="2" s="1"/>
  <c r="C347" i="2"/>
  <c r="D347" i="2"/>
  <c r="F347" i="2"/>
  <c r="G347" i="2"/>
  <c r="H347" i="2"/>
  <c r="A348" i="2"/>
  <c r="B348" i="2"/>
  <c r="I348" i="2" s="1"/>
  <c r="C348" i="2"/>
  <c r="D348" i="2"/>
  <c r="F348" i="2"/>
  <c r="G348" i="2"/>
  <c r="H348" i="2"/>
  <c r="A349" i="2"/>
  <c r="B349" i="2"/>
  <c r="I349" i="2" s="1"/>
  <c r="C349" i="2"/>
  <c r="D349" i="2"/>
  <c r="F349" i="2"/>
  <c r="G349" i="2"/>
  <c r="H349" i="2"/>
  <c r="A350" i="2"/>
  <c r="B350" i="2"/>
  <c r="I350" i="2" s="1"/>
  <c r="C350" i="2"/>
  <c r="D350" i="2"/>
  <c r="F350" i="2"/>
  <c r="G350" i="2"/>
  <c r="H350" i="2"/>
  <c r="A351" i="2"/>
  <c r="B351" i="2"/>
  <c r="I351" i="2" s="1"/>
  <c r="C351" i="2"/>
  <c r="D351" i="2"/>
  <c r="F351" i="2"/>
  <c r="G351" i="2"/>
  <c r="H351" i="2"/>
  <c r="A352" i="2"/>
  <c r="B352" i="2"/>
  <c r="I352" i="2" s="1"/>
  <c r="C352" i="2"/>
  <c r="D352" i="2"/>
  <c r="F352" i="2"/>
  <c r="G352" i="2"/>
  <c r="H352" i="2"/>
  <c r="A353" i="2"/>
  <c r="B353" i="2"/>
  <c r="I353" i="2" s="1"/>
  <c r="C353" i="2"/>
  <c r="D353" i="2"/>
  <c r="F353" i="2"/>
  <c r="G353" i="2"/>
  <c r="H353" i="2"/>
  <c r="A354" i="2"/>
  <c r="B354" i="2"/>
  <c r="I354" i="2" s="1"/>
  <c r="C354" i="2"/>
  <c r="D354" i="2"/>
  <c r="F354" i="2"/>
  <c r="G354" i="2"/>
  <c r="H354" i="2"/>
  <c r="A355" i="2"/>
  <c r="B355" i="2"/>
  <c r="I355" i="2" s="1"/>
  <c r="C355" i="2"/>
  <c r="D355" i="2"/>
  <c r="F355" i="2"/>
  <c r="G355" i="2"/>
  <c r="H355" i="2"/>
  <c r="A356" i="2"/>
  <c r="B356" i="2"/>
  <c r="I356" i="2" s="1"/>
  <c r="C356" i="2"/>
  <c r="D356" i="2"/>
  <c r="F356" i="2"/>
  <c r="G356" i="2"/>
  <c r="H356" i="2"/>
  <c r="A357" i="2"/>
  <c r="B357" i="2"/>
  <c r="I357" i="2" s="1"/>
  <c r="C357" i="2"/>
  <c r="D357" i="2"/>
  <c r="F357" i="2"/>
  <c r="G357" i="2"/>
  <c r="H357" i="2"/>
  <c r="A313" i="2"/>
  <c r="B313" i="2"/>
  <c r="I313" i="2" s="1"/>
  <c r="C313" i="2"/>
  <c r="D313" i="2"/>
  <c r="F313" i="2"/>
  <c r="G313" i="2"/>
  <c r="H313" i="2"/>
  <c r="A314" i="2"/>
  <c r="B314" i="2"/>
  <c r="I314" i="2" s="1"/>
  <c r="C314" i="2"/>
  <c r="D314" i="2"/>
  <c r="F314" i="2"/>
  <c r="G314" i="2"/>
  <c r="H314" i="2"/>
  <c r="A315" i="2"/>
  <c r="B315" i="2"/>
  <c r="I315" i="2" s="1"/>
  <c r="C315" i="2"/>
  <c r="D315" i="2"/>
  <c r="F315" i="2"/>
  <c r="G315" i="2"/>
  <c r="H315" i="2"/>
  <c r="A316" i="2"/>
  <c r="B316" i="2"/>
  <c r="I316" i="2" s="1"/>
  <c r="C316" i="2"/>
  <c r="D316" i="2"/>
  <c r="F316" i="2"/>
  <c r="G316" i="2"/>
  <c r="H316" i="2"/>
  <c r="A317" i="2"/>
  <c r="B317" i="2"/>
  <c r="I317" i="2" s="1"/>
  <c r="C317" i="2"/>
  <c r="D317" i="2"/>
  <c r="F317" i="2"/>
  <c r="G317" i="2"/>
  <c r="H317" i="2"/>
  <c r="A318" i="2"/>
  <c r="B318" i="2"/>
  <c r="I318" i="2" s="1"/>
  <c r="C318" i="2"/>
  <c r="D318" i="2"/>
  <c r="F318" i="2"/>
  <c r="G318" i="2"/>
  <c r="H318" i="2"/>
  <c r="A319" i="2"/>
  <c r="B319" i="2"/>
  <c r="I319" i="2" s="1"/>
  <c r="C319" i="2"/>
  <c r="D319" i="2"/>
  <c r="F319" i="2"/>
  <c r="G319" i="2"/>
  <c r="H319" i="2"/>
  <c r="A320" i="2"/>
  <c r="B320" i="2"/>
  <c r="I320" i="2" s="1"/>
  <c r="C320" i="2"/>
  <c r="D320" i="2"/>
  <c r="F320" i="2"/>
  <c r="G320" i="2"/>
  <c r="H320" i="2"/>
  <c r="A321" i="2"/>
  <c r="B321" i="2"/>
  <c r="I321" i="2" s="1"/>
  <c r="C321" i="2"/>
  <c r="D321" i="2"/>
  <c r="F321" i="2"/>
  <c r="G321" i="2"/>
  <c r="H321" i="2"/>
  <c r="A322" i="2"/>
  <c r="B322" i="2"/>
  <c r="I322" i="2" s="1"/>
  <c r="C322" i="2"/>
  <c r="D322" i="2"/>
  <c r="F322" i="2"/>
  <c r="G322" i="2"/>
  <c r="H322" i="2"/>
  <c r="A323" i="2"/>
  <c r="B323" i="2"/>
  <c r="I323" i="2" s="1"/>
  <c r="C323" i="2"/>
  <c r="D323" i="2"/>
  <c r="F323" i="2"/>
  <c r="G323" i="2"/>
  <c r="H323" i="2"/>
  <c r="A324" i="2"/>
  <c r="B324" i="2"/>
  <c r="I324" i="2" s="1"/>
  <c r="C324" i="2"/>
  <c r="D324" i="2"/>
  <c r="F324" i="2"/>
  <c r="G324" i="2"/>
  <c r="H324" i="2"/>
  <c r="A325" i="2"/>
  <c r="B325" i="2"/>
  <c r="I325" i="2" s="1"/>
  <c r="C325" i="2"/>
  <c r="D325" i="2"/>
  <c r="F325" i="2"/>
  <c r="G325" i="2"/>
  <c r="H325" i="2"/>
  <c r="A326" i="2"/>
  <c r="B326" i="2"/>
  <c r="I326" i="2" s="1"/>
  <c r="C326" i="2"/>
  <c r="D326" i="2"/>
  <c r="F326" i="2"/>
  <c r="G326" i="2"/>
  <c r="H326" i="2"/>
  <c r="A327" i="2"/>
  <c r="B327" i="2"/>
  <c r="I327" i="2" s="1"/>
  <c r="C327" i="2"/>
  <c r="D327" i="2"/>
  <c r="F327" i="2"/>
  <c r="G327" i="2"/>
  <c r="H327" i="2"/>
  <c r="A328" i="2"/>
  <c r="B328" i="2"/>
  <c r="I328" i="2" s="1"/>
  <c r="C328" i="2"/>
  <c r="D328" i="2"/>
  <c r="F328" i="2"/>
  <c r="G328" i="2"/>
  <c r="H328" i="2"/>
  <c r="A329" i="2"/>
  <c r="B329" i="2"/>
  <c r="I329" i="2" s="1"/>
  <c r="C329" i="2"/>
  <c r="D329" i="2"/>
  <c r="F329" i="2"/>
  <c r="G329" i="2"/>
  <c r="H329" i="2"/>
  <c r="A330" i="2"/>
  <c r="B330" i="2"/>
  <c r="I330" i="2" s="1"/>
  <c r="C330" i="2"/>
  <c r="D330" i="2"/>
  <c r="F330" i="2"/>
  <c r="G330" i="2"/>
  <c r="H330" i="2"/>
  <c r="A290" i="2"/>
  <c r="B290" i="2"/>
  <c r="I290" i="2" s="1"/>
  <c r="C290" i="2"/>
  <c r="D290" i="2"/>
  <c r="F290" i="2"/>
  <c r="G290" i="2"/>
  <c r="H290" i="2"/>
  <c r="A291" i="2"/>
  <c r="B291" i="2"/>
  <c r="I291" i="2" s="1"/>
  <c r="C291" i="2"/>
  <c r="D291" i="2"/>
  <c r="F291" i="2"/>
  <c r="G291" i="2"/>
  <c r="H291" i="2"/>
  <c r="A292" i="2"/>
  <c r="B292" i="2"/>
  <c r="I292" i="2" s="1"/>
  <c r="C292" i="2"/>
  <c r="D292" i="2"/>
  <c r="F292" i="2"/>
  <c r="G292" i="2"/>
  <c r="H292" i="2"/>
  <c r="A293" i="2"/>
  <c r="B293" i="2"/>
  <c r="I293" i="2" s="1"/>
  <c r="C293" i="2"/>
  <c r="D293" i="2"/>
  <c r="F293" i="2"/>
  <c r="G293" i="2"/>
  <c r="H293" i="2"/>
  <c r="A294" i="2"/>
  <c r="B294" i="2"/>
  <c r="I294" i="2" s="1"/>
  <c r="C294" i="2"/>
  <c r="D294" i="2"/>
  <c r="F294" i="2"/>
  <c r="G294" i="2"/>
  <c r="H294" i="2"/>
  <c r="A295" i="2"/>
  <c r="B295" i="2"/>
  <c r="I295" i="2" s="1"/>
  <c r="C295" i="2"/>
  <c r="D295" i="2"/>
  <c r="F295" i="2"/>
  <c r="G295" i="2"/>
  <c r="H295" i="2"/>
  <c r="A296" i="2"/>
  <c r="B296" i="2"/>
  <c r="I296" i="2" s="1"/>
  <c r="C296" i="2"/>
  <c r="D296" i="2"/>
  <c r="F296" i="2"/>
  <c r="G296" i="2"/>
  <c r="H296" i="2"/>
  <c r="A297" i="2"/>
  <c r="B297" i="2"/>
  <c r="I297" i="2" s="1"/>
  <c r="C297" i="2"/>
  <c r="D297" i="2"/>
  <c r="F297" i="2"/>
  <c r="G297" i="2"/>
  <c r="H297" i="2"/>
  <c r="A298" i="2"/>
  <c r="B298" i="2"/>
  <c r="I298" i="2" s="1"/>
  <c r="C298" i="2"/>
  <c r="D298" i="2"/>
  <c r="F298" i="2"/>
  <c r="G298" i="2"/>
  <c r="H298" i="2"/>
  <c r="A299" i="2"/>
  <c r="B299" i="2"/>
  <c r="I299" i="2" s="1"/>
  <c r="C299" i="2"/>
  <c r="D299" i="2"/>
  <c r="F299" i="2"/>
  <c r="G299" i="2"/>
  <c r="H299" i="2"/>
  <c r="A300" i="2"/>
  <c r="B300" i="2"/>
  <c r="I300" i="2" s="1"/>
  <c r="C300" i="2"/>
  <c r="D300" i="2"/>
  <c r="F300" i="2"/>
  <c r="G300" i="2"/>
  <c r="H300" i="2"/>
  <c r="A301" i="2"/>
  <c r="B301" i="2"/>
  <c r="I301" i="2" s="1"/>
  <c r="C301" i="2"/>
  <c r="D301" i="2"/>
  <c r="F301" i="2"/>
  <c r="G301" i="2"/>
  <c r="H301" i="2"/>
  <c r="A302" i="2"/>
  <c r="B302" i="2"/>
  <c r="I302" i="2" s="1"/>
  <c r="C302" i="2"/>
  <c r="D302" i="2"/>
  <c r="F302" i="2"/>
  <c r="G302" i="2"/>
  <c r="H302" i="2"/>
  <c r="A303" i="2"/>
  <c r="B303" i="2"/>
  <c r="I303" i="2" s="1"/>
  <c r="C303" i="2"/>
  <c r="D303" i="2"/>
  <c r="F303" i="2"/>
  <c r="G303" i="2"/>
  <c r="H303" i="2"/>
  <c r="A304" i="2"/>
  <c r="B304" i="2"/>
  <c r="I304" i="2" s="1"/>
  <c r="C304" i="2"/>
  <c r="D304" i="2"/>
  <c r="F304" i="2"/>
  <c r="G304" i="2"/>
  <c r="H304" i="2"/>
  <c r="A305" i="2"/>
  <c r="B305" i="2"/>
  <c r="I305" i="2" s="1"/>
  <c r="C305" i="2"/>
  <c r="D305" i="2"/>
  <c r="F305" i="2"/>
  <c r="G305" i="2"/>
  <c r="H305" i="2"/>
  <c r="A306" i="2"/>
  <c r="B306" i="2"/>
  <c r="I306" i="2" s="1"/>
  <c r="C306" i="2"/>
  <c r="D306" i="2"/>
  <c r="F306" i="2"/>
  <c r="G306" i="2"/>
  <c r="H306" i="2"/>
  <c r="A307" i="2"/>
  <c r="B307" i="2"/>
  <c r="I307" i="2" s="1"/>
  <c r="C307" i="2"/>
  <c r="D307" i="2"/>
  <c r="F307" i="2"/>
  <c r="G307" i="2"/>
  <c r="H307" i="2"/>
  <c r="A308" i="2"/>
  <c r="B308" i="2"/>
  <c r="I308" i="2" s="1"/>
  <c r="C308" i="2"/>
  <c r="D308" i="2"/>
  <c r="F308" i="2"/>
  <c r="G308" i="2"/>
  <c r="H308" i="2"/>
  <c r="A309" i="2"/>
  <c r="B309" i="2"/>
  <c r="I309" i="2" s="1"/>
  <c r="C309" i="2"/>
  <c r="D309" i="2"/>
  <c r="F309" i="2"/>
  <c r="G309" i="2"/>
  <c r="H309" i="2"/>
  <c r="A310" i="2"/>
  <c r="B310" i="2"/>
  <c r="I310" i="2" s="1"/>
  <c r="C310" i="2"/>
  <c r="D310" i="2"/>
  <c r="F310" i="2"/>
  <c r="G310" i="2"/>
  <c r="H310" i="2"/>
  <c r="A311" i="2"/>
  <c r="B311" i="2"/>
  <c r="I311" i="2" s="1"/>
  <c r="C311" i="2"/>
  <c r="D311" i="2"/>
  <c r="F311" i="2"/>
  <c r="G311" i="2"/>
  <c r="H311" i="2"/>
  <c r="A312" i="2"/>
  <c r="B312" i="2"/>
  <c r="I312" i="2" s="1"/>
  <c r="C312" i="2"/>
  <c r="D312" i="2"/>
  <c r="F312" i="2"/>
  <c r="G312" i="2"/>
  <c r="H312" i="2"/>
  <c r="A272" i="2"/>
  <c r="B272" i="2"/>
  <c r="I272" i="2" s="1"/>
  <c r="C272" i="2"/>
  <c r="D272" i="2"/>
  <c r="F272" i="2"/>
  <c r="G272" i="2"/>
  <c r="H272" i="2"/>
  <c r="A273" i="2"/>
  <c r="B273" i="2"/>
  <c r="I273" i="2" s="1"/>
  <c r="C273" i="2"/>
  <c r="D273" i="2"/>
  <c r="F273" i="2"/>
  <c r="G273" i="2"/>
  <c r="H273" i="2"/>
  <c r="A274" i="2"/>
  <c r="B274" i="2"/>
  <c r="I274" i="2" s="1"/>
  <c r="C274" i="2"/>
  <c r="D274" i="2"/>
  <c r="F274" i="2"/>
  <c r="G274" i="2"/>
  <c r="H274" i="2"/>
  <c r="A275" i="2"/>
  <c r="B275" i="2"/>
  <c r="I275" i="2" s="1"/>
  <c r="C275" i="2"/>
  <c r="D275" i="2"/>
  <c r="F275" i="2"/>
  <c r="G275" i="2"/>
  <c r="H275" i="2"/>
  <c r="A276" i="2"/>
  <c r="B276" i="2"/>
  <c r="I276" i="2" s="1"/>
  <c r="C276" i="2"/>
  <c r="D276" i="2"/>
  <c r="F276" i="2"/>
  <c r="G276" i="2"/>
  <c r="H276" i="2"/>
  <c r="A277" i="2"/>
  <c r="B277" i="2"/>
  <c r="I277" i="2" s="1"/>
  <c r="C277" i="2"/>
  <c r="D277" i="2"/>
  <c r="F277" i="2"/>
  <c r="G277" i="2"/>
  <c r="H277" i="2"/>
  <c r="A278" i="2"/>
  <c r="B278" i="2"/>
  <c r="I278" i="2" s="1"/>
  <c r="C278" i="2"/>
  <c r="D278" i="2"/>
  <c r="F278" i="2"/>
  <c r="G278" i="2"/>
  <c r="H278" i="2"/>
  <c r="A279" i="2"/>
  <c r="B279" i="2"/>
  <c r="I279" i="2" s="1"/>
  <c r="C279" i="2"/>
  <c r="D279" i="2"/>
  <c r="F279" i="2"/>
  <c r="G279" i="2"/>
  <c r="H279" i="2"/>
  <c r="A280" i="2"/>
  <c r="B280" i="2"/>
  <c r="I280" i="2" s="1"/>
  <c r="C280" i="2"/>
  <c r="D280" i="2"/>
  <c r="F280" i="2"/>
  <c r="G280" i="2"/>
  <c r="H280" i="2"/>
  <c r="A281" i="2"/>
  <c r="B281" i="2"/>
  <c r="I281" i="2" s="1"/>
  <c r="C281" i="2"/>
  <c r="D281" i="2"/>
  <c r="F281" i="2"/>
  <c r="G281" i="2"/>
  <c r="H281" i="2"/>
  <c r="A282" i="2"/>
  <c r="B282" i="2"/>
  <c r="I282" i="2" s="1"/>
  <c r="C282" i="2"/>
  <c r="D282" i="2"/>
  <c r="F282" i="2"/>
  <c r="G282" i="2"/>
  <c r="H282" i="2"/>
  <c r="A283" i="2"/>
  <c r="B283" i="2"/>
  <c r="I283" i="2" s="1"/>
  <c r="C283" i="2"/>
  <c r="D283" i="2"/>
  <c r="F283" i="2"/>
  <c r="G283" i="2"/>
  <c r="H283" i="2"/>
  <c r="A284" i="2"/>
  <c r="B284" i="2"/>
  <c r="I284" i="2" s="1"/>
  <c r="C284" i="2"/>
  <c r="D284" i="2"/>
  <c r="F284" i="2"/>
  <c r="G284" i="2"/>
  <c r="H284" i="2"/>
  <c r="A285" i="2"/>
  <c r="B285" i="2"/>
  <c r="I285" i="2" s="1"/>
  <c r="C285" i="2"/>
  <c r="D285" i="2"/>
  <c r="F285" i="2"/>
  <c r="G285" i="2"/>
  <c r="H285" i="2"/>
  <c r="A286" i="2"/>
  <c r="B286" i="2"/>
  <c r="I286" i="2" s="1"/>
  <c r="C286" i="2"/>
  <c r="D286" i="2"/>
  <c r="F286" i="2"/>
  <c r="G286" i="2"/>
  <c r="H286" i="2"/>
  <c r="A287" i="2"/>
  <c r="B287" i="2"/>
  <c r="I287" i="2" s="1"/>
  <c r="C287" i="2"/>
  <c r="D287" i="2"/>
  <c r="F287" i="2"/>
  <c r="G287" i="2"/>
  <c r="H287" i="2"/>
  <c r="A288" i="2"/>
  <c r="B288" i="2"/>
  <c r="I288" i="2" s="1"/>
  <c r="C288" i="2"/>
  <c r="D288" i="2"/>
  <c r="F288" i="2"/>
  <c r="G288" i="2"/>
  <c r="H288" i="2"/>
  <c r="A289" i="2"/>
  <c r="B289" i="2"/>
  <c r="I289" i="2" s="1"/>
  <c r="C289" i="2"/>
  <c r="D289" i="2"/>
  <c r="F289" i="2"/>
  <c r="G289" i="2"/>
  <c r="H289" i="2"/>
  <c r="A248" i="2"/>
  <c r="B248" i="2"/>
  <c r="I248" i="2" s="1"/>
  <c r="C248" i="2"/>
  <c r="D248" i="2"/>
  <c r="F248" i="2"/>
  <c r="G248" i="2"/>
  <c r="H248" i="2"/>
  <c r="A249" i="2"/>
  <c r="B249" i="2"/>
  <c r="I249" i="2" s="1"/>
  <c r="C249" i="2"/>
  <c r="D249" i="2"/>
  <c r="F249" i="2"/>
  <c r="G249" i="2"/>
  <c r="H249" i="2"/>
  <c r="A250" i="2"/>
  <c r="B250" i="2"/>
  <c r="I250" i="2" s="1"/>
  <c r="C250" i="2"/>
  <c r="D250" i="2"/>
  <c r="F250" i="2"/>
  <c r="G250" i="2"/>
  <c r="H250" i="2"/>
  <c r="A251" i="2"/>
  <c r="B251" i="2"/>
  <c r="I251" i="2" s="1"/>
  <c r="C251" i="2"/>
  <c r="D251" i="2"/>
  <c r="F251" i="2"/>
  <c r="G251" i="2"/>
  <c r="H251" i="2"/>
  <c r="A252" i="2"/>
  <c r="B252" i="2"/>
  <c r="I252" i="2" s="1"/>
  <c r="C252" i="2"/>
  <c r="D252" i="2"/>
  <c r="F252" i="2"/>
  <c r="G252" i="2"/>
  <c r="H252" i="2"/>
  <c r="A253" i="2"/>
  <c r="B253" i="2"/>
  <c r="I253" i="2" s="1"/>
  <c r="C253" i="2"/>
  <c r="D253" i="2"/>
  <c r="F253" i="2"/>
  <c r="G253" i="2"/>
  <c r="H253" i="2"/>
  <c r="A254" i="2"/>
  <c r="B254" i="2"/>
  <c r="I254" i="2" s="1"/>
  <c r="C254" i="2"/>
  <c r="D254" i="2"/>
  <c r="F254" i="2"/>
  <c r="G254" i="2"/>
  <c r="H254" i="2"/>
  <c r="A255" i="2"/>
  <c r="B255" i="2"/>
  <c r="I255" i="2" s="1"/>
  <c r="C255" i="2"/>
  <c r="D255" i="2"/>
  <c r="F255" i="2"/>
  <c r="G255" i="2"/>
  <c r="H255" i="2"/>
  <c r="A256" i="2"/>
  <c r="B256" i="2"/>
  <c r="I256" i="2" s="1"/>
  <c r="C256" i="2"/>
  <c r="D256" i="2"/>
  <c r="F256" i="2"/>
  <c r="G256" i="2"/>
  <c r="H256" i="2"/>
  <c r="A257" i="2"/>
  <c r="B257" i="2"/>
  <c r="I257" i="2" s="1"/>
  <c r="C257" i="2"/>
  <c r="D257" i="2"/>
  <c r="F257" i="2"/>
  <c r="G257" i="2"/>
  <c r="H257" i="2"/>
  <c r="A258" i="2"/>
  <c r="B258" i="2"/>
  <c r="I258" i="2" s="1"/>
  <c r="C258" i="2"/>
  <c r="D258" i="2"/>
  <c r="F258" i="2"/>
  <c r="G258" i="2"/>
  <c r="H258" i="2"/>
  <c r="A259" i="2"/>
  <c r="B259" i="2"/>
  <c r="I259" i="2" s="1"/>
  <c r="C259" i="2"/>
  <c r="D259" i="2"/>
  <c r="F259" i="2"/>
  <c r="G259" i="2"/>
  <c r="H259" i="2"/>
  <c r="A260" i="2"/>
  <c r="B260" i="2"/>
  <c r="I260" i="2" s="1"/>
  <c r="C260" i="2"/>
  <c r="D260" i="2"/>
  <c r="F260" i="2"/>
  <c r="G260" i="2"/>
  <c r="H260" i="2"/>
  <c r="A261" i="2"/>
  <c r="B261" i="2"/>
  <c r="I261" i="2" s="1"/>
  <c r="C261" i="2"/>
  <c r="D261" i="2"/>
  <c r="F261" i="2"/>
  <c r="G261" i="2"/>
  <c r="H261" i="2"/>
  <c r="A262" i="2"/>
  <c r="B262" i="2"/>
  <c r="I262" i="2" s="1"/>
  <c r="C262" i="2"/>
  <c r="D262" i="2"/>
  <c r="F262" i="2"/>
  <c r="G262" i="2"/>
  <c r="H262" i="2"/>
  <c r="A263" i="2"/>
  <c r="B263" i="2"/>
  <c r="I263" i="2" s="1"/>
  <c r="C263" i="2"/>
  <c r="D263" i="2"/>
  <c r="F263" i="2"/>
  <c r="G263" i="2"/>
  <c r="H263" i="2"/>
  <c r="A264" i="2"/>
  <c r="B264" i="2"/>
  <c r="I264" i="2" s="1"/>
  <c r="C264" i="2"/>
  <c r="D264" i="2"/>
  <c r="F264" i="2"/>
  <c r="G264" i="2"/>
  <c r="H264" i="2"/>
  <c r="A265" i="2"/>
  <c r="B265" i="2"/>
  <c r="I265" i="2" s="1"/>
  <c r="C265" i="2"/>
  <c r="D265" i="2"/>
  <c r="F265" i="2"/>
  <c r="G265" i="2"/>
  <c r="H265" i="2"/>
  <c r="A266" i="2"/>
  <c r="B266" i="2"/>
  <c r="I266" i="2" s="1"/>
  <c r="C266" i="2"/>
  <c r="D266" i="2"/>
  <c r="F266" i="2"/>
  <c r="G266" i="2"/>
  <c r="H266" i="2"/>
  <c r="A267" i="2"/>
  <c r="B267" i="2"/>
  <c r="I267" i="2" s="1"/>
  <c r="C267" i="2"/>
  <c r="D267" i="2"/>
  <c r="F267" i="2"/>
  <c r="G267" i="2"/>
  <c r="H267" i="2"/>
  <c r="A268" i="2"/>
  <c r="B268" i="2"/>
  <c r="I268" i="2" s="1"/>
  <c r="C268" i="2"/>
  <c r="D268" i="2"/>
  <c r="F268" i="2"/>
  <c r="G268" i="2"/>
  <c r="H268" i="2"/>
  <c r="A269" i="2"/>
  <c r="B269" i="2"/>
  <c r="I269" i="2" s="1"/>
  <c r="C269" i="2"/>
  <c r="D269" i="2"/>
  <c r="F269" i="2"/>
  <c r="G269" i="2"/>
  <c r="H269" i="2"/>
  <c r="A270" i="2"/>
  <c r="B270" i="2"/>
  <c r="I270" i="2" s="1"/>
  <c r="C270" i="2"/>
  <c r="D270" i="2"/>
  <c r="F270" i="2"/>
  <c r="G270" i="2"/>
  <c r="H270" i="2"/>
  <c r="A271" i="2"/>
  <c r="B271" i="2"/>
  <c r="I271" i="2" s="1"/>
  <c r="C271" i="2"/>
  <c r="D271" i="2"/>
  <c r="F271" i="2"/>
  <c r="G271" i="2"/>
  <c r="H271" i="2"/>
  <c r="A219" i="2"/>
  <c r="B219" i="2"/>
  <c r="I219" i="2" s="1"/>
  <c r="C219" i="2"/>
  <c r="D219" i="2"/>
  <c r="F219" i="2"/>
  <c r="G219" i="2"/>
  <c r="H219" i="2"/>
  <c r="D399" i="2" l="1"/>
  <c r="D7" i="7" l="1"/>
  <c r="E7" i="7"/>
  <c r="F7" i="7"/>
  <c r="G7" i="7"/>
  <c r="C7" i="7"/>
  <c r="B399" i="2"/>
  <c r="I399" i="2" s="1"/>
  <c r="A399" i="2"/>
  <c r="C399" i="2"/>
  <c r="F399" i="2"/>
  <c r="G399" i="2"/>
  <c r="H399" i="2"/>
  <c r="J20" i="6"/>
  <c r="I20" i="6"/>
</calcChain>
</file>

<file path=xl/sharedStrings.xml><?xml version="1.0" encoding="utf-8"?>
<sst xmlns="http://schemas.openxmlformats.org/spreadsheetml/2006/main" count="8845" uniqueCount="1483">
  <si>
    <t>0800-222-3340</t>
  </si>
  <si>
    <t>Total general</t>
  </si>
  <si>
    <t>Atendidas</t>
  </si>
  <si>
    <t>%</t>
  </si>
  <si>
    <t>Fecha.</t>
  </si>
  <si>
    <t>Etiquetas de columna</t>
  </si>
  <si>
    <t>Horario</t>
  </si>
  <si>
    <t>Horas</t>
  </si>
  <si>
    <t>Llamadas</t>
  </si>
  <si>
    <t>fecha real</t>
  </si>
  <si>
    <t>Direccion</t>
  </si>
  <si>
    <t>campaña</t>
  </si>
  <si>
    <t>Conexión</t>
  </si>
  <si>
    <t>Crm</t>
  </si>
  <si>
    <t>cola</t>
  </si>
  <si>
    <t>hora de contacta</t>
  </si>
  <si>
    <t>Fecha</t>
  </si>
  <si>
    <t>Id. llamada</t>
  </si>
  <si>
    <t>Dispositivo</t>
  </si>
  <si>
    <t>Servidor</t>
  </si>
  <si>
    <t>Placa</t>
  </si>
  <si>
    <t>Slot</t>
  </si>
  <si>
    <t>Aplicación</t>
  </si>
  <si>
    <t>Id. Aplicación</t>
  </si>
  <si>
    <t>Usuario</t>
  </si>
  <si>
    <t>Cola</t>
  </si>
  <si>
    <t>Estado</t>
  </si>
  <si>
    <t>Sub-Estado</t>
  </si>
  <si>
    <t>Inicio</t>
  </si>
  <si>
    <t>Fin</t>
  </si>
  <si>
    <t>DNIS</t>
  </si>
  <si>
    <t>ANI/Teléfono</t>
  </si>
  <si>
    <t>Dirección</t>
  </si>
  <si>
    <t>Tipo Grabación</t>
  </si>
  <si>
    <t>Grabación</t>
  </si>
  <si>
    <t>Grabación Depurada</t>
  </si>
  <si>
    <t>Tipo</t>
  </si>
  <si>
    <t>País/Provincia</t>
  </si>
  <si>
    <t>Ciudad/Localidad</t>
  </si>
  <si>
    <t>Costo</t>
  </si>
  <si>
    <t>Precio</t>
  </si>
  <si>
    <t>Importe Costo</t>
  </si>
  <si>
    <t>Importe Precio</t>
  </si>
  <si>
    <t>Proveedor</t>
  </si>
  <si>
    <t>Detalle</t>
  </si>
  <si>
    <t>Duración</t>
  </si>
  <si>
    <t>TIPO_DISCADOR</t>
  </si>
  <si>
    <t>CRM</t>
  </si>
  <si>
    <t>Base</t>
  </si>
  <si>
    <t>Id. Contacto</t>
  </si>
  <si>
    <t>Datos</t>
  </si>
  <si>
    <t>Log</t>
  </si>
  <si>
    <t>Sub-Partes</t>
  </si>
  <si>
    <t>ENTRANTE</t>
  </si>
  <si>
    <t>Admisiones</t>
  </si>
  <si>
    <t>Conectadas</t>
  </si>
  <si>
    <t>NEO1</t>
  </si>
  <si>
    <t>CAMPAÑA</t>
  </si>
  <si>
    <t>ANSWER</t>
  </si>
  <si>
    <t>AGENT</t>
  </si>
  <si>
    <t>FULL</t>
  </si>
  <si>
    <t>NAC-CEL</t>
  </si>
  <si>
    <t>NACIONAL</t>
  </si>
  <si>
    <t>PAIS-CELULAR</t>
  </si>
  <si>
    <t>BL</t>
  </si>
  <si>
    <t>NotSet</t>
  </si>
  <si>
    <t>LOC-FIJO</t>
  </si>
  <si>
    <t>LOCAL-FIJO</t>
  </si>
  <si>
    <t>Perdidas</t>
  </si>
  <si>
    <t>NULL</t>
  </si>
  <si>
    <t>NAC-FIJO</t>
  </si>
  <si>
    <t>(Todas)</t>
  </si>
  <si>
    <t>Etiquetas de fila</t>
  </si>
  <si>
    <t>Cuenta de Conexión</t>
  </si>
  <si>
    <t>la llamdas en servicios tienenen que ser crm 37 y 50 para que se cuenten las llamdas conectadas y perdidas</t>
  </si>
  <si>
    <t>CANAL</t>
  </si>
  <si>
    <t>PUERTO</t>
  </si>
  <si>
    <t>Campaña</t>
  </si>
  <si>
    <t>ENTIDAD</t>
  </si>
  <si>
    <t>llamdas</t>
  </si>
  <si>
    <t>coordenadas</t>
  </si>
  <si>
    <t>Puerto4D4</t>
  </si>
  <si>
    <t>Chipera</t>
  </si>
  <si>
    <t>Servicios</t>
  </si>
  <si>
    <t>Puerto26D4</t>
  </si>
  <si>
    <t>Puerto24D4</t>
  </si>
  <si>
    <t>Puerto6D4</t>
  </si>
  <si>
    <t>Puerto18D4</t>
  </si>
  <si>
    <t>Puerto28D4</t>
  </si>
  <si>
    <t>Puerto30D4</t>
  </si>
  <si>
    <t>Puerto25D4</t>
  </si>
  <si>
    <t>Puerto15D4</t>
  </si>
  <si>
    <t>Puerto11D4</t>
  </si>
  <si>
    <t>Puerto20D4</t>
  </si>
  <si>
    <t>Puerto12D4</t>
  </si>
  <si>
    <t>Puerto8D4</t>
  </si>
  <si>
    <t>Puerto32D4</t>
  </si>
  <si>
    <t>Puerto27D4</t>
  </si>
  <si>
    <t>Puerto23D4</t>
  </si>
  <si>
    <t>Puerto13D4</t>
  </si>
  <si>
    <t>Puerto22D4</t>
  </si>
  <si>
    <t>Puerto14D4</t>
  </si>
  <si>
    <t>Puerto29D4</t>
  </si>
  <si>
    <t>Puerto9D4</t>
  </si>
  <si>
    <t>Puerto19D4</t>
  </si>
  <si>
    <t>Puerto3D4</t>
  </si>
  <si>
    <t>Puerto1D4</t>
  </si>
  <si>
    <t>Puerto2D4</t>
  </si>
  <si>
    <t>Puerto17D4</t>
  </si>
  <si>
    <t>Puerto16D4</t>
  </si>
  <si>
    <t>Puerto31D4</t>
  </si>
  <si>
    <t>Puerto21D4</t>
  </si>
  <si>
    <t>Puerto10D4</t>
  </si>
  <si>
    <t>Puerto5D4</t>
  </si>
  <si>
    <t>Puerto7D4</t>
  </si>
  <si>
    <t>100</t>
  </si>
  <si>
    <t>Anura</t>
  </si>
  <si>
    <t>01152741410</t>
  </si>
  <si>
    <t/>
  </si>
  <si>
    <t>QUEUED</t>
  </si>
  <si>
    <t>RINGING</t>
  </si>
  <si>
    <t>anonymous</t>
  </si>
  <si>
    <t>UNKNOWN</t>
  </si>
  <si>
    <t>???</t>
  </si>
  <si>
    <t>Matriculado</t>
  </si>
  <si>
    <t>Linea</t>
  </si>
  <si>
    <t>BUENOS AIRES</t>
  </si>
  <si>
    <t>8160 - QUEVEDO, JOAHANA</t>
  </si>
  <si>
    <t>8787 - Lescano, Eugenia</t>
  </si>
  <si>
    <t>LA PLATA</t>
  </si>
  <si>
    <t>CORDOBA</t>
  </si>
  <si>
    <t>RIO NEGRO</t>
  </si>
  <si>
    <t>SALTA</t>
  </si>
  <si>
    <t>CHACO</t>
  </si>
  <si>
    <t>SERVICIOS_SIP</t>
  </si>
  <si>
    <t>SANTA CRUZ</t>
  </si>
  <si>
    <t>RIO GALLEGOS</t>
  </si>
  <si>
    <t>TARTAGAL (PROV. SALTA)</t>
  </si>
  <si>
    <t>TUCUMAN</t>
  </si>
  <si>
    <t>SAN MIGUEL DE TUCUMAN</t>
  </si>
  <si>
    <t>SAN JUAN</t>
  </si>
  <si>
    <t>JUJUY</t>
  </si>
  <si>
    <t>SANTA FE</t>
  </si>
  <si>
    <t>ROSARIO</t>
  </si>
  <si>
    <t>Lunes</t>
  </si>
  <si>
    <t>8861 - Caceres, Martina</t>
  </si>
  <si>
    <t>MISIONES</t>
  </si>
  <si>
    <t>CHUBUT</t>
  </si>
  <si>
    <t>MENDOZA</t>
  </si>
  <si>
    <t>TRELEW</t>
  </si>
  <si>
    <t>RESISTENCIA</t>
  </si>
  <si>
    <t>8823 - Olmedo  , Selene</t>
  </si>
  <si>
    <t>8872 - Pasetti, Gisela Lorena</t>
  </si>
  <si>
    <t>8927 - Lizarrondo, Candela</t>
  </si>
  <si>
    <t>NEUQUEN</t>
  </si>
  <si>
    <t>COMODORO RIVADAVIA</t>
  </si>
  <si>
    <t>CATAMARCA</t>
  </si>
  <si>
    <t>ENTRE RIOS</t>
  </si>
  <si>
    <t>8790 - Adanto, Joaquin</t>
  </si>
  <si>
    <t>8647 - Molina, Rocio</t>
  </si>
  <si>
    <t>SAN PEDRO (PROV. JUJUY)</t>
  </si>
  <si>
    <t>8957 - Bustos, Juan Ignacio</t>
  </si>
  <si>
    <t>8938 - Spertino, Exequiel</t>
  </si>
  <si>
    <t xml:space="preserve">8814 - Nievas, Jimena </t>
  </si>
  <si>
    <t>ORAN</t>
  </si>
  <si>
    <t>8935 - Marinelli, Elias</t>
  </si>
  <si>
    <t>BAHIA BLANCA</t>
  </si>
  <si>
    <t>3512799120</t>
  </si>
  <si>
    <t>8940 - Rodriguez, Maria Belén</t>
  </si>
  <si>
    <t>LA PAMPA</t>
  </si>
  <si>
    <t>SANTA ROSA (PROV. LA PAMPA)</t>
  </si>
  <si>
    <t>LA RIOJA</t>
  </si>
  <si>
    <t>VIEDMA</t>
  </si>
  <si>
    <t>3517389670</t>
  </si>
  <si>
    <t>8864 - González, Maitena</t>
  </si>
  <si>
    <t>1144067708</t>
  </si>
  <si>
    <t>Jan  2 2026 11:56AM</t>
  </si>
  <si>
    <t>TANDIL</t>
  </si>
  <si>
    <t>GENERAL ROCA (PROV. RIO NEGRO)</t>
  </si>
  <si>
    <t>LUJAN (PROV. BUENOS AIRES)</t>
  </si>
  <si>
    <t>1154662794</t>
  </si>
  <si>
    <t>MAR DEL PLATA</t>
  </si>
  <si>
    <t>PUERTO IGUAZU</t>
  </si>
  <si>
    <t>1169394280</t>
  </si>
  <si>
    <t>2323361089</t>
  </si>
  <si>
    <t>3884459927</t>
  </si>
  <si>
    <t>Feb 11 2026 10:06AM</t>
  </si>
  <si>
    <t>3517022622</t>
  </si>
  <si>
    <t>Apr  3 2025 11:10AM</t>
  </si>
  <si>
    <t>1130795152</t>
  </si>
  <si>
    <t>Apr 13 2026  2:36PM</t>
  </si>
  <si>
    <t>3517463133</t>
  </si>
  <si>
    <t>2974572876</t>
  </si>
  <si>
    <t>Telefono</t>
  </si>
  <si>
    <t>ASA</t>
  </si>
  <si>
    <t>AS</t>
  </si>
  <si>
    <t>1160327348</t>
  </si>
  <si>
    <t>1159432774</t>
  </si>
  <si>
    <t>1150992454</t>
  </si>
  <si>
    <t>1132713706</t>
  </si>
  <si>
    <t>1169566041</t>
  </si>
  <si>
    <t>1127472129</t>
  </si>
  <si>
    <t>3446375098</t>
  </si>
  <si>
    <t>2932477185</t>
  </si>
  <si>
    <t>1151394081</t>
  </si>
  <si>
    <t>1127475585</t>
  </si>
  <si>
    <t>8995 - March, Lucas Ezequiel</t>
  </si>
  <si>
    <t>3434657088</t>
  </si>
  <si>
    <t>3434657088-149405570-20260529202950.mp3</t>
  </si>
  <si>
    <t>|0||SIP/SERVICIOS_SIP-000258b7|1780097484.153792|16:Normal Clearing|17:Network|7||-1|NotSet|</t>
  </si>
  <si>
    <t>1165922569</t>
  </si>
  <si>
    <t>1165922569-149405048-20260529195633.mp3</t>
  </si>
  <si>
    <t>|0||SIP/SERVICIOS_SIP-0002534d|1780095487.152406|16:Normal Clearing|16:PBX|23|SIP/GQ135-00025358|-1|NotSet|</t>
  </si>
  <si>
    <t>1122741132</t>
  </si>
  <si>
    <t>1122741132-149405047-20260529195632.mp3</t>
  </si>
  <si>
    <t>|0||SIP/SERVICIOS_SIP-0002534b|1780095485.152404|16:Normal Clearing|16:PBX|22|SIP/GQ109-0002535d|-1|NotSet|</t>
  </si>
  <si>
    <t>3585180073</t>
  </si>
  <si>
    <t>3585180073-149404429-20260529192313.mp3</t>
  </si>
  <si>
    <t>ADELIA MARIA</t>
  </si>
  <si>
    <t>|0||SIP/SERVICIOS_SIP-00024d1f|1780093486.150824|16:Normal Clearing|16:PBX|4|SIP/GQ135-00024d2f|-1|NotSet|</t>
  </si>
  <si>
    <t>2616821075</t>
  </si>
  <si>
    <t>2616821075-149404376-20260529192036.mp3</t>
  </si>
  <si>
    <t>|0||SIP/SERVICIOS_SIP-00024ca0|1780093329.150697|16:Normal Clearing|16:PBX|3|SIP/GQ135-00024cb4|-1|NotSet|</t>
  </si>
  <si>
    <t>3413244260</t>
  </si>
  <si>
    <t>2302349967</t>
  </si>
  <si>
    <t>2302349967-149402683-20260529174143.mp3</t>
  </si>
  <si>
    <t>GENERAL PICO</t>
  </si>
  <si>
    <t>|0||SIP/SERVICIOS_SIP-0001ef10|1780087396.126745|16:Normal Clearing|16:PBX|8|SIP/GQ135-0001ef31|-1|NotSet|</t>
  </si>
  <si>
    <t>1165132086</t>
  </si>
  <si>
    <t>1165132086-149402567-20260529173252.mp3</t>
  </si>
  <si>
    <t>|0||SIP/SERVICIOS_SIP-0001ee08|1780086865.126481|16:Normal Clearing|17:Network|6||-1|NotSet|</t>
  </si>
  <si>
    <t>1159489179</t>
  </si>
  <si>
    <t>1159489179-149402254-20260529171506.mp3</t>
  </si>
  <si>
    <t>|0||SIP/SERVICIOS_SIP-00019e1b|1780085799.106020|16:Normal Clearing|16:PBX|7||-1|NotSet|</t>
  </si>
  <si>
    <t>8984 - Cejas, Nahuel</t>
  </si>
  <si>
    <t>2994280550</t>
  </si>
  <si>
    <t>2994280550-149401863-20260529165429.mp3</t>
  </si>
  <si>
    <t>|0||SIP/SERVICIOS_SIP-00019ae4|1780084563.105197|16:Normal Clearing|16:PBX|0||-1|NotSet|</t>
  </si>
  <si>
    <t>1153331172</t>
  </si>
  <si>
    <t>1153331172-149401398-20260529163201.mp3</t>
  </si>
  <si>
    <t>|0||SIP/SERVICIOS_SIP-000196fb|1780083214.104196|16:Normal Clearing|16:PBX|14|SIP/GQ109-0001971d|-1|NotSet|</t>
  </si>
  <si>
    <t>1153257382</t>
  </si>
  <si>
    <t>1153257382-149401180-20260529162027.mp3</t>
  </si>
  <si>
    <t>|0||SIP/SERVICIOS_SIP-00014806|1780082520.83983|16:Normal Clearing|16:PBX|16||-1|NotSet|</t>
  </si>
  <si>
    <t>1130321018</t>
  </si>
  <si>
    <t>1130321018-149400288-20260529153017.mp3</t>
  </si>
  <si>
    <t>|0||SIP/SERVICIOS_SIP-00013e4e|1780079511.81493|16:Normal Clearing|16:PBX|14|SIP/GQ109-00013e59|-1|NotSet|</t>
  </si>
  <si>
    <t>8988 - Gudiño, Yamil</t>
  </si>
  <si>
    <t>1158421482</t>
  </si>
  <si>
    <t>1158421482-149398499-20260529133446.mp3</t>
  </si>
  <si>
    <t>|0||SIP/SERVICIOS_SIP-0000ddf7|1780072579.56828|16:Normal Clearing|16:PBX|2||-1|NotSet|</t>
  </si>
  <si>
    <t>3812498030</t>
  </si>
  <si>
    <t>3812498030-149398242-20260529131716.mp3</t>
  </si>
  <si>
    <t>|0||SIP/SERVICIOS_SIP-0000db49|1780071529.56142|16:Normal Clearing|17:Network|17||-1|NotSet|</t>
  </si>
  <si>
    <t>1166378034</t>
  </si>
  <si>
    <t>1166378034-149397492-20260529123813.mp3</t>
  </si>
  <si>
    <t>May 29 2026 12:39PM</t>
  </si>
  <si>
    <t>|0||SIP/SERVICIOS_SIP-0000d3d7|1780069186.54236|16:Normal Clearing|17:Network|3||-1|NotSet|</t>
  </si>
  <si>
    <t>1161247926</t>
  </si>
  <si>
    <t>1161247926-149395569-20260529110947.mp3</t>
  </si>
  <si>
    <t>May 29 2026 11:11AM</t>
  </si>
  <si>
    <t>|0||SIP/SERVICIOS_SIP-00003f21|1780063880.16165|16:Normal Clearing|17:Network|5||-1|NotSet|</t>
  </si>
  <si>
    <t>3418382668</t>
  </si>
  <si>
    <t>3418382668-149393952-20260529095459.mp3</t>
  </si>
  <si>
    <t>|0||SIP/SERVICIOS_SIP-000018d2|1780059393.6357|16:Normal Clearing|16:PBX|0|SIP/GQ192-000018e6|-1|NotSet|</t>
  </si>
  <si>
    <t>2645014382</t>
  </si>
  <si>
    <t>1133311989</t>
  </si>
  <si>
    <t>1133311989-149389275-20260528173550.mp3</t>
  </si>
  <si>
    <t>|0||SIP/SERVICIOS_SIP-000152c1|1780000641.86734|16:Normal Clearing|17:Network|3||-1|NotSet|</t>
  </si>
  <si>
    <t>1156144228</t>
  </si>
  <si>
    <t>1156144228-149389023-20260528172228.mp3</t>
  </si>
  <si>
    <t>|0||SIP/SERVICIOS_SIP-00014e2f|1779999839.85562|16:Normal Clearing|16:PBX|18|SIP/GQ198-00014e41|-1|NotSet|</t>
  </si>
  <si>
    <t>1128614148</t>
  </si>
  <si>
    <t>1128614148-149388828-20260528171037.mp3</t>
  </si>
  <si>
    <t>|0||SIP/SERVICIOS_SIP-00014a98|1779999128.84641|16:Normal Clearing|17:Network|13||-1|NotSet|</t>
  </si>
  <si>
    <t>2996568948</t>
  </si>
  <si>
    <t>2996568948-149388556-20260528165514.mp3</t>
  </si>
  <si>
    <t>|0||SIP/SERVICIOS_SIP-000145e5|1779998205.83438|16:Normal Clearing|17:Network|8||-1|NotSet|</t>
  </si>
  <si>
    <t>1160269326</t>
  </si>
  <si>
    <t>1160269326-149388240-20260528163917.mp3</t>
  </si>
  <si>
    <t>|0||SIP/SERVICIOS_SIP-00014052|1779997248.82011|16:Normal Clearing|16:PBX|27||-1|NotSet|</t>
  </si>
  <si>
    <t>1143633800</t>
  </si>
  <si>
    <t>1143633800-149386614-20260528151240.mp3</t>
  </si>
  <si>
    <t>|0||SIP/SERVICIOS_SIP-0001216d|1779992051.74100|16:Normal Clearing|16:PBX|17|SIP/GQ113-0001217f|-1|NotSet|</t>
  </si>
  <si>
    <t>1158624619</t>
  </si>
  <si>
    <t>1158624619-149386440-20260528145917.mp3</t>
  </si>
  <si>
    <t>May 28 2026  3:00PM</t>
  </si>
  <si>
    <t>|0||SIP/SERVICIOS_SIP-00011dc9|1779991248.73168|16:Normal Clearing|16:PBX|10|SIP/GQ108-00011de9|-1|NotSet|</t>
  </si>
  <si>
    <t>1122840350</t>
  </si>
  <si>
    <t>1122840350-149386358-20260528145559.mp3</t>
  </si>
  <si>
    <t>|0||SIP/SERVICIOS_SIP-00011c98|1779991050.72863|16:Normal Clearing|16:PBX|3|SIP/GQ106-00011cc3|-1|NotSet|</t>
  </si>
  <si>
    <t>2984120341</t>
  </si>
  <si>
    <t>2984120341-149385229-20260528135507.mp3</t>
  </si>
  <si>
    <t>|0||SIP/SERVICIOS_SIP-000109c6|1779987398.68044|16:Normal Clearing|16:PBX|5|SIP/GQ198-000109cd|-1|NotSet|</t>
  </si>
  <si>
    <t>1125961690</t>
  </si>
  <si>
    <t>1125961690-149385117-20260528134544.mp3</t>
  </si>
  <si>
    <t>|0||SIP/SERVICIOS_SIP-0001074e|1779986836.67412|16:Normal Clearing|17:Network|4||-1|NotSet|</t>
  </si>
  <si>
    <t>3794378545</t>
  </si>
  <si>
    <t>3794378545-149384931-20260528133608.mp3</t>
  </si>
  <si>
    <t>|0||SIP/SERVICIOS_SIP-00010461|1779986260.66663|16:Normal Clearing|16:PBX|19|SIP/GQ118-00010478|-1|NotSet|</t>
  </si>
  <si>
    <t>1136351100</t>
  </si>
  <si>
    <t>1136351100-149383806-20260528124616.mp3</t>
  </si>
  <si>
    <t>|0||SIP/SERVICIOS_SIP-0000f378|1779983267.62334|16:Normal Clearing|17:Network|14||-1|NotSet|</t>
  </si>
  <si>
    <t>2975095182</t>
  </si>
  <si>
    <t>2975095182-149383671-20260528123824.mp3</t>
  </si>
  <si>
    <t>|0||SIP/SERVICIOS_SIP-0000f11f|1779982796.61733|16:Normal Clearing|16:PBX|14||-1|NotSet|</t>
  </si>
  <si>
    <t>1130749091</t>
  </si>
  <si>
    <t>1130749091-149383463-20260528122649.mp3</t>
  </si>
  <si>
    <t>|0||SIP/SERVICIOS_SIP-0000eda9|1779982100.60847|16:Normal Clearing|17:Network|21||-1|NotSet|</t>
  </si>
  <si>
    <t>8370 - Carrizo, Rocio Anabel</t>
  </si>
  <si>
    <t>1159005436</t>
  </si>
  <si>
    <t>1159005436-149382701-20260528115313.mp3</t>
  </si>
  <si>
    <t>|0||SIP/SERVICIOS_SIP-0000e27c|1779980084.57986|16:Normal Clearing|17:Network|23||-1|NotSet|</t>
  </si>
  <si>
    <t>3735477939</t>
  </si>
  <si>
    <t>3735477939-149381275-20260528105429.mp3</t>
  </si>
  <si>
    <t>|0||SIP/SERVICIOS_SIP-0000ce76|1779976560.52859|16:Normal Clearing|17:Network|21||-1|NotSet|</t>
  </si>
  <si>
    <t>1154778350</t>
  </si>
  <si>
    <t>1154778350-149381229-20260528105240.mp3</t>
  </si>
  <si>
    <t>|0||SIP/SERVICIOS_SIP-0000cdd4|1779976451.52697|16:Normal Clearing|17:Network|22||-1|NotSet|</t>
  </si>
  <si>
    <t>1124278889</t>
  </si>
  <si>
    <t>1124278889-149381164-20260528105058.mp3</t>
  </si>
  <si>
    <t>|0||SIP/SERVICIOS_SIP-0000cd11|1779976350.52502|16:Normal Clearing|17:Network|16||-1|NotSet|</t>
  </si>
  <si>
    <t>1124932161</t>
  </si>
  <si>
    <t>1124932161-149381137-20260528105011.mp3</t>
  </si>
  <si>
    <t>|0||SIP/SERVICIOS_SIP-0000ccb6|1779976303.52411|16:Normal Clearing|17:Network|18||-1|NotSet|</t>
  </si>
  <si>
    <t>1168785671</t>
  </si>
  <si>
    <t>1168785671-149380720-20260528103343.mp3</t>
  </si>
  <si>
    <t>|0||SIP/SERVICIOS_SIP-0000c6e6|1779975314.50923|16:Normal Clearing|17:Network|22||-1|NotSet|</t>
  </si>
  <si>
    <t>1160652200</t>
  </si>
  <si>
    <t>1160652200-149379913-20260528095732.mp3</t>
  </si>
  <si>
    <t>|0||SIP/SERVICIOS_SIP-0000ba0a|1779973143.47628|16:Normal Clearing|16:PBX|15|SIP/GQ106-0000ba2e|-1|NotSet|</t>
  </si>
  <si>
    <t>1124828590</t>
  </si>
  <si>
    <t>1124828590-149378884-20260528090944.mp3</t>
  </si>
  <si>
    <t>|0||SIP/SERVICIOS_SIP-00005013|1779970275.20501|16:Normal Clearing|17:Network|1||-1|NotSet|</t>
  </si>
  <si>
    <t>1131845475</t>
  </si>
  <si>
    <t>1131845475-149378817-20260528090628.mp3</t>
  </si>
  <si>
    <t>|0||SIP/SERVICIOS_SIP-00004ec4|1779970079.20166|16:Normal Clearing|16:PBX|12|SIP/GQ106-00004edd|-1|NotSet|</t>
  </si>
  <si>
    <t>1161161973</t>
  </si>
  <si>
    <t>1161161973-149377883-20260527201110.mp3</t>
  </si>
  <si>
    <t>|0||SIP/SERVICIOS_SIP-0001a5c2|1779923558.107988|16:Normal Clearing|17:Network|7||-1|NotSet|</t>
  </si>
  <si>
    <t>1125245582</t>
  </si>
  <si>
    <t>1125245582-149376607-20260527185110.mp3</t>
  </si>
  <si>
    <t>May 27 2026  2:55PM</t>
  </si>
  <si>
    <t>|0||SIP/SERVICIOS_SIP-000196a4|1779918759.104116|0:Unknown|16:PBX|16||-1|NotSet|</t>
  </si>
  <si>
    <t>1138014350</t>
  </si>
  <si>
    <t>1138014350-149375586-20260527175207.mp3</t>
  </si>
  <si>
    <t>|0||SIP/SERVICIOS_SIP-00018aac|1779915216.101050|16:Normal Clearing|17:Network|30||-1|NotSet|</t>
  </si>
  <si>
    <t>1130304009</t>
  </si>
  <si>
    <t>1130304009-149374377-20260527164148.mp3</t>
  </si>
  <si>
    <t>|0||SIP/SERVICIOS_SIP-000069b7|1779910996.27070|16:Normal Clearing|16:PBX|0|SIP/GQ108-000069c1|-1|NotSet|</t>
  </si>
  <si>
    <t>3863572933</t>
  </si>
  <si>
    <t>3863572933-149374037-20260527161728.mp3</t>
  </si>
  <si>
    <t>MONTEROS</t>
  </si>
  <si>
    <t>|0||SIP/SERVICIOS_SIP-00006554|1779909536.25947|16:Normal Clearing|17:Network|3||-1|NotSet|</t>
  </si>
  <si>
    <t>1134740543</t>
  </si>
  <si>
    <t>1134740543-149373940-20260527154853.mp3</t>
  </si>
  <si>
    <t>|0||SIP/SERVICIOS_SIP-000062bd|1779907821.25284|16:Normal Clearing|17:Network|4||-1|NotSet|</t>
  </si>
  <si>
    <t>1140708653</t>
  </si>
  <si>
    <t>1140708653-149373091-20260527150405.mp3</t>
  </si>
  <si>
    <t>|0||SIP/SERVICIOS_SIP-000059be|1779905134.22981|16:Normal Clearing|16:PBX|8|SIP/GQ109-000059c8|-1|NotSet|</t>
  </si>
  <si>
    <t>1135982149</t>
  </si>
  <si>
    <t>1135982149-149372412-20260527142040.mp3</t>
  </si>
  <si>
    <t>|0||SIP/SERVICIOS_SIP-000052f1|1779902529.21239|16:Normal Clearing|16:PBX|17|SIP/GQ106-00005303|-1|NotSet|</t>
  </si>
  <si>
    <t>3512799120-149371784-20260527135108.mp3</t>
  </si>
  <si>
    <t>|0||SIP/SERVICIOS_SIP-00004d13|1779900757.19736|16:Normal Clearing|16:PBX|14|SIP/GQ118-00004d1d|-1|NotSet|</t>
  </si>
  <si>
    <t>1134876030</t>
  </si>
  <si>
    <t>1134876030-149371651-20260527134439.mp3</t>
  </si>
  <si>
    <t>|0||SIP/SERVICIOS_SIP-00004bde|1779900368.19427|16:Normal Clearing|17:Network|22||-1|NotSet|</t>
  </si>
  <si>
    <t>3884536454</t>
  </si>
  <si>
    <t>1155861950</t>
  </si>
  <si>
    <t>1155861950-149368952-20260527113438.mp3</t>
  </si>
  <si>
    <t>|0||SIP/SERVICIOS_SIP-0000332c|1779892567.13105|16:Normal Clearing|16:PBX|11|SIP/GQ106-0000333f|-1|NotSet|</t>
  </si>
  <si>
    <t>2984160201</t>
  </si>
  <si>
    <t>2984160201-149368909-20260527113306.mp3</t>
  </si>
  <si>
    <t>|0||SIP/SERVICIOS_SIP-000032d0|1779892475.13013|16:Normal Clearing|17:Network|14||-1|NotSet|</t>
  </si>
  <si>
    <t>1162647776</t>
  </si>
  <si>
    <t>2920274392</t>
  </si>
  <si>
    <t>2920274392-149368536-20260527111504.mp3</t>
  </si>
  <si>
    <t>May 27 2026 11:17AM</t>
  </si>
  <si>
    <t>|0||SIP/SERVICIOS_SIP-00002ee0|1779891393.12004|16:Normal Clearing|17:Network|13||-1|NotSet|</t>
  </si>
  <si>
    <t>1163519484</t>
  </si>
  <si>
    <t>1163519484-149367954-20260527105038.mp3</t>
  </si>
  <si>
    <t>|0||SIP/SERVICIOS_SIP-00002985|1779889927.10633|16:Normal Clearing|17:Network|12||-1|NotSet|</t>
  </si>
  <si>
    <t>1134893678</t>
  </si>
  <si>
    <t>1144083216</t>
  </si>
  <si>
    <t>1144083216-149367287-20260527102321.mp3</t>
  </si>
  <si>
    <t>|0||SIP/SERVICIOS_SIP-00002358|1779888289.9052|16:Normal Clearing|17:Network|26||-1|NotSet|</t>
  </si>
  <si>
    <t>1127458481</t>
  </si>
  <si>
    <t>1127458481-149367033-20260527100720.mp3</t>
  </si>
  <si>
    <t>|0||SIP/SERVICIOS_SIP-000020e5|1779887328.8425|16:Normal Clearing|17:Network|13||-1|NotSet|</t>
  </si>
  <si>
    <t>1177321638</t>
  </si>
  <si>
    <t>1177321638-149366153-20260527092434.mp3</t>
  </si>
  <si>
    <t>|0||SIP/SERVICIOS_SIP-00001856|1779884763.6232|16:Normal Clearing|16:PBX|21|SIP/GQ106-00001867|-1|NotSet|</t>
  </si>
  <si>
    <t>1126144728</t>
  </si>
  <si>
    <t>1126144728-149366118-20260527092257.mp3</t>
  </si>
  <si>
    <t>|0||SIP/SERVICIOS_SIP-00001802|1779884666.6148|16:Normal Clearing|17:Network|11||-1|NotSet|</t>
  </si>
  <si>
    <t>2954599453</t>
  </si>
  <si>
    <t>2954599453-149364872-20260526202432.mp3</t>
  </si>
  <si>
    <t>|0||SIP/SERVICIOS_SIP-0000d6fe|1779837958.55056|16:Normal Clearing|17:Network|15||-1|NotSet|</t>
  </si>
  <si>
    <t>2364329160</t>
  </si>
  <si>
    <t>2364329160-149362539-20260526182323.mp3</t>
  </si>
  <si>
    <t>|0||SIP/SERVICIOS_SIP-0000a8dc|1779830689.43242|16:Normal Clearing|16:PBX|8||-1|NotSet|</t>
  </si>
  <si>
    <t>1123355175</t>
  </si>
  <si>
    <t>1123355175-149362075-20260526175916.mp3</t>
  </si>
  <si>
    <t>|0||SIP/SERVICIOS_SIP-0000a428|1779829242.42038|16:Normal Clearing|17:Network|16||-1|NotSet|</t>
  </si>
  <si>
    <t>3543319994</t>
  </si>
  <si>
    <t>3543319994-149043905-20260504090926.mp3</t>
  </si>
  <si>
    <t>ARGÜELLO</t>
  </si>
  <si>
    <t>|0||SIP/SERVICIOS_SIP-00000ad8|1777896600.2781|16:Normal Clearing|16:PBX|4||-1|NotSet|</t>
  </si>
  <si>
    <t>2604350863</t>
  </si>
  <si>
    <t>2604350863-149361964-20260526175344.mp3</t>
  </si>
  <si>
    <t>|0||SIP/SERVICIOS_SIP-0000a328|1779828910.41782|16:Normal Clearing|16:PBX|17|SIP/GQ109-0000a34c|-1|NotSet|</t>
  </si>
  <si>
    <t>1139232236</t>
  </si>
  <si>
    <t>1139232236-149361310-20260526172327.mp3</t>
  </si>
  <si>
    <t>|0||SIP/SERVICIOS_SIP-00009b98|1779827093.39845|16:Normal Clearing|17:Network|19||-1|NotSet|</t>
  </si>
  <si>
    <t>1162647776-149361048-20260526170822.mp3</t>
  </si>
  <si>
    <t>|0||SIP/SERVICIOS_SIP-00009913|1779826189.39200|16:Normal Clearing|16:PBX|23|SIP/GQ109-0000991d|-1|NotSet|</t>
  </si>
  <si>
    <t>1157075620</t>
  </si>
  <si>
    <t>May 13 2026 11:47AM</t>
  </si>
  <si>
    <t>2901567264</t>
  </si>
  <si>
    <t>2901567264-149360107-20260526163305.mp3</t>
  </si>
  <si>
    <t>|0||SIP/SERVICIOS_SIP-00008f77|1779824071.36740|16:Normal Clearing|16:PBX|23|SIP/GQ109-00008f97|-1|NotSet|</t>
  </si>
  <si>
    <t>3487658297</t>
  </si>
  <si>
    <t>3487658297-149358440-20260526152250.mp3</t>
  </si>
  <si>
    <t>|0||SIP/SERVICIOS_SIP-000070a7|1779819857.28848|16:Normal Clearing|17:Network|8||-1|NotSet|</t>
  </si>
  <si>
    <t>1123090695</t>
  </si>
  <si>
    <t>1123090695-149357869-20260526145459.mp3</t>
  </si>
  <si>
    <t>|0||SIP/SERVICIOS_SIP-00006b64|1779818186.27500|16:Normal Clearing|16:PBX|20||-1|NotSet|</t>
  </si>
  <si>
    <t>1131202211</t>
  </si>
  <si>
    <t>1131202211-149357457-20260526143133.mp3</t>
  </si>
  <si>
    <t>|0||SIP/SERVICIOS_SIP-000067bb|1779816779.26563|16:Normal Clearing|17:Network|5||-1|NotSet|</t>
  </si>
  <si>
    <t>2915053311</t>
  </si>
  <si>
    <t>2915053311-149356700-20260526134809.mp3</t>
  </si>
  <si>
    <t>|0||SIP/SERVICIOS_SIP-0000603e|1779814175.24646|16:Normal Clearing|16:PBX|8|SIP/GQ118-00006051|-1|NotSet|</t>
  </si>
  <si>
    <t xml:space="preserve">8737 - Reynoso, Romina </t>
  </si>
  <si>
    <t>1130686115</t>
  </si>
  <si>
    <t>1130686115-149356677-20260526134641.mp3</t>
  </si>
  <si>
    <t>May 26 2026  1:48PM</t>
  </si>
  <si>
    <t>|0||SIP/SERVICIOS_SIP-00005ffd|1779814087.24581|16:Normal Clearing|16:PBX|25||-1|NotSet|</t>
  </si>
  <si>
    <t>3416603162</t>
  </si>
  <si>
    <t>3416603162-149355481-20260526125311.mp3</t>
  </si>
  <si>
    <t>|0||SIP/SERVICIOS_SIP-00005608|1779810877.22030|16:Normal Clearing|16:PBX|26|SIP/GQ106-00005613|-1|NotSet|</t>
  </si>
  <si>
    <t>1165515219</t>
  </si>
  <si>
    <t>1165515219-149354654-20260526121252.mp3</t>
  </si>
  <si>
    <t>|0||SIP/SERVICIOS_SIP-00004f4a|1779808458.20304|16:Normal Clearing|17:Network|17||-1|NotSet|</t>
  </si>
  <si>
    <t>1152778588</t>
  </si>
  <si>
    <t>1152778588-149354196-20260526115547.mp3</t>
  </si>
  <si>
    <t>|0||SIP/SERVICIOS_SIP-00004b95|1779807433.19355|16:Normal Clearing|17:Network|10||-1|NotSet|</t>
  </si>
  <si>
    <t>3863420024</t>
  </si>
  <si>
    <t>3863420024-149353863-20260526114058.mp3</t>
  </si>
  <si>
    <t>|0||SIP/SERVICIOS_SIP-000048d9|1779806544.18655|16:Normal Clearing|17:Network|16||-1|NotSet|</t>
  </si>
  <si>
    <t>2216550242</t>
  </si>
  <si>
    <t>2216550242-149353637-20260526113243.mp3</t>
  </si>
  <si>
    <t>|0||SIP/SERVICIOS_SIP-0000470a|1779806049.18192|16:Normal Clearing|17:Network|18||-1|NotSet|</t>
  </si>
  <si>
    <t>1140318888</t>
  </si>
  <si>
    <t>1140318888-149353482-20260526112531.mp3</t>
  </si>
  <si>
    <t>|0||SIP/SERVICIOS_SIP-000045cd|1779805618.17875|16:Normal Clearing|16:PBX|11||-1|NotSet|</t>
  </si>
  <si>
    <t>2302511206</t>
  </si>
  <si>
    <t>2302511206-149353409-20260526112147.mp3</t>
  </si>
  <si>
    <t>|0||SIP/SERVICIOS_SIP-00004530|1779805394.17718|16:Normal Clearing|17:Network|18||-1|NotSet|</t>
  </si>
  <si>
    <t>1122893620</t>
  </si>
  <si>
    <t>1122893620-149353278-20260526111328.mp3</t>
  </si>
  <si>
    <t>|0||SIP/SERVICIOS_SIP-0000440c|1779804895.17426|16:Normal Clearing|17:Network|4||-1|NotSet|</t>
  </si>
  <si>
    <t>3484560136</t>
  </si>
  <si>
    <t>3484560136-149352718-20260526104854.mp3</t>
  </si>
  <si>
    <t>Feb 27 2024 11:30AM</t>
  </si>
  <si>
    <t>|0||SIP/SERVICIOS_SIP-00003f8a|1779803420.16271|16:Normal Clearing|17:Network|1||-1|NotSet|</t>
  </si>
  <si>
    <t>1138296219</t>
  </si>
  <si>
    <t>1138296219-149352608-20260526104446.mp3</t>
  </si>
  <si>
    <t>|0||SIP/SERVICIOS_SIP-00003eb0|1779803172.16053|16:Normal Clearing|17:Network|16||-1|NotSet|</t>
  </si>
  <si>
    <t>1161236655</t>
  </si>
  <si>
    <t>1161236655-149352510-20260526104136.mp3</t>
  </si>
  <si>
    <t>|0||SIP/SERVICIOS_SIP-00003de7|1779802982.15852|16:Normal Clearing|17:Network|34||-1|NotSet|</t>
  </si>
  <si>
    <t>1168589103</t>
  </si>
  <si>
    <t>1168589103-149351721-20260526101449.mp3</t>
  </si>
  <si>
    <t>|0||SIP/SERVICIOS_SIP-0000374b|1779801375.14159|16:Normal Clearing|16:PBX|14|SIP/GQ198-00003765|-1|NotSet|</t>
  </si>
  <si>
    <t>1122521178</t>
  </si>
  <si>
    <t>1122521178-149350907-20260526094511.mp3</t>
  </si>
  <si>
    <t>|0||SIP/SERVICIOS_SIP-00002327|1779799597.9003|16:Normal Clearing|17:Network|6||-1|NotSet|</t>
  </si>
  <si>
    <t>1167256300</t>
  </si>
  <si>
    <t>1134893678-149349811-20260526090253.mp3</t>
  </si>
  <si>
    <t>|0||SIP/SERVICIOS_SIP-00000c2a|1779797059.3114|16:Normal Clearing|17:Network|21||-1|NotSet|</t>
  </si>
  <si>
    <t>1153775692</t>
  </si>
  <si>
    <t>1153775692-149344944-20260522203045.mp3</t>
  </si>
  <si>
    <t>|0||SIP/SERVICIOS_SIP-000092fa|1779492721.37636|16:Normal Clearing|17:Network|11||-1|NotSet|</t>
  </si>
  <si>
    <t>3442663564</t>
  </si>
  <si>
    <t>3442663564-149339870-20260522172757.mp3</t>
  </si>
  <si>
    <t>CONCEPCION DEL URUGUAY</t>
  </si>
  <si>
    <t>|0||SIP/SERVICIOS_SIP-000069d8|1779481754.27106|16:Normal Clearing|17:Network|18||-1|NotSet|</t>
  </si>
  <si>
    <t>2317521218</t>
  </si>
  <si>
    <t>2317521218-149336030-20260522150729.mp3</t>
  </si>
  <si>
    <t>9 DE JULIO (PROV. BUENOS AIRES)</t>
  </si>
  <si>
    <t>|0||SIP/SERVICIOS_SIP-000049e6|1779473326.18926|16:Normal Clearing|17:Network|5||-1|NotSet|</t>
  </si>
  <si>
    <t>1144067708-149335271-20260522142854.mp3</t>
  </si>
  <si>
    <t>|0||SIP/SERVICIOS_SIP-00004307|1779471011.17167|16:Normal Clearing|16:PBX|8||-1|NotSet|</t>
  </si>
  <si>
    <t>1169566041-149334777-20260522140413.mp3</t>
  </si>
  <si>
    <t>|0||SIP/SERVICIOS_SIP-00003ed0|1779469530.16088|16:Normal Clearing|17:Network|0||-1|NotSet|</t>
  </si>
  <si>
    <t>3875669047</t>
  </si>
  <si>
    <t>3875669047-149334352-20260522134140.mp3</t>
  </si>
  <si>
    <t>|0||SIP/SERVICIOS_SIP-00003b15|1779468177.15133|16:Normal Clearing|17:Network|0||-1|NotSet|</t>
  </si>
  <si>
    <t>1154561186</t>
  </si>
  <si>
    <t>1154561186-149333771-20260522131439.mp3</t>
  </si>
  <si>
    <t>|0||SIP/SERVICIOS_SIP-00003626|1779466556.13869|16:Normal Clearing|17:Network|18||-1|NotSet|</t>
  </si>
  <si>
    <t>1167256300-149333283-20260522125217.mp3</t>
  </si>
  <si>
    <t>|0||SIP/SERVICIOS_SIP-00003229|1779465214.12848|16:Normal Clearing|17:Network|1||-1|NotSet|</t>
  </si>
  <si>
    <t>1143464000</t>
  </si>
  <si>
    <t>8860 - Gudiño, Micaela</t>
  </si>
  <si>
    <t>3751546147</t>
  </si>
  <si>
    <t>3751546147-149332069-20260522115317.mp3</t>
  </si>
  <si>
    <t>|0||SIP/SERVICIOS_SIP-0000278f|1779461674.10130|16:Normal Clearing|17:Network|21||-1|NotSet|</t>
  </si>
  <si>
    <t>2494660971</t>
  </si>
  <si>
    <t>2494660971-149330992-20260522110826.mp3</t>
  </si>
  <si>
    <t>|0||SIP/SERVICIOS_SIP-00001ec5|1779458983.7879|16:Normal Clearing|17:Network|21||-1|NotSet|</t>
  </si>
  <si>
    <t>3875179574</t>
  </si>
  <si>
    <t>3875179574-149330960-20260522110714.mp3</t>
  </si>
  <si>
    <t>|0||SIP/SERVICIOS_SIP-00001e7f|1779458911.7809|16:Normal Clearing|17:Network|10||-1|NotSet|</t>
  </si>
  <si>
    <t>1140861116</t>
  </si>
  <si>
    <t>1140861116-149330479-20260522104842.mp3</t>
  </si>
  <si>
    <t>|0||SIP/SERVICIOS_SIP-00001a93|1779457799.6805|16:Normal Clearing|17:Network|2||-1|NotSet|</t>
  </si>
  <si>
    <t>1163787342</t>
  </si>
  <si>
    <t>1163787342-149329945-20260522102851.mp3</t>
  </si>
  <si>
    <t>May 22 2026 10:30AM</t>
  </si>
  <si>
    <t>|0||SIP/SERVICIOS_SIP-0000164a|1779456608.5708|16:Normal Clearing|17:Network|13||-1|NotSet|</t>
  </si>
  <si>
    <t>2954393528</t>
  </si>
  <si>
    <t>2954393528-149328748-20260522093953.mp3</t>
  </si>
  <si>
    <t>|0||SIP/SERVICIOS_SIP-00000c31|1779453670.3122|16:Normal Clearing|16:PBX|18||-1|NotSet|</t>
  </si>
  <si>
    <t>3517022622-149328747-20260522093950.mp3</t>
  </si>
  <si>
    <t>|0||SIP/SERVICIOS_SIP-00000c30|1779453667.3121|16:Normal Clearing|17:Network|16||-1|NotSet|</t>
  </si>
  <si>
    <t>3517463133-149328724-20260522093841.mp3</t>
  </si>
  <si>
    <t>|0||SIP/SERVICIOS_SIP-00000bed|1779453598.3054|16:Normal Clearing|16:PBX|10|SIP/GQ106-00000bfc|-1|NotSet|</t>
  </si>
  <si>
    <t>3513113288</t>
  </si>
  <si>
    <t>3513113288-149328723-20260522093837.mp3</t>
  </si>
  <si>
    <t>|0||SIP/SERVICIOS_SIP-00000bea|1779453594.3051|16:Normal Clearing|17:Network|7||-1|NotSet|</t>
  </si>
  <si>
    <t>3512228091</t>
  </si>
  <si>
    <t>3512228091-149328698-20260522093740.mp3</t>
  </si>
  <si>
    <t>|0||SIP/SERVICIOS_SIP-00000ba6|1779453537.2983|16:Normal Clearing|17:Network|4||-1|NotSet|</t>
  </si>
  <si>
    <t>3444464286</t>
  </si>
  <si>
    <t>3444464286-149327451-20260521203718.mp3</t>
  </si>
  <si>
    <t>|0||SIP/SERVICIOS_SIP-0003182e|1779406712.202831|16:Normal Clearing|16:PBX|19||-1|NotSet|</t>
  </si>
  <si>
    <t>1128897839</t>
  </si>
  <si>
    <t>1128897839-149326326-20260521195150.mp3</t>
  </si>
  <si>
    <t>|0||SIP/SERVICIOS_SIP-00030ef8|1779403984.200472|16:Normal Clearing|16:PBX|11|SIP/GQ110-00030f0d|-1|NotSet|</t>
  </si>
  <si>
    <t>1164123575</t>
  </si>
  <si>
    <t>1164123575-149325012-20260521185431.mp3</t>
  </si>
  <si>
    <t>|0||SIP/SERVICIOS_SIP-00030441|1779400545.197728|16:Normal Clearing|16:PBX|0|SIP/GQ110-0003044e|-1|NotSet|</t>
  </si>
  <si>
    <t>1161486387</t>
  </si>
  <si>
    <t>1161486387-149324757-20260521184341.mp3</t>
  </si>
  <si>
    <t>|0||SIP/SERVICIOS_SIP-0003023b|1779399895.197210|16:Normal Clearing|17:Network|21||-1|NotSet|</t>
  </si>
  <si>
    <t>1166933048</t>
  </si>
  <si>
    <t>1166933048-149324691-20260521184111.mp3</t>
  </si>
  <si>
    <t>|0||SIP/SERVICIOS_SIP-000301b7|1779399745.197078|16:Normal Clearing|16:PBX|5|SIP/GQ110-000301cb|-1|NotSet|</t>
  </si>
  <si>
    <t>1169597528</t>
  </si>
  <si>
    <t>2974061524</t>
  </si>
  <si>
    <t>2974061524-149323661-20260521180048.mp3</t>
  </si>
  <si>
    <t>|0||SIP/SERVICIOS_SIP-0002f9f7|1779397323.195094|16:Normal Clearing|16:PBX|10|SIP/GQ110-0002f9ff|-1|NotSet|</t>
  </si>
  <si>
    <t>1136853268</t>
  </si>
  <si>
    <t>1136853268-149323093-20260521173530.mp3</t>
  </si>
  <si>
    <t>|0||SIP/SERVICIOS_SIP-0002f58c|1779395804.193963|16:Normal Clearing|16:PBX|7|SIP/GQ118-0002f5ae|-1|NotSet|</t>
  </si>
  <si>
    <t>3413201141</t>
  </si>
  <si>
    <t>3413201141-149323053-20260521173318.mp3</t>
  </si>
  <si>
    <t>May 21 2026  5:47PM</t>
  </si>
  <si>
    <t>|0||SIP/SERVICIOS_SIP-0002f531|1779395672.193872|16:Normal Clearing|16:PBX|2||-1|NotSet|</t>
  </si>
  <si>
    <t>1166489644</t>
  </si>
  <si>
    <t>1166489644-149322951-20260521172847.mp3</t>
  </si>
  <si>
    <t>|0||SIP/SERVICIOS_SIP-0002f44f|1779395401.193645|16:Normal Clearing|16:PBX|4||-1|NotSet|</t>
  </si>
  <si>
    <t>3813045597</t>
  </si>
  <si>
    <t>1163752717</t>
  </si>
  <si>
    <t>1163752717-149322184-20260521165252.mp3</t>
  </si>
  <si>
    <t>|0||SIP/SERVICIOS_SIP-0002ed80|1779393246.191901|16:Normal Clearing|17:Network|19||-1|NotSet|</t>
  </si>
  <si>
    <t>3445439154</t>
  </si>
  <si>
    <t>3445439154-149319751-20260521145704.mp3</t>
  </si>
  <si>
    <t>|0||SIP/SERVICIOS_SIP-0002d824|1779386298.186430|16:Normal Clearing|17:Network|2||-1|NotSet|</t>
  </si>
  <si>
    <t>1168059981</t>
  </si>
  <si>
    <t>1168059981-149319689-20260521145511.mp3</t>
  </si>
  <si>
    <t>|0||SIP/SERVICIOS_SIP-0002d7b0|1779386186.186314|16:Normal Clearing|17:Network|19||-1|NotSet|</t>
  </si>
  <si>
    <t>2644529684</t>
  </si>
  <si>
    <t>2644529684-149317612-20260521140055.mp3</t>
  </si>
  <si>
    <t>|0||SIP/SERVICIOS_SIP-0002c93d|1779382930.182615|16:Normal Clearing|17:Network|20||-1|NotSet|</t>
  </si>
  <si>
    <t>1161057385</t>
  </si>
  <si>
    <t>1161057385-149316895-20260521132242.mp3</t>
  </si>
  <si>
    <t>|0||SIP/SERVICIOS_SIP-0002c2aa|1779380636.180918|16:Normal Clearing|17:Network|1||-1|NotSet|</t>
  </si>
  <si>
    <t>3884881290</t>
  </si>
  <si>
    <t>1147877400</t>
  </si>
  <si>
    <t>1147877400-149314573-20260521115821.mp3</t>
  </si>
  <si>
    <t>|0||SIP/SERVICIOS_SIP-0000525b|1779375575.21088|16:Normal Clearing|16:PBX|0|SIP/GQ106-0000527b|-1|NotSet|</t>
  </si>
  <si>
    <t>1159561329</t>
  </si>
  <si>
    <t>1159561329-149314177-20260521114559.mp3</t>
  </si>
  <si>
    <t>|0||SIP/SERVICIOS_SIP-00004ed0|1779374834.20181|16:Normal Clearing|17:Network|9||-1|NotSet|</t>
  </si>
  <si>
    <t>1123174785</t>
  </si>
  <si>
    <t>1123174785-149313272-20260521111446.mp3</t>
  </si>
  <si>
    <t>|0||SIP/SERVICIOS_SIP-00004667|1779372960.18028|16:Normal Clearing|16:PBX|13|SIP/GQ106-00004676|-1|NotSet|</t>
  </si>
  <si>
    <t>3516637241</t>
  </si>
  <si>
    <t>3516637241-149312760-20260521105624.mp3</t>
  </si>
  <si>
    <t>|0||SIP/SERVICIOS_SIP-000040bf|1779371859.16580|16:Normal Clearing|17:Network|6||-1|NotSet|</t>
  </si>
  <si>
    <t>2645014382-149311978-20260521102921.mp3</t>
  </si>
  <si>
    <t>|0||SIP/SERVICIOS_SIP-000038e8|1779370236.14572|16:Normal Clearing|16:PBX|25|SIP/GQ198-00003900|-1|NotSet|</t>
  </si>
  <si>
    <t>1169081694</t>
  </si>
  <si>
    <t>1169081694-149311647-20260521101837.mp3</t>
  </si>
  <si>
    <t>|0||SIP/SERVICIOS_SIP-00003671|1779369592.13941|16:Normal Clearing|16:PBX|12|SIP/GQ108-00003683|-1|NotSet|</t>
  </si>
  <si>
    <t>1143464000-149311565-20260521101519.mp3</t>
  </si>
  <si>
    <t>|0||SIP/SERVICIOS_SIP-000035c1|1779369393.13764|16:Normal Clearing|16:PBX|1|SIP/GQ106-000035d9|-1|NotSet|</t>
  </si>
  <si>
    <t>1140931107</t>
  </si>
  <si>
    <t>May 11 2026 12:31PM</t>
  </si>
  <si>
    <t>1141688457</t>
  </si>
  <si>
    <t>1141688457-149311435-20260521100941.mp3</t>
  </si>
  <si>
    <t>May 21 2026 10:11AM</t>
  </si>
  <si>
    <t>|0||SIP/SERVICIOS_SIP-000034bd|1779369056.13504|16:Normal Clearing|17:Network|4||-1|NotSet|</t>
  </si>
  <si>
    <t>3512599213</t>
  </si>
  <si>
    <t>3512599213-149310717-20260521093432.mp3</t>
  </si>
  <si>
    <t>|0||SIP/SERVICIOS_SIP-00002f0a|1779366947.12044|16:Normal Clearing|17:Network|9||-1|NotSet|</t>
  </si>
  <si>
    <t>1135761660</t>
  </si>
  <si>
    <t>1135761660-149308958-20260520201730.mp3</t>
  </si>
  <si>
    <t>|0||SIP/SERVICIOS_SIP-0000d7c7|1779319121.55264|16:Normal Clearing|17:Network|7||-1|NotSet|</t>
  </si>
  <si>
    <t>2964458719</t>
  </si>
  <si>
    <t>2964458719-149308791-20260520201049.mp3</t>
  </si>
  <si>
    <t>|0||SIP/SERVICIOS_SIP-0000d657|1779318720.54895|16:Normal Clearing|17:Network|16||-1|NotSet|</t>
  </si>
  <si>
    <t>3876667497</t>
  </si>
  <si>
    <t>3876667497-149308286-20260520194855.mp3</t>
  </si>
  <si>
    <t>|0||SIP/SERVICIOS_SIP-0000d19f|1779317407.53687|16:Normal Clearing|16:PBX|5|SIP/GQ106-0000d1b6|-1|NotSet|</t>
  </si>
  <si>
    <t>3413244260-149307622-20260520191754.mp3</t>
  </si>
  <si>
    <t>|0||SIP/SERVICIOS_SIP-0000cbe9|1779315546.52225|16:Normal Clearing|17:Network|12||-1|NotSet|</t>
  </si>
  <si>
    <t>1144467532</t>
  </si>
  <si>
    <t>1144467532-149306925-20260520184002.mp3</t>
  </si>
  <si>
    <t>|0||SIP/SERVICIOS_SIP-0000c67f|1779313274.50838|16:Normal Clearing|17:Network|8||-1|NotSet|</t>
  </si>
  <si>
    <t>2324671435</t>
  </si>
  <si>
    <t>2324671435-149305566-20260520173455.mp3</t>
  </si>
  <si>
    <t>MERCEDES (PROV. BUENOS AIRES)</t>
  </si>
  <si>
    <t>|0||SIP/SERVICIOS_SIP-0000bb54|1779309366.47979|16:Normal Clearing|17:Network|13||-1|NotSet|</t>
  </si>
  <si>
    <t>1176095499</t>
  </si>
  <si>
    <t>1176095499-149304815-20260520165445.mp3</t>
  </si>
  <si>
    <t>|0||SIP/SERVICIOS_SIP-0000b4ae|1779306957.46276|16:Normal Clearing|16:PBX|4|SIP/GQ110-0000b4c6|-1|NotSet|</t>
  </si>
  <si>
    <t>1147646338</t>
  </si>
  <si>
    <t>1147646338-149302562-20260520153608.mp3</t>
  </si>
  <si>
    <t>|0||SIP/SERVICIOS_SIP-0000a03b|1779302240.41035|16:Normal Clearing|17:Network|2||-1|NotSet|</t>
  </si>
  <si>
    <t>1123717144</t>
  </si>
  <si>
    <t>1123717144-149300351-20260520135419.mp3</t>
  </si>
  <si>
    <t>|0||SIP/SERVICIOS_SIP-00008eb3|1779296131.36534|16:Normal Clearing|17:Network|18||-1|NotSet|</t>
  </si>
  <si>
    <t>3884881290-149300204-20260520134547.mp3</t>
  </si>
  <si>
    <t>|0||SIP/SERVICIOS_SIP-00008d93|1779295619.36246|16:Normal Clearing|17:Network|8||-1|NotSet|</t>
  </si>
  <si>
    <t>1154949499</t>
  </si>
  <si>
    <t>1154949499-149300099-20260520134016.mp3</t>
  </si>
  <si>
    <t>|0||SIP/SERVICIOS_SIP-00008cbe|1779295288.36033|16:Normal Clearing|17:Network|4||-1|NotSet|</t>
  </si>
  <si>
    <t>3874799847</t>
  </si>
  <si>
    <t>3874799847-149299952-20260520133407.mp3</t>
  </si>
  <si>
    <t>|0||SIP/SERVICIOS_SIP-00008ba0|1779294919.35747|20:Unknown|17:Network|20||-1|NotSet|</t>
  </si>
  <si>
    <t>2364249984</t>
  </si>
  <si>
    <t>2364249984-149299881-20260520133205.mp3</t>
  </si>
  <si>
    <t>JUNIN (PROV. DE BUENOS AIRES)</t>
  </si>
  <si>
    <t>|0||SIP/SERVICIOS_SIP-00008b1d|1779294797.35616|16:Normal Clearing|17:Network|16||-1|NotSet|</t>
  </si>
  <si>
    <t>3834419629</t>
  </si>
  <si>
    <t>1133418057</t>
  </si>
  <si>
    <t>1133418057-149296836-20260520114221.mp3</t>
  </si>
  <si>
    <t>|0||SIP/SERVICIOS_SIP-00007430|1779288213.29747|16:Normal Clearing|17:Network|4||-1|NotSet|</t>
  </si>
  <si>
    <t>1165344381</t>
  </si>
  <si>
    <t>1165344381-149296366-20260520112748.mp3</t>
  </si>
  <si>
    <t>|0||SIP/SERVICIOS_SIP-000070ae|1779287340.28849|16:Normal Clearing|16:PBX|2|SIP/GQ198-000070c5|-1|NotSet|</t>
  </si>
  <si>
    <t>2945469272</t>
  </si>
  <si>
    <t>2945469272-149295159-20260520104610.mp3</t>
  </si>
  <si>
    <t>Jan 15 2026  4:09PM</t>
  </si>
  <si>
    <t>|0||SIP/SERVICIOS_SIP-00006760|1779284842.26466|16:Normal Clearing|16:PBX|26|SIP/Z8861-00006770|-1|NotSet|</t>
  </si>
  <si>
    <t>1164380626</t>
  </si>
  <si>
    <t>1164380626-149292657-20260520091618.mp3</t>
  </si>
  <si>
    <t>|0||SIP/SERVICIOS_SIP-00005499|1779279451.21657|16:Normal Clearing|17:Network|16||-1|NotSet|</t>
  </si>
  <si>
    <t>2995727480</t>
  </si>
  <si>
    <t>2995727480-149292358-20260520090005.mp3</t>
  </si>
  <si>
    <t>|0||SIP/SERVICIOS_SIP-0000524c|1779278477.21068|16:Normal Clearing|17:Network|4||-1|NotSet|</t>
  </si>
  <si>
    <t>2974052532</t>
  </si>
  <si>
    <t>2974052532-149290206-20260519195319.mp3</t>
  </si>
  <si>
    <t>|0||SIP/SERVICIOS_SIP-00047fe8|1779231269.294897|16:Normal Clearing|17:Network|21||-1|NotSet|</t>
  </si>
  <si>
    <t>3518641628</t>
  </si>
  <si>
    <t>|0||SIP/SERVICIOS_SIP-00044167|1779226335.278893|16:Normal Clearing|16:PBX|19|SIP/GQ105-00044180|-1|NotSet|</t>
  </si>
  <si>
    <t>2995130423</t>
  </si>
  <si>
    <t>2995130423-149287395-20260519182548.mp3</t>
  </si>
  <si>
    <t>Apr 29 2023 10:29AM</t>
  </si>
  <si>
    <t>|0||SIP/SERVICIOS_SIP-0004403c|1779226017.278594|16:Normal Clearing|17:Network|27||-1|NotSet|</t>
  </si>
  <si>
    <t>3547630445</t>
  </si>
  <si>
    <t>3547630445-149287042-20260519182204.mp3</t>
  </si>
  <si>
    <t>|0||SIP/SERVICIOS_SIP-00043e14|1779225793.278042|16:Normal Clearing|16:PBX|3|SIP/Z8864-00043e5a|-1|NotSet|</t>
  </si>
  <si>
    <t>2915273230</t>
  </si>
  <si>
    <t>2915273230-149285111-20260519175641.mp3</t>
  </si>
  <si>
    <t>Apr 24 2025  7:26PM</t>
  </si>
  <si>
    <t>|0||SIP/SERVICIOS_SIP-000306a1|1779224271.198311|16:Normal Clearing|16:PBX|33||-1|NotSet|</t>
  </si>
  <si>
    <t>3878360566</t>
  </si>
  <si>
    <t>1140850630</t>
  </si>
  <si>
    <t>1140850630-149284452-20260519174521.mp3</t>
  </si>
  <si>
    <t>May 19 2026  6:02PM</t>
  </si>
  <si>
    <t>|0||SIP/SERVICIOS_SIP-0003025e|1779223590.197220|16:Normal Clearing|16:PBX|4|SIP/GQ113-000302b1|-1|NotSet|</t>
  </si>
  <si>
    <t>2616303418</t>
  </si>
  <si>
    <t>2616303418-149284200-20260519174032.mp3</t>
  </si>
  <si>
    <t>|0||SIP/SERVICIOS_SIP-000300b6|1779223302.196796|16:Normal Clearing|17:Network|29||-1|NotSet|</t>
  </si>
  <si>
    <t>1170248700</t>
  </si>
  <si>
    <t>1170248700-149283251-20260519172124.mp3</t>
  </si>
  <si>
    <t>|0||SIP/SERVICIOS_SIP-0002fae5|1779222153.195307|16:Normal Clearing|16:PBX|6|SIP/Z8864-0002faf7|-1|NotSet|</t>
  </si>
  <si>
    <t>3548588929</t>
  </si>
  <si>
    <t>3548588929-149281905-20260519165859.mp3</t>
  </si>
  <si>
    <t>|0||SIP/SERVICIOS_SIP-0002f2f7|1779220808.193276|16:Normal Clearing|16:PBX|15||-1|NotSet|</t>
  </si>
  <si>
    <t>1158492987</t>
  </si>
  <si>
    <t>1158492987-149281669-20260519165143.mp3</t>
  </si>
  <si>
    <t>|0||SIP/SERVICIOS_SIP-0002f16b|1779220372.192880|16:Normal Clearing|17:Network|0||-1|NotSet|</t>
  </si>
  <si>
    <t>1159537784</t>
  </si>
  <si>
    <t>1159537784-149280476-20260519155849.mp3</t>
  </si>
  <si>
    <t>|0||SIP/SERVICIOS_SIP-000299fc|1779217199.170496|16:Normal Clearing|17:Network|11||-1|NotSet|</t>
  </si>
  <si>
    <t>1135201656</t>
  </si>
  <si>
    <t>1135201656-149280310-20260519155131.mp3</t>
  </si>
  <si>
    <t>|0||SIP/SERVICIOS_SIP-000298a6|1779216761.170154|0:Unknown|17:Network|10||-1|NotSet|</t>
  </si>
  <si>
    <t>3462532582</t>
  </si>
  <si>
    <t>3462532582-149279672-20260519151614.mp3</t>
  </si>
  <si>
    <t>|0||SIP/SERVICIOS_SIP-0002937d|1779214643.168833|16:Normal Clearing|17:Network|4||-1|NotSet|</t>
  </si>
  <si>
    <t>2291451544</t>
  </si>
  <si>
    <t>2291451544-149279602-20260519151257.mp3</t>
  </si>
  <si>
    <t>|0||SIP/SERVICIOS_SIP-000292ef|1779214447.168691|16:Normal Clearing|17:Network|13||-1|NotSet|</t>
  </si>
  <si>
    <t>3497403581</t>
  </si>
  <si>
    <t>3497403581-149279182-20260519144834.mp3</t>
  </si>
  <si>
    <t>|0||SIP/SERVICIOS_SIP-00028f7b|1779212984.167806|16:Normal Clearing|17:Network|3||-1|NotSet|</t>
  </si>
  <si>
    <t>3625359678</t>
  </si>
  <si>
    <t>3625359678-149278191-20260519140656.mp3</t>
  </si>
  <si>
    <t>|0||SIP/SERVICIOS_SIP-0002889a|1779210486.166045|16:Normal Clearing|17:Network|16||-1|NotSet|</t>
  </si>
  <si>
    <t>1171177278</t>
  </si>
  <si>
    <t>1171177278-149277920-20260519135526.mp3</t>
  </si>
  <si>
    <t>|0||SIP/SERVICIOS_SIP-00028674|1779209795.165495|16:Normal Clearing|16:PBX|15|SIP/GQ108-00028683|-1|NotSet|</t>
  </si>
  <si>
    <t>2614610300</t>
  </si>
  <si>
    <t>2614610300-149277164-20260519132339.mp3</t>
  </si>
  <si>
    <t>|0||SIP/SERVICIOS_SIP-00028096|1779207889.163993|16:Normal Clearing|17:Network|19||-1|NotSet|</t>
  </si>
  <si>
    <t>1169597528-149277095-20260519132112.mp3</t>
  </si>
  <si>
    <t>|0||SIP/SERVICIOS_SIP-00028010|1779207742.163859|16:Normal Clearing|17:Network|16||-1|NotSet|</t>
  </si>
  <si>
    <t>1160001355</t>
  </si>
  <si>
    <t>1160001355-149276398-20260519124726.mp3</t>
  </si>
  <si>
    <t>|0||SIP/SERVICIOS_SIP-00027a8b|1779205715.162446|16:Normal Clearing|17:Network|16||-1|NotSet|</t>
  </si>
  <si>
    <t>1142100095</t>
  </si>
  <si>
    <t>1142100095-149276058-20260519122658.mp3</t>
  </si>
  <si>
    <t>|0||SIP/SERVICIOS_SIP-000277d0|1779204488.161746|16:Normal Clearing|17:Network|20||-1|NotSet|</t>
  </si>
  <si>
    <t>1168079488</t>
  </si>
  <si>
    <t>1168079488-149275607-20260519120622.mp3</t>
  </si>
  <si>
    <t>|0||SIP/SERVICIOS_SIP-0002744d|1779203252.160847|16:Normal Clearing|17:Network|12||-1|NotSet|</t>
  </si>
  <si>
    <t>1158060444</t>
  </si>
  <si>
    <t>1158060444-149273937-20260519110733.mp3</t>
  </si>
  <si>
    <t>|0||SIP/SERVICIOS_SIP-000267b5|1779199723.157622|16:Normal Clearing|16:PBX|10|SIP/GQ106-000267c5|-1|NotSet|</t>
  </si>
  <si>
    <t>2974572876-149273741-20260519110115.mp3</t>
  </si>
  <si>
    <t>|0||SIP/SERVICIOS_SIP-0002663d|1779199345.157246|16:Normal Clearing|16:PBX|2|SIP/GQ106-00026654|-1|NotSet|</t>
  </si>
  <si>
    <t>1144128625</t>
  </si>
  <si>
    <t>1144128625-149266563-20260518203618.mp3</t>
  </si>
  <si>
    <t>|0||SIP/SERVICIOS_SIP-0000ab6c|1779147445.43895|16:Normal Clearing|16:PBX|0|SIP/GQ135-0000ab89|-1|NotSet|</t>
  </si>
  <si>
    <t>1127472129-149263843-20260518194109.mp3</t>
  </si>
  <si>
    <t>|0||SIP/SERVICIOS_SIP-00009b5a|1779144136.39780|16:Normal Clearing|16:PBX|21|SIP/GQ117-00009b7c|-1|NotSet|</t>
  </si>
  <si>
    <t>3815193769</t>
  </si>
  <si>
    <t>3815193769-149263708-20260518193727.mp3</t>
  </si>
  <si>
    <t>|0||SIP/SERVICIOS_SIP-00009a8f|1779143914.39577|16:Normal Clearing|17:Network|28||-1|NotSet|</t>
  </si>
  <si>
    <t>2604689403</t>
  </si>
  <si>
    <t>2604689403-149257957-20260518173639.mp3</t>
  </si>
  <si>
    <t>|0||SIP/SERVICIOS_SIP-000078ae|1779136666.30902|16:Normal Clearing|16:PBX|3|SIP/GQ114-000078c0|-1|NotSet|</t>
  </si>
  <si>
    <t>2954375174</t>
  </si>
  <si>
    <t>2954375174-149257836-20260518173317.mp3</t>
  </si>
  <si>
    <t>|0||SIP/SERVICIOS_SIP-000077fa|1779136464.30722|16:Normal Clearing|17:Network|13||-1|NotSet|</t>
  </si>
  <si>
    <t>3405503061</t>
  </si>
  <si>
    <t>3405503061-149256644-20260518170418.mp3</t>
  </si>
  <si>
    <t>SAN JAVIER (PROV. SANTA FE)</t>
  </si>
  <si>
    <t>|0||SIP/SERVICIOS_SIP-00007106|1779134725.28942|16:Normal Clearing|16:PBX|32|SIP/GQ135-00007110|-1|NotSet|</t>
  </si>
  <si>
    <t>2942529191</t>
  </si>
  <si>
    <t>2942529191-149255216-20260518163344.mp3</t>
  </si>
  <si>
    <t>|0||SIP/SERVICIOS_SIP-0000688d|1779132892.26773|16:Normal Clearing|16:PBX|19|SIP/GQ135-000068a0|-1|NotSet|</t>
  </si>
  <si>
    <t>2964492912</t>
  </si>
  <si>
    <t>2964492912-149253415-20260518154445.mp3</t>
  </si>
  <si>
    <t>|0||SIP/SERVICIOS_SIP-00005e2f|1779129952.24119|16:Normal Clearing|17:Network|0||-1|NotSet|</t>
  </si>
  <si>
    <t>1130836980</t>
  </si>
  <si>
    <t>1130836980-149252880-20260518152909.mp3</t>
  </si>
  <si>
    <t>|0||SIP/SERVICIOS_SIP-00005ac0|1779129016.23240|16:Normal Clearing|17:Network|5||-1|NotSet|</t>
  </si>
  <si>
    <t>1151818574</t>
  </si>
  <si>
    <t>1151818574-149250837-20260518140113.mp3</t>
  </si>
  <si>
    <t>|0||SIP/SERVICIOS_SIP-00004aa4|1779123740.19116|16:Normal Clearing|17:Network|9||-1|NotSet|</t>
  </si>
  <si>
    <t>1132679651</t>
  </si>
  <si>
    <t>1132679651-149250454-20260518134715.mp3</t>
  </si>
  <si>
    <t>|0||SIP/SERVICIOS_SIP-000047b3|1779122902.18362|16:Normal Clearing|17:Network|13||-1|NotSet|</t>
  </si>
  <si>
    <t>2262306241</t>
  </si>
  <si>
    <t>2262306241-149249745-20260518132216.mp3</t>
  </si>
  <si>
    <t>NECOCHEA</t>
  </si>
  <si>
    <t>May 18 2026  1:24PM</t>
  </si>
  <si>
    <t>|0||SIP/SERVICIOS_SIP-00004220|1779121403.16935|16:Normal Clearing|17:Network|9||-1|NotSet|</t>
  </si>
  <si>
    <t>2622527817</t>
  </si>
  <si>
    <t>2622527817-149248567-20260518124233.mp3</t>
  </si>
  <si>
    <t>|0||SIP/SERVICIOS_SIP-000038fa|1779119021.14592|16:Normal Clearing|17:Network|0||-1|NotSet|</t>
  </si>
  <si>
    <t>1163217721</t>
  </si>
  <si>
    <t>1163217721-149248374-20260518123505.mp3</t>
  </si>
  <si>
    <t>|0||SIP/SERVICIOS_SIP-00003780|1779118572.14214|16:Normal Clearing|16:PBX|4|SIP/GQ106-0000378f|-1|NotSet|</t>
  </si>
  <si>
    <t>1144022357</t>
  </si>
  <si>
    <t>1144022357-149248349-20260518123414.mp3</t>
  </si>
  <si>
    <t>Jul  2 2024 12:17PM</t>
  </si>
  <si>
    <t>|0||SIP/SERVICIOS_SIP-00003750|1779118522.14166|16:Normal Clearing|17:Network|15||-1|NotSet|</t>
  </si>
  <si>
    <t>1135720194</t>
  </si>
  <si>
    <t>1135720194-149248165-20260518122822.mp3</t>
  </si>
  <si>
    <t>|0||SIP/SERVICIOS_SIP-000035eb|1779118170.13809|16:Normal Clearing|17:Network|3||-1|NotSet|</t>
  </si>
  <si>
    <t>2235285417</t>
  </si>
  <si>
    <t>2235285417-149248065-20260518122504.mp3</t>
  </si>
  <si>
    <t>|0||SIP/SERVICIOS_SIP-00003520|1779117971.13606|16:Normal Clearing|17:Network|6||-1|NotSet|</t>
  </si>
  <si>
    <t>3816822810</t>
  </si>
  <si>
    <t>3816822810-149247509-20260518120036.mp3</t>
  </si>
  <si>
    <t>|0||SIP/SERVICIOS_SIP-000030db|1779116503.12511|16:Normal Clearing|16:PBX|16|SIP/GQ106-000030f0|-1|NotSet|</t>
  </si>
  <si>
    <t>2284300185</t>
  </si>
  <si>
    <t>2284300185-149247155-20260518114654.mp3</t>
  </si>
  <si>
    <t>|0||SIP/SERVICIOS_SIP-00002df6|1779115682.11770|16:Normal Clearing|17:Network|21||-1|NotSet|</t>
  </si>
  <si>
    <t>1135100321</t>
  </si>
  <si>
    <t>1135100321-149247154-20260518114650.mp3</t>
  </si>
  <si>
    <t>|0||SIP/SERVICIOS_SIP-00002df2|1779115678.11766|16:Normal Clearing|16:PBX|20|SIP/GQ106-00002e05|-1|NotSet|</t>
  </si>
  <si>
    <t>3517390507</t>
  </si>
  <si>
    <t>3517390507-149247012-20260518114031.mp3</t>
  </si>
  <si>
    <t>|0||SIP/SERVICIOS_SIP-00002cc2|1779115298.11462|16:Normal Clearing|16:PBX|0|SIP/GQ106-00002cc7|-1|NotSet|</t>
  </si>
  <si>
    <t>1165704342</t>
  </si>
  <si>
    <t>1165704342-149246998-20260518113951.mp3</t>
  </si>
  <si>
    <t>|0||SIP/SERVICIOS_SIP-00002ca7|1779115259.11435|16:Normal Clearing|17:Network|2||-1|NotSet|</t>
  </si>
  <si>
    <t xml:space="preserve">8845 - Ledesma, Agustina </t>
  </si>
  <si>
    <t>3878360566-149245963-20260518112308.mp3</t>
  </si>
  <si>
    <t>|0||SIP/SERVICIOS_SIP-0000271f|1779114255.10019|16:Normal Clearing|16:PBX|0||-1|NotSet|</t>
  </si>
  <si>
    <t>3472550638</t>
  </si>
  <si>
    <t>3472550638-149244114-20260518104155.mp3</t>
  </si>
  <si>
    <t>|0||SIP/SERVICIOS_SIP-00001ca5|1779111783.7336|16:Normal Clearing|17:Network|21||-1|NotSet|</t>
  </si>
  <si>
    <t>3535634564</t>
  </si>
  <si>
    <t>3535634564-149244033-20260518103814.mp3</t>
  </si>
  <si>
    <t>|0||SIP/SERVICIOS_SIP-00001bec|1779111561.7151|16:Normal Clearing|17:Network|4||-1|NotSet|</t>
  </si>
  <si>
    <t>1169153569</t>
  </si>
  <si>
    <t>1169153569-149243995-20260518103627.mp3</t>
  </si>
  <si>
    <t>|0||SIP/SERVICIOS_SIP-00001b9e|1779111454.7073|16:Normal Clearing|16:PBX|22|SIP/Z8647-00001ba8|-1|NotSet|</t>
  </si>
  <si>
    <t>3444444056</t>
  </si>
  <si>
    <t>3444444056-149243610-20260518101508.mp3</t>
  </si>
  <si>
    <t>|0||SIP/SERVICIOS_SIP-000018a8|1779110176.6315|16:Normal Clearing|17:Network|4||-1|NotSet|</t>
  </si>
  <si>
    <t>1144302799</t>
  </si>
  <si>
    <t>1144302799-149242738-20260518093212.mp3</t>
  </si>
  <si>
    <t>|0||SIP/SERVICIOS_SIP-00001198|1779107600.4507|16:Normal Clearing|17:Network|22||-1|NotSet|</t>
  </si>
  <si>
    <t>3816382634</t>
  </si>
  <si>
    <t>3816382634-149242611-20260518092804.mp3</t>
  </si>
  <si>
    <t>|0||SIP/SERVICIOS_SIP-00001092|1779107351.4245|16:Normal Clearing|16:PBX|19|SIP/GQ106-000010a7|-1|NotSet|</t>
  </si>
  <si>
    <t>3812590552</t>
  </si>
  <si>
    <t>3812590552-149236656-20260515195255.mp3</t>
  </si>
  <si>
    <t>|0||SIP/SERVICIOS_SIP-0002910b|1778885635.168215|16:Normal Clearing|17:Network|5||-1|NotSet|</t>
  </si>
  <si>
    <t>1132101845</t>
  </si>
  <si>
    <t>1132101845-149236654-20260515195147.mp3</t>
  </si>
  <si>
    <t>May 15 2026  5:35PM</t>
  </si>
  <si>
    <t>|0||SIP/SERVICIOS_SIP-00029103|1778885567.168207|16:Normal Clearing|17:Network|2||-1|NotSet|</t>
  </si>
  <si>
    <t>1165440773</t>
  </si>
  <si>
    <t>1165440773-149236374-20260515193323.mp3</t>
  </si>
  <si>
    <t>|0||SIP/SERVICIOS_SIP-00028dce|1778884463.167386|16:Normal Clearing|17:Network|15||-1|NotSet|</t>
  </si>
  <si>
    <t>1132955083</t>
  </si>
  <si>
    <t>1132955083-149236153-20260515192343.mp3</t>
  </si>
  <si>
    <t>|0||SIP/SERVICIOS_SIP-00028be4|1778883883.166896|16:Normal Clearing|16:PBX|3|SIP/GQ109-00028bfd|-1|NotSet|</t>
  </si>
  <si>
    <t>3513150205</t>
  </si>
  <si>
    <t>1161471726</t>
  </si>
  <si>
    <t>1161471726-149232633-20260515172750.mp3</t>
  </si>
  <si>
    <t>|0||SIP/SERVICIOS_SIP-0001a6cf|1778876930.108251|16:Normal Clearing|16:PBX|4|SIP/GQ109-0001a6e3|-1|NotSet|</t>
  </si>
  <si>
    <t>3584909230</t>
  </si>
  <si>
    <t>3584909230-149232425-20260515171905.mp3</t>
  </si>
  <si>
    <t>|0||SIP/SERVICIOS_SIP-0001a4d6|1778876405.107746|16:Normal Clearing|16:PBX|21|SIP/GQ109-0001a4e9|-1|NotSet|</t>
  </si>
  <si>
    <t>2241465236</t>
  </si>
  <si>
    <t>2241465236-149232173-20260515170813.mp3</t>
  </si>
  <si>
    <t>|0||SIP/SERVICIOS_SIP-0001a29f|1778875753.107179|16:Normal Clearing|17:Network|11||-1|NotSet|</t>
  </si>
  <si>
    <t>1160056437</t>
  </si>
  <si>
    <t>1160056437-149231306-20260515163111.mp3</t>
  </si>
  <si>
    <t>|0||SIP/SERVICIOS_SIP-00019b31|1778873531.105277|16:Normal Clearing|16:PBX|4|SIP/GQ109-00019b46|-1|NotSet|</t>
  </si>
  <si>
    <t>3816408806</t>
  </si>
  <si>
    <t>3816408806-149230541-20260515160546.mp3</t>
  </si>
  <si>
    <t>|0||SIP/SERVICIOS_SIP-000194d3|1778872006.103646|16:Normal Clearing|16:PBX|20|SIP/GQ115-000194de|-1|NotSet|</t>
  </si>
  <si>
    <t>3415816854</t>
  </si>
  <si>
    <t>3415816854-149230441-20260515160143.mp3</t>
  </si>
  <si>
    <t>|0||SIP/SERVICIOS_SIP-00019400|1778871762.103435|16:Normal Clearing|17:Network|3||-1|NotSet|</t>
  </si>
  <si>
    <t>3512550704</t>
  </si>
  <si>
    <t>3512550704-149230397-20260515155937.mp3</t>
  </si>
  <si>
    <t>|0||SIP/SERVICIOS_SIP-000193a7|1778871637.103346|16:Normal Clearing|16:PBX|22||-1|NotSet|</t>
  </si>
  <si>
    <t>1156334597</t>
  </si>
  <si>
    <t>1156334597-149227203-20260515134211.mp3</t>
  </si>
  <si>
    <t>|0||SIP/SERVICIOS_SIP-00017986|1778863392.96656|16:Normal Clearing|17:Network|13||-1|NotSet|</t>
  </si>
  <si>
    <t>1139391994</t>
  </si>
  <si>
    <t>1139391994-149226946-20260515132757.mp3</t>
  </si>
  <si>
    <t>|0||SIP/SERVICIOS_SIP-00017751|1778862537.96090|16:Normal Clearing|17:Network|22||-1|NotSet|</t>
  </si>
  <si>
    <t>3825531216</t>
  </si>
  <si>
    <t>3825531216-149225558-20260515123702.mp3</t>
  </si>
  <si>
    <t>CHILECITO</t>
  </si>
  <si>
    <t>|0||SIP/SERVICIOS_SIP-00016cbc|1778859482.93379|16:Normal Clearing|17:Network|25||-1|NotSet|</t>
  </si>
  <si>
    <t>3836017730</t>
  </si>
  <si>
    <t>3836017730-149225225-20260515123023.mp3</t>
  </si>
  <si>
    <t>|0||SIP/SERVICIOS_SIP-00016ab7|1778859083.92862|16:Normal Clearing|16:PBX|1||-1|NotSet|</t>
  </si>
  <si>
    <t>1161604288</t>
  </si>
  <si>
    <t>1161604288-149224900-20260515121949.mp3</t>
  </si>
  <si>
    <t>|0||SIP/SERVICIOS_SIP-00016829|1778858449.92208|16:Normal Clearing|17:Network|16||-1|NotSet|</t>
  </si>
  <si>
    <t>1148278600</t>
  </si>
  <si>
    <t>1148278600-149223651-20260515113117.mp3</t>
  </si>
  <si>
    <t>|0||SIP/SERVICIOS_SIP-00015e0e|1778855537.89619|16:Normal Clearing|16:PBX|22|SIP/GQ106-00015e22|-1|NotSet|</t>
  </si>
  <si>
    <t>1123864913</t>
  </si>
  <si>
    <t>1123864913-149223597-20260515112910.mp3</t>
  </si>
  <si>
    <t>|0||SIP/SERVICIOS_SIP-00015d9c|1778855410.89505|16:Normal Clearing|17:Network|16||-1|NotSet|</t>
  </si>
  <si>
    <t>1125493701</t>
  </si>
  <si>
    <t>1125493701-149223236-20260515111744.mp3</t>
  </si>
  <si>
    <t>|0||SIP/SERVICIOS_SIP-00015ac0|1778854725.88773|16:Normal Clearing|17:Network|17||-1|NotSet|</t>
  </si>
  <si>
    <t>1144793093</t>
  </si>
  <si>
    <t>1144793093-149222680-20260515105517.mp3</t>
  </si>
  <si>
    <t>May 15 2026 10:56AM</t>
  </si>
  <si>
    <t>|0||SIP/SERVICIOS_SIP-0001563b|1778853377.87615|16:Normal Clearing|17:Network|18||-1|NotSet|</t>
  </si>
  <si>
    <t>2494373086</t>
  </si>
  <si>
    <t>2494373086-149222548-20260515105059.mp3</t>
  </si>
  <si>
    <t>|0||SIP/SERVICIOS_SIP-00015538|1778853119.87356|16:Normal Clearing|17:Network|25||-1|NotSet|</t>
  </si>
  <si>
    <t>1172015701</t>
  </si>
  <si>
    <t>1172015701-149219432-20260514205513.mp3</t>
  </si>
  <si>
    <t>|0||SIP/SERVICIOS_SIP-00011b34|1778802971.72520|16:Normal Clearing|17:Network|10||-1|NotSet|</t>
  </si>
  <si>
    <t>1153376856</t>
  </si>
  <si>
    <t>3813045597-149216822-20260514193358.mp3</t>
  </si>
  <si>
    <t>|0||SIP/SERVICIOS_SIP-00010325|1778798095.66357|16:Normal Clearing|16:PBX|12|SIP/GQ111-0001033e|-1|NotSet|</t>
  </si>
  <si>
    <t>2994677292</t>
  </si>
  <si>
    <t>2994677292-149212541-20260514165830.mp3</t>
  </si>
  <si>
    <t>|0||SIP/SERVICIOS_SIP-00006ba4|1778788768.27566|16:Normal Clearing|16:PBX|3|SIP/GQ111-00006bb6|-1|NotSet|</t>
  </si>
  <si>
    <t>1161135751</t>
  </si>
  <si>
    <t>1161135751-149212231-20260514164913.mp3</t>
  </si>
  <si>
    <t>|0||SIP/SERVICIOS_SIP-00006946|1778788210.26960|0:Unknown|17:Network|6||-1|NotSet|</t>
  </si>
  <si>
    <t>3854829125</t>
  </si>
  <si>
    <t>3854829125-149211051-20260514161046.mp3</t>
  </si>
  <si>
    <t>|0||SIP/SERVICIOS_SIP-00005ee1|1778785904.24299|16:Normal Clearing|17:Network|23||-1|NotSet|</t>
  </si>
  <si>
    <t>1132797338</t>
  </si>
  <si>
    <t>1132797338-149209325-20260514145733.mp3</t>
  </si>
  <si>
    <t>|0||SIP/SERVICIOS_SIP-0000507b|1778781511.20610|16:Normal Clearing|17:Network|14||-1|NotSet|</t>
  </si>
  <si>
    <t>3804555408</t>
  </si>
  <si>
    <t>3804555408-149208136-20260514141000.mp3</t>
  </si>
  <si>
    <t>|0||SIP/SERVICIOS_SIP-000046b2|1778778657.18104|16:Normal Clearing|16:PBX|5|SIP/GQ198-000046cc|-1|NotSet|</t>
  </si>
  <si>
    <t>2804393011</t>
  </si>
  <si>
    <t>2804393011-149206811-20260514131731.mp3</t>
  </si>
  <si>
    <t>|0||SIP/SERVICIOS_SIP-00003bdb|1778775509.15328|16:Normal Clearing|17:Network|22||-1|NotSet|</t>
  </si>
  <si>
    <t>3513150205-149206798-20260514131717.mp3</t>
  </si>
  <si>
    <t>|0||SIP/SERVICIOS_SIP-00003bc2|1778775494.15303|16:Normal Clearing|16:PBX|21|SIP/GQ108-00003bc8|-1|NotSet|</t>
  </si>
  <si>
    <t>2976241593</t>
  </si>
  <si>
    <t>2976241593-149206512-20260514130506.mp3</t>
  </si>
  <si>
    <t>|0||SIP/SERVICIOS_SIP-00003962|1778774764.14695|16:Normal Clearing|17:Network|17||-1|NotSet|</t>
  </si>
  <si>
    <t>3873531448</t>
  </si>
  <si>
    <t>3873531448-149203549-20260514105808.mp3</t>
  </si>
  <si>
    <t>|0||SIP/SERVICIOS_SIP-0000212f|1778767146.8498|16:Normal Clearing|17:Network|23||-1|NotSet|</t>
  </si>
  <si>
    <t>3513903341</t>
  </si>
  <si>
    <t>3513903341-149202878-20260514103456.mp3</t>
  </si>
  <si>
    <t>|0||SIP/SERVICIOS_SIP-00001b8f|1778765754.7058|16:Normal Clearing|16:PBX|20|SIP/GQ106-00001b9e|-1|NotSet|</t>
  </si>
  <si>
    <t>3854060959</t>
  </si>
  <si>
    <t>3854060959-149202374-20260514101352.mp3</t>
  </si>
  <si>
    <t>|0||SIP/SERVICIOS_SIP-000016ff|1778764489.5890|16:Normal Clearing|17:Network|20||-1|NotSet|</t>
  </si>
  <si>
    <t>3813926275</t>
  </si>
  <si>
    <t>3813926275-149201751-20260514094729.mp3</t>
  </si>
  <si>
    <t>|0||SIP/SERVICIOS_SIP-0000110a|1778762906.4365|16:Normal Clearing|16:PBX|14|SIP/GQ106-0000111d|-1|NotSet|</t>
  </si>
  <si>
    <t>1160472080</t>
  </si>
  <si>
    <t>3813578989</t>
  </si>
  <si>
    <t>3813578989-149200260-20260513202720.mp3</t>
  </si>
  <si>
    <t>|0||SIP/SERVICIOS_SIP-0000a599|1778714896.42421|16:Normal Clearing|17:Network|12||-1|NotSet|</t>
  </si>
  <si>
    <t>3815989528</t>
  </si>
  <si>
    <t>3815989528-149197868-20260513184724.mp3</t>
  </si>
  <si>
    <t>|0||SIP/SERVICIOS_SIP-00008fd8|1778708900.36847|16:Normal Clearing|17:Network|7||-1|NotSet|</t>
  </si>
  <si>
    <t>1153376856-149197307-20260513182515.mp3</t>
  </si>
  <si>
    <t>|0||SIP/SERVICIOS_SIP-00008b3e|1778707571.35669|16:Normal Clearing|17:Network|18||-1|NotSet|</t>
  </si>
  <si>
    <t>2323361089-149197179-20260513181851.mp3</t>
  </si>
  <si>
    <t>|0||SIP/SERVICIOS_SIP-00008a31|1778707187.35400|16:Normal Clearing|16:PBX|13||-1|NotSet|</t>
  </si>
  <si>
    <t>3574455605</t>
  </si>
  <si>
    <t>3574455605-149196694-20260513175624.mp3</t>
  </si>
  <si>
    <t>|0||SIP/SERVICIOS_SIP-00008647|1778705840.34398|16:Normal Clearing|16:PBX|12|SIP/GQ111-00008656|-1|NotSet|</t>
  </si>
  <si>
    <t>1140803176</t>
  </si>
  <si>
    <t>1140803176-149195882-20260513171709.mp3</t>
  </si>
  <si>
    <t>|0||SIP/SERVICIOS_SIP-00007f72|1778703485.32649|16:Normal Clearing|16:PBX|17||-1|NotSet|</t>
  </si>
  <si>
    <t>1153478908</t>
  </si>
  <si>
    <t>1153478908-149194285-20260513162606.mp3</t>
  </si>
  <si>
    <t>|0||SIP/SERVICIOS_SIP-000070e7|1778700423.28920|16:Normal Clearing|16:PBX|8||-1|NotSet|</t>
  </si>
  <si>
    <t>1131547019</t>
  </si>
  <si>
    <t>1131547019-149192999-20260513154211.mp3</t>
  </si>
  <si>
    <t>Sep 13 2024  5:47PM</t>
  </si>
  <si>
    <t>|0||SIP/SERVICIOS_SIP-00006570|1778697788.25985|16:Normal Clearing|16:PBX|21||-1|NotSet|</t>
  </si>
  <si>
    <t>1132567831</t>
  </si>
  <si>
    <t>1132567831-149192368-20260513150253.mp3</t>
  </si>
  <si>
    <t>|0||SIP/SERVICIOS_SIP-00005e9e|1778695429.24232|16:Normal Clearing|17:Network|0||-1|NotSet|</t>
  </si>
  <si>
    <t>1157075620-149187613-20260513114619.mp3</t>
  </si>
  <si>
    <t>|0||SIP/SERVICIOS_SIP-00003240|1778683636.12868|16:Normal Clearing|17:Network|20||-1|NotSet|</t>
  </si>
  <si>
    <t>3834419629-149186364-20260513110446.mp3</t>
  </si>
  <si>
    <t>|0||SIP/SERVICIOS_SIP-00002777|1778681142.10107|16:Normal Clearing|17:Network|2||-1|NotSet|</t>
  </si>
  <si>
    <t>1132618555</t>
  </si>
  <si>
    <t>1132618555-149185876-20260513104526.mp3</t>
  </si>
  <si>
    <t>|0||SIP/SERVICIOS_SIP-0000231e|1778679982.8993|16:Normal Clearing|17:Network|15||-1|NotSet|</t>
  </si>
  <si>
    <t>1125531887</t>
  </si>
  <si>
    <t>1125531887-149185704-20260513104121.mp3</t>
  </si>
  <si>
    <t>|0||SIP/SERVICIOS_SIP-000021b2|1778679737.8628|16:Normal Clearing|17:Network|14||-1|NotSet|</t>
  </si>
  <si>
    <t>1180244955</t>
  </si>
  <si>
    <t>1180244955-149185594-20260513103841.mp3</t>
  </si>
  <si>
    <t>|0||SIP/SERVICIOS_SIP-000020d0|1778679578.8402|16:Normal Clearing|17:Network|23||-1|NotSet|</t>
  </si>
  <si>
    <t>1151817270</t>
  </si>
  <si>
    <t>1151817270-149182730-20260512202047.mp3</t>
  </si>
  <si>
    <t>|0||SIP/SERVICIOS_SIP-0001c6b5|1778628100.116427|16:Normal Clearing|17:Network|20||-1|NotSet|</t>
  </si>
  <si>
    <t>2994388062</t>
  </si>
  <si>
    <t>2994388062-149181535-20260512193223.mp3</t>
  </si>
  <si>
    <t>|0||SIP/SERVICIOS_SIP-0001bc14|1778625195.113706|0:Unknown|17:Network|7||-1|NotSet|</t>
  </si>
  <si>
    <t>1141295200</t>
  </si>
  <si>
    <t>1141295200-149181348-20260512192453.mp3</t>
  </si>
  <si>
    <t>|0||SIP/SERVICIOS_SIP-0001ba4d|1778624746.113248|16:Normal Clearing|17:Network|12||-1|NotSet|</t>
  </si>
  <si>
    <t>1125639450</t>
  </si>
  <si>
    <t>1125639450-149181283-20260512192148.mp3</t>
  </si>
  <si>
    <t>|0||SIP/SERVICIOS_SIP-0001b9c5|1778624561.113112|16:Normal Clearing|17:Network|18||-1|NotSet|</t>
  </si>
  <si>
    <t>1125770660</t>
  </si>
  <si>
    <t>1125770660-149179840-20260512181354.mp3</t>
  </si>
  <si>
    <t>|0||SIP/SERVICIOS_SIP-00011457|1778620486.70760|16:Normal Clearing|17:Network|0||-1|NotSet|</t>
  </si>
  <si>
    <t>1126860690</t>
  </si>
  <si>
    <t>1151176205</t>
  </si>
  <si>
    <t>1151176205-149179090-20260512173720.mp3</t>
  </si>
  <si>
    <t>May 12 2026  5:38PM</t>
  </si>
  <si>
    <t>|0||SIP/SERVICIOS_SIP-00010d20|1778618293.68913|0:Unknown|17:Network|20|SIP/GQ111-00010d2c|-1|NotSet|</t>
  </si>
  <si>
    <t>1153197080</t>
  </si>
  <si>
    <t>1153197080-149178221-20260512164916.mp3</t>
  </si>
  <si>
    <t>|0||SIP/SERVICIOS_SIP-000105c3|1778615409.67027|16:Normal Clearing|16:PBX|13||-1|NotSet|</t>
  </si>
  <si>
    <t>1122722593</t>
  </si>
  <si>
    <t>1122722593-149177951-20260512163835.mp3</t>
  </si>
  <si>
    <t>|0||SIP/SERVICIOS_SIP-000103b0|1778614768.66496|16:Normal Clearing|17:Network|15||-1|NotSet|</t>
  </si>
  <si>
    <t>1168350740</t>
  </si>
  <si>
    <t>1168350740-149176640-20260512155940.mp3</t>
  </si>
  <si>
    <t>|0||SIP/SERVICIOS_SIP-0000fa64|1778612433.64116|16:Normal Clearing|16:PBX|26|SIP/Z8814-0000fa77|-1|NotSet|</t>
  </si>
  <si>
    <t>1168996053</t>
  </si>
  <si>
    <t>1168996053-149175994-20260512154322.mp3</t>
  </si>
  <si>
    <t>|0||SIP/SERVICIOS_SIP-0000f5d8|1778611455.62952|16:Normal Clearing|16:PBX|6|SIP/GQ113-0000f5f1|-1|NotSet|</t>
  </si>
  <si>
    <t>1134661330</t>
  </si>
  <si>
    <t>1134661330-149175954-20260512154240.mp3</t>
  </si>
  <si>
    <t>|0||SIP/SERVICIOS_SIP-0000f595|1778611413.62885|16:Normal Clearing|17:Network|22||-1|NotSet|</t>
  </si>
  <si>
    <t>1130526103</t>
  </si>
  <si>
    <t>1130526103-149175181-20260512151944.mp3</t>
  </si>
  <si>
    <t>|0||SIP/SERVICIOS_SIP-0000f056|1778610037.61542|16:Normal Clearing|17:Network|19||-1|NotSet|</t>
  </si>
  <si>
    <t>1162739320</t>
  </si>
  <si>
    <t>1162739320-149172324-20260512140734.mp3</t>
  </si>
  <si>
    <t>|0||SIP/SERVICIOS_SIP-0000dd07|1778605707.56595|16:Normal Clearing|16:PBX|31|SIP/GQ106-0000dd1c|-1|NotSet|</t>
  </si>
  <si>
    <t>1137604699</t>
  </si>
  <si>
    <t>1137604699-149171834-20260512135133.mp3</t>
  </si>
  <si>
    <t>May 12 2026  1:38PM</t>
  </si>
  <si>
    <t>|0||SIP/SERVICIOS_SIP-0000d92e|1778604746.55610|16:Normal Clearing|16:PBX|17||-1|NotSet|</t>
  </si>
  <si>
    <t>3515122450</t>
  </si>
  <si>
    <t>3515122450-149171508-20260512134006.mp3</t>
  </si>
  <si>
    <t>|0||SIP/SERVICIOS_SIP-0000d6ad|1778604059.54968|16:Normal Clearing|17:Network|27||-1|NotSet|</t>
  </si>
  <si>
    <t>1121788499</t>
  </si>
  <si>
    <t>1121788499-149168946-20260512121846.mp3</t>
  </si>
  <si>
    <t>|0||SIP/SERVICIOS_SIP-0000c323|1778599179.49965|0:Unknown|17:Network|15||-1|NotSet|</t>
  </si>
  <si>
    <t>8996 - Tolosa, Leslie</t>
  </si>
  <si>
    <t>1127111458</t>
  </si>
  <si>
    <t>1127111458-149168825-20260512121446.mp3</t>
  </si>
  <si>
    <t>|0||SIP/SERVICIOS_SIP-0000c23d|1778598938.49735|16:Normal Clearing|16:PBX|13||-1|NotSet|</t>
  </si>
  <si>
    <t>1132011627</t>
  </si>
  <si>
    <t>1132011627-149168701-20260512121110.mp3</t>
  </si>
  <si>
    <t>|0||SIP/SERVICIOS_SIP-0000c13d|1778598723.49479|16:Normal Clearing|17:Network|16||-1|NotSet|</t>
  </si>
  <si>
    <t>1134256592</t>
  </si>
  <si>
    <t>1134256592-149168159-20260512115642.mp3</t>
  </si>
  <si>
    <t>|0||SIP/SERVICIOS_SIP-0000bd5a|1778597855.48484|16:Normal Clearing|17:Network|3||-1|NotSet|</t>
  </si>
  <si>
    <t>1150628293</t>
  </si>
  <si>
    <t>1150628293-149168026-20260512115248.mp3</t>
  </si>
  <si>
    <t>|0||SIP/SERVICIOS_SIP-0000bc63|1778597621.48237|16:Normal Clearing|17:Network|9||-1|NotSet|</t>
  </si>
  <si>
    <t>1130821512</t>
  </si>
  <si>
    <t>1130821512-149166737-20260512111551.mp3</t>
  </si>
  <si>
    <t>|0||SIP/SERVICIOS_SIP-0000b2ef|1778595404.45814|16:Normal Clearing|17:Network|0||-1|NotSet|</t>
  </si>
  <si>
    <t>8855 - Nieva, Nadia</t>
  </si>
  <si>
    <t>1158570631</t>
  </si>
  <si>
    <t>1158570631-149166690-20260512111428.mp3</t>
  </si>
  <si>
    <t>|0||SIP/SERVICIOS_SIP-0000b29d|1778595321.45732|16:Normal Clearing|16:PBX|27|SIP/GQ192-0000b2b1|-1|NotSet|</t>
  </si>
  <si>
    <t>1130194545</t>
  </si>
  <si>
    <t>1130194545-149164618-20260512093950.mp3</t>
  </si>
  <si>
    <t>|0||SIP/SERVICIOS_SIP-0000a2d9|1778589643.41693|16:Normal Clearing|16:PBX|0|SIP/GQ192-0000a2e0|-1|NotSet|</t>
  </si>
  <si>
    <t>2396624298</t>
  </si>
  <si>
    <t>2396624298-149164449-20260512091446.mp3</t>
  </si>
  <si>
    <t>|0||SIP/SERVICIOS_SIP-0000a165|1778588139.41321|16:Normal Clearing|16:PBX|10|SIP/GQ192-0000a168|-1|NotSet|</t>
  </si>
  <si>
    <t>2342533722</t>
  </si>
  <si>
    <t>2342533722-149163677-20260511203426.mp3</t>
  </si>
  <si>
    <t>|0||SIP/SERVICIOS_SIP-00032e12|1778542516.208425|16:Normal Clearing|17:Network|19||-1|NotSet|</t>
  </si>
  <si>
    <t>3446368330</t>
  </si>
  <si>
    <t>3446368330-149163017-20260511200144.mp3</t>
  </si>
  <si>
    <t>GUALEGUAYCHU</t>
  </si>
  <si>
    <t>|0||SIP/SERVICIOS_SIP-000327e4|1778540554.206843|16:Normal Clearing|16:PBX|18|SIP/GQ114-000327f2|-1|NotSet|</t>
  </si>
  <si>
    <t>2804430381</t>
  </si>
  <si>
    <t>2804430381-149163002-20260511200104.mp3</t>
  </si>
  <si>
    <t>|0||SIP/SERVICIOS_SIP-000327c3|1778540515.206810|16:Normal Clearing|17:Network|0||-1|NotSet|</t>
  </si>
  <si>
    <t>1157232277</t>
  </si>
  <si>
    <t>1157232277-149162116-20260511192237.mp3</t>
  </si>
  <si>
    <t>|0||SIP/SERVICIOS_SIP-00031fa2|1778538207.204729|16:Normal Clearing|17:Network|8||-1|NotSet|</t>
  </si>
  <si>
    <t>1150228051</t>
  </si>
  <si>
    <t>1150228051-149158479-20260511163345.mp3</t>
  </si>
  <si>
    <t>|0||SIP/SERVICIOS_SIP-00030060|1778528075.196724|16:Normal Clearing|17:Network|17||-1|NotSet|</t>
  </si>
  <si>
    <t>1126860690-149158296-20260511162631.mp3</t>
  </si>
  <si>
    <t>|0||SIP/SERVICIOS_SIP-0002fed4|1778527641.196327|16:Normal Clearing|17:Network|4||-1|NotSet|</t>
  </si>
  <si>
    <t>2954451000</t>
  </si>
  <si>
    <t>2954451000-149158274-20260511162545.mp3</t>
  </si>
  <si>
    <t>Jul 27 2023 12:30PM</t>
  </si>
  <si>
    <t>|0||SIP/SERVICIOS_SIP-0002fe9e|1778527595.196273|16:Normal Clearing|17:Network|9||-1|NotSet|</t>
  </si>
  <si>
    <t>1136114285</t>
  </si>
  <si>
    <t>1136114285-149157966-20260511161243.mp3</t>
  </si>
  <si>
    <t>|0||SIP/SERVICIOS_SIP-0002fbf9|1778526813.195596|16:Normal Clearing|17:Network|10||-1|NotSet|</t>
  </si>
  <si>
    <t>1161299601</t>
  </si>
  <si>
    <t>1161299601-149157376-20260511155040.mp3</t>
  </si>
  <si>
    <t>|0||SIP/SERVICIOS_SIP-0002f74e|1778525490.194399|16:Normal Clearing|17:Network|0||-1|NotSet|</t>
  </si>
  <si>
    <t>2984508106</t>
  </si>
  <si>
    <t>1165644019</t>
  </si>
  <si>
    <t>1165644019-149156995-20260511153604.mp3</t>
  </si>
  <si>
    <t>|0||SIP/SERVICIOS_SIP-0002f41d|1778524614.193582|16:Normal Clearing|16:PBX|17|SIP/GQ114-0002f428|-1|NotSet|</t>
  </si>
  <si>
    <t>1163587662</t>
  </si>
  <si>
    <t>1163587662-149154606-20260511141139.mp3</t>
  </si>
  <si>
    <t>|0||SIP/SERVICIOS_SIP-0002e203|1778519549.188944|16:Normal Clearing|16:PBX|25|SIP/GQ108-0002e225|-1|NotSet|</t>
  </si>
  <si>
    <t>1164840372</t>
  </si>
  <si>
    <t>1164840372-149154302-20260511140558.mp3</t>
  </si>
  <si>
    <t>|0||SIP/SERVICIOS_SIP-0002e004|1778519209.188433|16:Normal Clearing|17:Network|15||-1|NotSet|</t>
  </si>
  <si>
    <t>1132657276</t>
  </si>
  <si>
    <t>1132657276-149153545-20260511133653.mp3</t>
  </si>
  <si>
    <t>|0||SIP/SERVICIOS_SIP-0002d9d0|1778517463.186845|16:Normal Clearing|17:Network|4||-1|NotSet|</t>
  </si>
  <si>
    <t>1164917299</t>
  </si>
  <si>
    <t>1164917299-149153273-20260511132843.mp3</t>
  </si>
  <si>
    <t>|0||SIP/SERVICIOS_SIP-0002d7c1|1778516973.186318|16:Normal Clearing|16:PBX|22|SIP/GQ117-0002d7da|-1|NotSet|</t>
  </si>
  <si>
    <t>1140931107-149152124-20260511124522.mp3</t>
  </si>
  <si>
    <t>|0||SIP/SERVICIOS_SIP-0002ce8a|1778514373.183959|16:Normal Clearing|17:Network|1||-1|NotSet|</t>
  </si>
  <si>
    <t>3547509029</t>
  </si>
  <si>
    <t>3547509029-149150893-20260511121258.mp3</t>
  </si>
  <si>
    <t>|0||SIP/SERVICIOS_SIP-0002c5db|1778512428.181736|16:Normal Clearing|16:PBX|29|SIP/GQ135-0002c600|-1|NotSet|</t>
  </si>
  <si>
    <t>1126083083</t>
  </si>
  <si>
    <t>1126083083-149148552-20260511112621.mp3</t>
  </si>
  <si>
    <t>|0||SIP/SERVICIOS_SIP-0002b60c|1778509631.177688|16:Normal Clearing|17:Network|31||-1|NotSet|</t>
  </si>
  <si>
    <t>3855078661</t>
  </si>
  <si>
    <t>3855078661-149147620-20260511105825.mp3</t>
  </si>
  <si>
    <t>|0||SIP/SERVICIOS_SIP-0002af40|1778507956.175947|16:Normal Clearing|17:Network|25||-1|NotSet|</t>
  </si>
  <si>
    <t>1154662794-149147487-20260511105611.mp3</t>
  </si>
  <si>
    <t>|0||SIP/SERVICIOS_SIP-0002ae7c|1778507822.175751|16:Normal Clearing|16:PBX|26|SIP/GQ135-0002ae9f|-1|NotSet|</t>
  </si>
  <si>
    <t>2932533562</t>
  </si>
  <si>
    <t>2932533562-149146489-20260511103227.mp3</t>
  </si>
  <si>
    <t>Feb 28 2025  6:24PM</t>
  </si>
  <si>
    <t>|0||SIP/SERVICIOS_SIP-0002a7be|1778506398.174025|16:Normal Clearing|17:Network|27||-1|NotSet|</t>
  </si>
  <si>
    <t>1153405953</t>
  </si>
  <si>
    <t>1153405953-149146017-20260511101809.mp3</t>
  </si>
  <si>
    <t>Jul 29 2024  1:36PM</t>
  </si>
  <si>
    <t>|0||SIP/SERVICIOS_SIP-0002a460|1778505540.173163|16:Normal Clearing|17:Network|7||-1|NotSet|</t>
  </si>
  <si>
    <t>2974330207</t>
  </si>
  <si>
    <t>2974330207-149145648-20260511100618.mp3</t>
  </si>
  <si>
    <t>|0||SIP/SERVICIOS_SIP-0002a1bf|1778504828.172490|16:Normal Clearing|17:Network|13||-1|NotSet|</t>
  </si>
  <si>
    <t>3586013671</t>
  </si>
  <si>
    <t>3586013671-149144974-20260511094121.mp3</t>
  </si>
  <si>
    <t>|0||SIP/SERVICIOS_SIP-00029c26|1778503332.171057|16:Normal Clearing|17:Network|20||-1|NotSet|</t>
  </si>
  <si>
    <t>1169416910</t>
  </si>
  <si>
    <t>1169416910-149144365-20260511091416.mp3</t>
  </si>
  <si>
    <t>|0||SIP/SERVICIOS_SIP-00029739|1778501707.169795|16:Normal Clearing|17:Network|15||-1|NotSet|</t>
  </si>
  <si>
    <t>2266660929</t>
  </si>
  <si>
    <t>2266660929-149134002-20260508172358.mp3</t>
  </si>
  <si>
    <t>|0||SIP/SERVICIOS_SIP-0003a67c|1778271881.239240|16:Normal Clearing|17:Network|16||-1|NotSet|</t>
  </si>
  <si>
    <t>3413013160</t>
  </si>
  <si>
    <t>3413013160-149132293-20260508161716.mp3</t>
  </si>
  <si>
    <t>|0||SIP/SERVICIOS_SIP-00039797|1778267879.235427|16:Normal Clearing|17:Network|14||-1|NotSet|</t>
  </si>
  <si>
    <t>2914318340</t>
  </si>
  <si>
    <t>2914318340-149131541-20260508155139.mp3</t>
  </si>
  <si>
    <t>|0||SIP/SERVICIOS_SIP-000391ea|1778266342.233974|16:Normal Clearing|17:Network|18||-1|NotSet|</t>
  </si>
  <si>
    <t>3731402489</t>
  </si>
  <si>
    <t>3731402489-149130681-20260508151917.mp3</t>
  </si>
  <si>
    <t>|0||SIP/SERVICIOS_SIP-00038b5f|1778264400.232299|16:Normal Clearing|17:Network|2||-1|NotSet|</t>
  </si>
  <si>
    <t>1147783149</t>
  </si>
  <si>
    <t>1147783149-149130016-20260508144535.mp3</t>
  </si>
  <si>
    <t>|0||SIP/SERVICIOS_SIP-0003860b|1778262378.230934|16:Normal Clearing|16:PBX|15|SIP/GQ106-00038615|-1|NotSet|</t>
  </si>
  <si>
    <t>1150992454-149128910-20260508140056.mp3</t>
  </si>
  <si>
    <t>Apr 30 2026  6:56PM</t>
  </si>
  <si>
    <t>|0||SIP/SERVICIOS_SIP-00037d8d|1778259699.228760|16:Normal Clearing|17:Network|6||-1|NotSet|</t>
  </si>
  <si>
    <t>1163095554</t>
  </si>
  <si>
    <t>1163095554-149128687-20260508135235.mp3</t>
  </si>
  <si>
    <t>|0||SIP/SERVICIOS_SIP-00037bdf|1778259199.228330|16:Normal Clearing|16:PBX|8||-1|NotSet|</t>
  </si>
  <si>
    <t>2984508106-149128679-20260508135211.mp3</t>
  </si>
  <si>
    <t>|0||SIP/SERVICIOS_SIP-00037bca|1778259174.228309|16:Normal Clearing|17:Network|15||-1|NotSet|</t>
  </si>
  <si>
    <t>2994621296</t>
  </si>
  <si>
    <t>2994621296-149044343-20260504093134.mp3</t>
  </si>
  <si>
    <t>|0||SIP/SERVICIOS_SIP-00000eb2|1777897928.3771|16:Normal Clearing|16:PBX|6|SIP/GQ106-00000ec7|-1|NotSet|</t>
  </si>
  <si>
    <t>2241416864</t>
  </si>
  <si>
    <t>2241416864-149128330-20260508133730.mp3</t>
  </si>
  <si>
    <t>|0||SIP/SERVICIOS_SIP-0003791c|1778258294.227623|16:Normal Clearing|17:Network|14||-1|NotSet|</t>
  </si>
  <si>
    <t>1177082587</t>
  </si>
  <si>
    <t>3884727881</t>
  </si>
  <si>
    <t>3884727881-149127416-20260508130921.mp3</t>
  </si>
  <si>
    <t>|0||SIP/SERVICIOS_SIP-00037280|1778256605.225931|16:Normal Clearing|16:PBX|20|SIP/GQ106-00037291|-1|NotSet|</t>
  </si>
  <si>
    <t>1130037028</t>
  </si>
  <si>
    <t>1130037028-149125470-20260508121627.mp3</t>
  </si>
  <si>
    <t>|0||SIP/SERVICIOS_SIP-000364e2|1778253430.222443|16:Normal Clearing|17:Network|3||-1|NotSet|</t>
  </si>
  <si>
    <t>1165827952</t>
  </si>
  <si>
    <t>1165827952-149125229-20260508120954.mp3</t>
  </si>
  <si>
    <t>|0||SIP/SERVICIOS_SIP-00036339|1778253037.222018|16:Normal Clearing|17:Network|26||-1|NotSet|</t>
  </si>
  <si>
    <t>2214348792</t>
  </si>
  <si>
    <t>2214348792-149125051-20260508120610.mp3</t>
  </si>
  <si>
    <t>|0||SIP/SERVICIOS_SIP-00036203|1778252813.221708|16:Normal Clearing|16:PBX|19|SIP/GQ135-0003621d|-1|NotSet|</t>
  </si>
  <si>
    <t>1161681790</t>
  </si>
  <si>
    <t>1161681790-149124713-20260508115937.mp3</t>
  </si>
  <si>
    <t>|0||SIP/SERVICIOS_SIP-00035fd0|1778252420.221145|16:Normal Clearing|17:Network|0||-1|NotSet|</t>
  </si>
  <si>
    <t>1169394280-149122342-20260508105700.mp3</t>
  </si>
  <si>
    <t>|0||SIP/SERVICIOS_SIP-0003501b|1778248664.217120|16:Normal Clearing|16:PBX|22||-1|NotSet|</t>
  </si>
  <si>
    <t>1130795152-149121619-20260508104605.mp3</t>
  </si>
  <si>
    <t>|0||SIP/SERVICIOS_SIP-00034bd8|1778248008.216028|16:Normal Clearing|17:Network|18||-1|NotSet|</t>
  </si>
  <si>
    <t>3757513222</t>
  </si>
  <si>
    <t>1159796411</t>
  </si>
  <si>
    <t>1159796411-149120491-20260508102149.mp3</t>
  </si>
  <si>
    <t>|0||SIP/SERVICIOS_SIP-00034468|1778246552.214124|16:Normal Clearing|17:Network|3||-1|NotSet|</t>
  </si>
  <si>
    <t>3498450528</t>
  </si>
  <si>
    <t>3498450528-149119041-20260508093512.mp3</t>
  </si>
  <si>
    <t>|0||SIP/SERVICIOS_SIP-0002ec2b|1778243755.191535|16:Normal Clearing|17:Network|1||-1|NotSet|</t>
  </si>
  <si>
    <t>1177082587-149117916-20260507204817.mp3</t>
  </si>
  <si>
    <t>|0||SIP/SERVICIOS_SIP-0004402f|1778197738.278601|16:Normal Clearing|16:PBX|14|SIP/GQ116-0004403f|-1|NotSet|</t>
  </si>
  <si>
    <t>2942660873</t>
  </si>
  <si>
    <t>2942660873-149117074-20260507201455.mp3</t>
  </si>
  <si>
    <t>|0||SIP/SERVICIOS_SIP-0003c69b|1778195736.247477|16:Normal Clearing|17:Network|5||-1|NotSet|</t>
  </si>
  <si>
    <t>2995725612</t>
  </si>
  <si>
    <t>2995725612-149117019-20260507201234.mp3</t>
  </si>
  <si>
    <t>|0||SIP/SERVICIOS_SIP-000393e0|1778195594.234490|16:Normal Clearing|17:Network|15||-1|NotSet|</t>
  </si>
  <si>
    <t>1159593139</t>
  </si>
  <si>
    <t>1159593139-149114603-20260507183214.mp3</t>
  </si>
  <si>
    <t>|0||SIP/SERVICIOS_SIP-0001c569|1778189574.116096|16:Normal Clearing|16:PBX|9||-1|NotSet|</t>
  </si>
  <si>
    <t>2314536657</t>
  </si>
  <si>
    <t>2314536657-149113140-20260507173028.mp3</t>
  </si>
  <si>
    <t>|0||SIP/SERVICIOS_SIP-0001b89f|1778185868.112822|16:Normal Clearing|16:PBX|18||-1|NotSet|</t>
  </si>
  <si>
    <t>3537447749</t>
  </si>
  <si>
    <t>3537447749-149110561-20260507155439.mp3</t>
  </si>
  <si>
    <t>|0||SIP/SERVICIOS_SIP-0001a33f|1778180120.107348|16:Normal Clearing|16:PBX|1|SIP/GQ102-0001a365|-1|NotSet|</t>
  </si>
  <si>
    <t>2914298801</t>
  </si>
  <si>
    <t>2914298801-149110396-20260507155017.mp3</t>
  </si>
  <si>
    <t>|0||SIP/SERVICIOS_SIP-0001a202|1778179857.107031|16:Normal Clearing|17:Network|15||-1|NotSet|</t>
  </si>
  <si>
    <t>1168574429</t>
  </si>
  <si>
    <t>1168574429-149108546-20260507144215.mp3</t>
  </si>
  <si>
    <t>|0||SIP/SERVICIOS_SIP-000192e0|1778175776.103155|16:Normal Clearing|17:Network|12||-1|NotSet|</t>
  </si>
  <si>
    <t>1165511555</t>
  </si>
  <si>
    <t>1165511555-149105737-20260507125426.mp3</t>
  </si>
  <si>
    <t>|0||SIP/SERVICIOS_SIP-00004b17|1778169307.19242|16:Normal Clearing|17:Network|8||-1|NotSet|</t>
  </si>
  <si>
    <t>2494510024</t>
  </si>
  <si>
    <t>2494510024-149105418-20260507124141.mp3</t>
  </si>
  <si>
    <t>|0||SIP/SERVICIOS_SIP-00004863|1778168542.18550|16:Normal Clearing|17:Network|14||-1|NotSet|</t>
  </si>
  <si>
    <t>2645892969</t>
  </si>
  <si>
    <t>3815764161</t>
  </si>
  <si>
    <t>3815764161-149103634-20260507114021.mp3</t>
  </si>
  <si>
    <t>|0||SIP/SERVICIOS_SIP-00003a4d|1778164862.14943|16:Normal Clearing|16:PBX|9||-1|NotSet|</t>
  </si>
  <si>
    <t>1159580337</t>
  </si>
  <si>
    <t>1159580337-149102553-20260507110621.mp3</t>
  </si>
  <si>
    <t>|0||SIP/SERVICIOS_SIP-000031d4|1778162822.12774|16:Normal Clearing|16:PBX|25|SIP/GQ106-000031dc|-1|NotSet|</t>
  </si>
  <si>
    <t>1125317015</t>
  </si>
  <si>
    <t>1125317015-149102348-20260507105637.mp3</t>
  </si>
  <si>
    <t>|0||SIP/SERVICIOS_SIP-00003009|1778162239.12315|16:Normal Clearing|17:Network|9||-1|NotSet|</t>
  </si>
  <si>
    <t>3884536454-149102088-20260507104909.mp3</t>
  </si>
  <si>
    <t>|0||SIP/SERVICIOS_SIP-00002e0d|1778161790.11807|16:Normal Clearing|17:Network|7||-1|NotSet|</t>
  </si>
  <si>
    <t>1127475585-149101732-20260507103716.mp3</t>
  </si>
  <si>
    <t>|0||SIP/SERVICIOS_SIP-00002b4e|1778161082.11104|16:Normal Clearing|16:PBX|23|SIP/GQ106-00002b5b|-1|NotSet|</t>
  </si>
  <si>
    <t>2964554250</t>
  </si>
  <si>
    <t>2964554250-149100942-20260507100654.mp3</t>
  </si>
  <si>
    <t>|0||SIP/SERVICIOS_SIP-0000240d|1778159258.9247|16:Normal Clearing|16:PBX|13||-1|NotSet|</t>
  </si>
  <si>
    <t>2966224201</t>
  </si>
  <si>
    <t>2966224201-149100648-20260507095426.mp3</t>
  </si>
  <si>
    <t>|0||SIP/SERVICIOS_SIP-00002187|1778158509.8601|16:Normal Clearing|17:Network|22||-1|NotSet|</t>
  </si>
  <si>
    <t>1138761240</t>
  </si>
  <si>
    <t>1138761240-149100472-20260507094811.mp3</t>
  </si>
  <si>
    <t>|0||SIP/SERVICIOS_SIP-00002014|1778158134.8230|16:Normal Clearing|16:PBX|19|SIP/GQ106-00002021|-1|NotSet|</t>
  </si>
  <si>
    <t>3517389670-149100001-20260507093402.mp3</t>
  </si>
  <si>
    <t>|0||SIP/SERVICIOS_SIP-00001c50|1778157284.7266|16:Normal Clearing|17:Network|9||-1|NotSet|</t>
  </si>
  <si>
    <t>3564331928</t>
  </si>
  <si>
    <t>3564331928-149098300-20260506202241.mp3</t>
  </si>
  <si>
    <t>|0||SIP/SERVICIOS_SIP-0000e5df|1778109799.58859|16:Normal Clearing|17:Network|4||-1|NotSet|</t>
  </si>
  <si>
    <t>1162206173</t>
  </si>
  <si>
    <t>1162206173-149098170-20260506201535.mp3</t>
  </si>
  <si>
    <t>|0||SIP/SERVICIOS_SIP-0000e4cf|1778109373.58587|16:Normal Clearing|17:Network|1||-1|NotSet|</t>
  </si>
  <si>
    <t>1159560749</t>
  </si>
  <si>
    <t>1159560749-149097937-20260506200455.mp3</t>
  </si>
  <si>
    <t>|0||SIP/SERVICIOS_SIP-0000e2fc|1778108733.58120|16:Normal Clearing|16:PBX|1|SIP/GQ114-0000e310|-1|NotSet|</t>
  </si>
  <si>
    <t>3537586797</t>
  </si>
  <si>
    <t>3537586797-149097844-20260506200034.mp3</t>
  </si>
  <si>
    <t>|0||SIP/SERVICIOS_SIP-0000e243|1778108472.57935|16:Normal Clearing|17:Network|14||-1|NotSet|</t>
  </si>
  <si>
    <t>anonymous-149097809-20260506195859.mp3</t>
  </si>
  <si>
    <t>|0||SIP/SERVICIOS_SIP-0000e1f6|1778108377.57858|16:Normal Clearing|17:Network|17||-1|NotSet|</t>
  </si>
  <si>
    <t>3704338160</t>
  </si>
  <si>
    <t>3704338160-149096076-20260506184612.mp3</t>
  </si>
  <si>
    <t>|0||SIP/SERVICIOS_SIP-0000d493|1778104010.54430|16:Normal Clearing|16:PBX|17|SIP/Z8864-0000d4a5|-1|NotSet|</t>
  </si>
  <si>
    <t>3751431185</t>
  </si>
  <si>
    <t>3751431185-149095919-20260506183915.mp3</t>
  </si>
  <si>
    <t>ELDORADO</t>
  </si>
  <si>
    <t>|0||SIP/SERVICIOS_SIP-0000d358|1778103593.54115|16:Normal Clearing|17:Network|7||-1|NotSet|</t>
  </si>
  <si>
    <t>1167356230</t>
  </si>
  <si>
    <t>1167356230-149095452-20260506181843.mp3</t>
  </si>
  <si>
    <t>|0||SIP/SERVICIOS_SIP-0000cfbc|1778102361.53190|16:Normal Clearing|16:PBX|0|SIP/Z8872-0000cfc8|-1|NotSet|</t>
  </si>
  <si>
    <t>1159246781</t>
  </si>
  <si>
    <t>1159246781-149094453-20260506172537.mp3</t>
  </si>
  <si>
    <t>|0||SIP/SERVICIOS_SIP-0000c750|1778099175.51034|16:Normal Clearing|17:Network|2||-1|NotSet|</t>
  </si>
  <si>
    <t>3546420921</t>
  </si>
  <si>
    <t>3546420921-149094082-20260506170225.mp3</t>
  </si>
  <si>
    <t>SANTA ROSA DE CALAMUCHITA</t>
  </si>
  <si>
    <t>May  6 2026  4:59PM</t>
  </si>
  <si>
    <t>|0||SIP/SERVICIOS_SIP-0000c467|1778097784.50289|16:Normal Clearing|16:PBX|2||-1|NotSet|</t>
  </si>
  <si>
    <t>2932477185-149093841-20260506164725.mp3</t>
  </si>
  <si>
    <t>|0||SIP/SERVICIOS_SIP-0000bb8a|1778096884.48020|16:Normal Clearing|17:Network|17||-1|NotSet|</t>
  </si>
  <si>
    <t>2645328482</t>
  </si>
  <si>
    <t>2645328482-149093801-20260506164526.mp3</t>
  </si>
  <si>
    <t>|0||SIP/SERVICIOS_SIP-0000bb2e|1778096764.47928|16:Normal Clearing|17:Network|16||-1|NotSet|</t>
  </si>
  <si>
    <t>2984522648</t>
  </si>
  <si>
    <t>2984522648-149093790-20260506164506.mp3</t>
  </si>
  <si>
    <t>|0||SIP/SERVICIOS_SIP-0000bb19|1778096744.47907|16:Normal Clearing|16:PBX|15|SIP/GQ116-0000bb30|-1|NotSet|</t>
  </si>
  <si>
    <t>1121611655</t>
  </si>
  <si>
    <t>1121611655-149093227-20260506161746.mp3</t>
  </si>
  <si>
    <t>|0||SIP/SERVICIOS_SIP-0000ad8c|1778095104.44437|16:Normal Clearing|16:PBX|10|SIP/Z8872-0000b68f|-1|NotSet|</t>
  </si>
  <si>
    <t>3874560134</t>
  </si>
  <si>
    <t>3874560134-149092922-20260506160008.mp3</t>
  </si>
  <si>
    <t>|0||SIP/SERVICIOS_SIP-00006880|1778094046.26761|16:Normal Clearing|17:Network|11||-1|NotSet|</t>
  </si>
  <si>
    <t>1159480846</t>
  </si>
  <si>
    <t>1151609356</t>
  </si>
  <si>
    <t>1151609356-149090554-20260506142448.mp3</t>
  </si>
  <si>
    <t>|0||SIP/SERVICIOS_SIP-0000565d|1778088326.22116|16:Normal Clearing|17:Network|14||-1|NotSet|</t>
  </si>
  <si>
    <t>1178938939</t>
  </si>
  <si>
    <t>1178938939-149090280-20260506141324.mp3</t>
  </si>
  <si>
    <t>|0||SIP/SERVICIOS_SIP-00005439|1778087642.21568|16:Normal Clearing|16:PBX|6|SIP/GQ106-0000545a|-1|NotSet|</t>
  </si>
  <si>
    <t>2964493860</t>
  </si>
  <si>
    <t>2964493860-149089404-20260506134528.mp3</t>
  </si>
  <si>
    <t>|0||SIP/SERVICIOS_SIP-00004da7|1778085967.19885|16:Normal Clearing|17:Network|20||-1|NotSet|</t>
  </si>
  <si>
    <t>1160110693</t>
  </si>
  <si>
    <t>1160110693-149088246-20260506130739.mp3</t>
  </si>
  <si>
    <t>|0||SIP/SERVICIOS_SIP-000044ec|1778083697.17650|16:Normal Clearing|17:Network|4||-1|NotSet|</t>
  </si>
  <si>
    <t>3446375098-149088101-20260506125949.mp3</t>
  </si>
  <si>
    <t>|0||SIP/SERVICIOS_SIP-000043b7|1778083228.17341|16:Normal Clearing|16:PBX|0||-1|NotSet|</t>
  </si>
  <si>
    <t>1126430242</t>
  </si>
  <si>
    <t>1126430242-149087740-20260506124352.mp3</t>
  </si>
  <si>
    <t>|0||SIP/SERVICIOS_SIP-00004096|1778082270.16540|16:Normal Clearing|17:Network|6||-1|NotSet|</t>
  </si>
  <si>
    <t>1125338329</t>
  </si>
  <si>
    <t>1125338329-149087666-20260506124116.mp3</t>
  </si>
  <si>
    <t>|0||SIP/SERVICIOS_SIP-00003ffc|1778082115.16386|16:Normal Clearing|17:Network|21||-1|NotSet|</t>
  </si>
  <si>
    <t>1134329764</t>
  </si>
  <si>
    <t>1134329764-149087098-20260506122542.mp3</t>
  </si>
  <si>
    <t>|0||SIP/SERVICIOS_SIP-00003be5|1778081180.15339|16:Normal Clearing|17:Network|5||-1|NotSet|</t>
  </si>
  <si>
    <t>1158351219</t>
  </si>
  <si>
    <t>1158351219-149086460-20260506120902.mp3</t>
  </si>
  <si>
    <t>|0||SIP/SERVICIOS_SIP-00003761|1778080181.14183|16:Normal Clearing|17:Network|16||-1|NotSet|</t>
  </si>
  <si>
    <t>3755567045</t>
  </si>
  <si>
    <t>3755567045-149084856-20260506113120.mp3</t>
  </si>
  <si>
    <t>|0||SIP/SERVICIOS_SIP-00002c22|1778077919.11304|16:Normal Clearing|16:PBX|23|SIP/GQ106-00002c31|-1|NotSet|</t>
  </si>
  <si>
    <t>2213175572</t>
  </si>
  <si>
    <t>2213175572-149083704-20260506104835.mp3</t>
  </si>
  <si>
    <t>|0||SIP/SERVICIOS_SIP-00002374|1778075353.9082|16:Normal Clearing|16:PBX|13|SIP/GQ108-00002388|-1|NotSet|</t>
  </si>
  <si>
    <t>3757513222-149083577-20260506104527.mp3</t>
  </si>
  <si>
    <t>|0||SIP/SERVICIOS_SIP-0000228b|1778075165.8849|16:Normal Clearing|16:PBX|18|SIP/GQ135-000022af|-1|NotSet|</t>
  </si>
  <si>
    <t>1134622505</t>
  </si>
  <si>
    <t>1134622505-149083569-20260506104517.mp3</t>
  </si>
  <si>
    <t>|0||SIP/SERVICIOS_SIP-0000227d|1778075155.8835|16:Normal Clearing|16:PBX|0||-1|NotSet|</t>
  </si>
  <si>
    <t>3865860842</t>
  </si>
  <si>
    <t>3865860842-149081932-20260506094858.mp3</t>
  </si>
  <si>
    <t>CONCEPCION (PROV. TUCUMAN)</t>
  </si>
  <si>
    <t>|0||SIP/SERVICIOS_SIP-000015d8|1778071777.5597|16:Normal Clearing|16:PBX|11|SIP/GQ106-000015f2|-1|NotSet|</t>
  </si>
  <si>
    <t>1130819688</t>
  </si>
  <si>
    <t>1130819688-149081393-20260506092859.mp3</t>
  </si>
  <si>
    <t>|0||SIP/SERVICIOS_SIP-000011c9|1778070578.4558|16:Normal Clearing|16:PBX|21|SIP/GQ118-000011d1|-1|NotSet|</t>
  </si>
  <si>
    <t>1177141445</t>
  </si>
  <si>
    <t>1177141445-149079802-20260505202612.mp3</t>
  </si>
  <si>
    <t>|0||SIP/SERVICIOS_SIP-0000906d|1778023608.36995|16:Normal Clearing|17:Network|17||-1|NotSet|</t>
  </si>
  <si>
    <t>1173661985</t>
  </si>
  <si>
    <t>1173661985-149079539-20260505201344.mp3</t>
  </si>
  <si>
    <t>|0||SIP/SERVICIOS_SIP-00008e24|1778022860.36410|16:Normal Clearing|17:Network|13||-1|NotSet|</t>
  </si>
  <si>
    <t>3456586938</t>
  </si>
  <si>
    <t>3456586938-149077294-20260505183855.mp3</t>
  </si>
  <si>
    <t>CHAJARI</t>
  </si>
  <si>
    <t>|0||SIP/SERVICIOS_SIP-00007be0|1778017171.31733|16:Normal Clearing|17:Network|10||-1|NotSet|</t>
  </si>
  <si>
    <t>1126250956</t>
  </si>
  <si>
    <t>1126250956-149076787-20260505181917.mp3</t>
  </si>
  <si>
    <t>|0||SIP/SERVICIOS_SIP-00007824|1778015993.30777|16:Normal Clearing|16:PBX|7|SIP/Z8872-0000782f|-1|NotSet|</t>
  </si>
  <si>
    <t>1151041745</t>
  </si>
  <si>
    <t>1151041745-149076682-20260505181408.mp3</t>
  </si>
  <si>
    <t>|0||SIP/SERVICIOS_SIP-00007755|1778015684.30570|16:Normal Clearing|16:PBX|6|SIP/GQ111-0000775e|-1|NotSet|</t>
  </si>
  <si>
    <t>2477343294</t>
  </si>
  <si>
    <t>2477343294-149076430-20260505180324.mp3</t>
  </si>
  <si>
    <t>Oct 25 2023 12:42PM</t>
  </si>
  <si>
    <t>|0||SIP/SERVICIOS_SIP-0000757f|1778015040.30099|16:Normal Clearing|17:Network|0||-1|NotSet|</t>
  </si>
  <si>
    <t>2645892969-149075902-20260505173711.mp3</t>
  </si>
  <si>
    <t>|0||SIP/SERVICIOS_SIP-0000718c|1778013467.29088|16:Normal Clearing|16:PBX|11|SIP/GQ111-00007194|-1|NotSet|</t>
  </si>
  <si>
    <t>1150012996</t>
  </si>
  <si>
    <t>1150012996-149075644-20260505172230.mp3</t>
  </si>
  <si>
    <t>|0||SIP/SERVICIOS_SIP-00006f57|1778012586.28523|16:Normal Clearing|17:Network|3||-1|NotSet|</t>
  </si>
  <si>
    <t>2314536428</t>
  </si>
  <si>
    <t>2314536428-149075039-20260505165512.mp3</t>
  </si>
  <si>
    <t>|0||SIP/SERVICIOS_SIP-00006a79|1778010948.27277|16:Normal Clearing|17:Network|9||-1|NotSet|</t>
  </si>
  <si>
    <t>1168126088</t>
  </si>
  <si>
    <t>1168126088-149074952-20260505165304.mp3</t>
  </si>
  <si>
    <t>|0||SIP/SERVICIOS_SIP-000069e3|1778010820.27127|16:Normal Clearing|17:Network|17||-1|NotSet|</t>
  </si>
  <si>
    <t>1122987042</t>
  </si>
  <si>
    <t>1122987042-149073607-20260505160928.mp3</t>
  </si>
  <si>
    <t>|0||SIP/SERVICIOS_SIP-000060bc|1778008204.24784|16:Normal Clearing|17:Network|0||-1|NotSet|</t>
  </si>
  <si>
    <t>1160472080-149073269-20260505155824.mp3</t>
  </si>
  <si>
    <t>|0||SIP/SERVICIOS_SIP-00005e5a|1778007540.24174|16:Normal Clearing|17:Network|7||-1|NotSet|</t>
  </si>
  <si>
    <t>1127972034</t>
  </si>
  <si>
    <t>1127972034-149072975-20260505154832.mp3</t>
  </si>
  <si>
    <t>|0||SIP/SERVICIOS_SIP-00005c55|1778006948.23657|16:Normal Clearing|17:Network|4||-1|NotSet|</t>
  </si>
  <si>
    <t>1159480846-149072618-20260505153658.mp3</t>
  </si>
  <si>
    <t>|0||SIP/SERVICIOS_SIP-000059d8|1778006254.23020|16:Normal Clearing|17:Network|9||-1|NotSet|</t>
  </si>
  <si>
    <t>1162311873</t>
  </si>
  <si>
    <t>1162311873-149071293-20260505144212.mp3</t>
  </si>
  <si>
    <t>Apr 22 2025 10:43AM</t>
  </si>
  <si>
    <t>|0||SIP/SERVICIOS_SIP-0000501f|1778002968.20529|16:Normal Clearing|17:Network|23||-1|NotSet|</t>
  </si>
  <si>
    <t>1130025940</t>
  </si>
  <si>
    <t>1130025940-149070653-20260505141856.mp3</t>
  </si>
  <si>
    <t>|0||SIP/SERVICIOS_SIP-00004b80|1778001572.19342|16:Normal Clearing|16:PBX|15|SIP/GQ106-00004b94|-1|NotSet|</t>
  </si>
  <si>
    <t>1161212996</t>
  </si>
  <si>
    <t>1161212996-149068973-20260505131342.mp3</t>
  </si>
  <si>
    <t>Sep  8 2025 11:18AM</t>
  </si>
  <si>
    <t>|0||SIP/SERVICIOS_SIP-00003f55|1777997658.16227|16:Normal Clearing|16:PBX|6|SIP/GQ106-00003f6c|-1|NotSet|</t>
  </si>
  <si>
    <t>1144923455</t>
  </si>
  <si>
    <t>1144923455-149068041-20260505124049.mp3</t>
  </si>
  <si>
    <t>|0||SIP/SERVICIOS_SIP-0000390e|1777995685.14620|16:Normal Clearing|17:Network|11||-1|NotSet|</t>
  </si>
  <si>
    <t>1125557416</t>
  </si>
  <si>
    <t>1125557416-149066079-20260505115451.mp3</t>
  </si>
  <si>
    <t>|0||SIP/SERVICIOS_SIP-00002be8|1777992927.11254|16:Normal Clearing|17:Network|1||-1|NotSet|</t>
  </si>
  <si>
    <t>2281476633</t>
  </si>
  <si>
    <t>2281476633-149065335-20260505113559.mp3</t>
  </si>
  <si>
    <t>|0||SIP/SERVICIOS_SIP-00002712|1777991796.10016|16:Normal Clearing|17:Network|18||-1|NotSet|</t>
  </si>
  <si>
    <t>1136977995</t>
  </si>
  <si>
    <t>1136977995-149064980-20260505112436.mp3</t>
  </si>
  <si>
    <t>|0||SIP/SERVICIOS_SIP-000024b6|1777991113.9412|16:Normal Clearing|17:Network|1||-1|NotSet|</t>
  </si>
  <si>
    <t>2996239844</t>
  </si>
  <si>
    <t>2996239844-149063899-20260505105109.mp3</t>
  </si>
  <si>
    <t>|0||SIP/SERVICIOS_SIP-00001d27|1777989106.7476|16:Normal Clearing|17:Network|7||-1|NotSet|</t>
  </si>
  <si>
    <t>3516507097</t>
  </si>
  <si>
    <t>3516507097-149063865-20260505104950.mp3</t>
  </si>
  <si>
    <t>|0||SIP/SERVICIOS_SIP-00001ceb|1777989026.7416|16:Normal Clearing|16:PBX|27|SIP/GQ106-00001cf4|-1|NotSet|</t>
  </si>
  <si>
    <t>3876349552</t>
  </si>
  <si>
    <t>3876349552-149059248-20260504195033.mp3</t>
  </si>
  <si>
    <t>METAN</t>
  </si>
  <si>
    <t>|0||SIP/SERVICIOS_SIP-00007e20|1777935066.32316|16:Normal Clearing|16:PBX|7|SIP/GQ114-00007e2f|-1|NotSet|</t>
  </si>
  <si>
    <t>1157740540</t>
  </si>
  <si>
    <t>1157740540-149058778-20260504193214.mp3</t>
  </si>
  <si>
    <t>|0||SIP/SERVICIOS_SIP-00007a93|1777933967.31406|16:Normal Clearing|16:PBX|16||-1|NotSet|</t>
  </si>
  <si>
    <t>1151394081-149056627-20260504180802.mp3</t>
  </si>
  <si>
    <t>|0||SIP/SERVICIOS_SIP-00006a92|1777928916.27306|16:Normal Clearing|17:Network|10||-1|NotSet|</t>
  </si>
  <si>
    <t>3585611503</t>
  </si>
  <si>
    <t>3585611503-149056539-20260504180458.mp3</t>
  </si>
  <si>
    <t>|0||SIP/SERVICIOS_SIP-000069ec|1777928731.27140|16:Normal Clearing|17:Network|0||-1|NotSet|</t>
  </si>
  <si>
    <t>1160047038</t>
  </si>
  <si>
    <t>1160047038-149056266-20260504175352.mp3</t>
  </si>
  <si>
    <t>|0||SIP/SERVICIOS_SIP-000067e6|1777928065.26622|16:Normal Clearing|16:PBX|12|SIP/GQ105-000067f8|-1|NotSet|</t>
  </si>
  <si>
    <t>1132713706-149055190-20260504165915.mp3</t>
  </si>
  <si>
    <t>|0||SIP/SERVICIOS_SIP-00005fc4|1777924789.24538|16:Normal Clearing|17:Network|18||-1|NotSet|</t>
  </si>
  <si>
    <t>1140450044</t>
  </si>
  <si>
    <t>1140450044-149055078-20260504165601.mp3</t>
  </si>
  <si>
    <t>|0||SIP/SERVICIOS_SIP-00005ef6|1777924595.24332|16:Normal Clearing|16:PBX|16||-1|NotSet|</t>
  </si>
  <si>
    <t>2983618493</t>
  </si>
  <si>
    <t>2983618493-149054197-20260504162232.mp3</t>
  </si>
  <si>
    <t>|0||SIP/SERVICIOS_SIP-00005851|1777922586.22628|16:Normal Clearing|16:PBX|17|SIP/GQ114-00005864|-1|NotSet|</t>
  </si>
  <si>
    <t>2966784318</t>
  </si>
  <si>
    <t>2966784318-149053813-20260504160430.mp3</t>
  </si>
  <si>
    <t>|0||SIP/SERVICIOS_SIP-0000553d|1777921504.21839|16:Normal Clearing|17:Network|18||-1|NotSet|</t>
  </si>
  <si>
    <t>1136654608</t>
  </si>
  <si>
    <t>1136654608-149052887-20260504150752.mp3</t>
  </si>
  <si>
    <t>|0||SIP/SERVICIOS_SIP-00004e24|1777918106.20019|16:Normal Clearing|16:PBX|2|SIP/GQ114-00004e2e|-1|NotSet|</t>
  </si>
  <si>
    <t>1161919900</t>
  </si>
  <si>
    <t>1161919900-149052569-20260504145100.mp3</t>
  </si>
  <si>
    <t>|0||SIP/SERVICIOS_SIP-00004bd2|1777917094.19425|16:Normal Clearing|17:Network|11||-1|NotSet|</t>
  </si>
  <si>
    <t>2342454761</t>
  </si>
  <si>
    <t>2342454761-149052474-20260504144805.mp3</t>
  </si>
  <si>
    <t>|0||SIP/SERVICIOS_SIP-00004b24|1777916918.19251|16:Normal Clearing|17:Network|1||-1|NotSet|</t>
  </si>
  <si>
    <t>3624160621</t>
  </si>
  <si>
    <t>3624160621-149052180-20260504143953.mp3</t>
  </si>
  <si>
    <t>|0||SIP/SERVICIOS_SIP-00004924|1777916426.18739|16:Normal Clearing|16:PBX|19|SIP/GQ106-00004943|-1|NotSet|</t>
  </si>
  <si>
    <t>1137921432</t>
  </si>
  <si>
    <t>1137921432-149051584-20260504142456.mp3</t>
  </si>
  <si>
    <t>|0||SIP/SERVICIOS_SIP-0000453c|1777915530.17738|16:Normal Clearing|17:Network|7||-1|NotSet|</t>
  </si>
  <si>
    <t>1124923025</t>
  </si>
  <si>
    <t>1124923025-149050522-20260504133742.mp3</t>
  </si>
  <si>
    <t>|0||SIP/SERVICIOS_SIP-00003d5d|1777912696.15722|16:Normal Clearing|17:Network|23||-1|NotSet|</t>
  </si>
  <si>
    <t>3435189255</t>
  </si>
  <si>
    <t>3435189255-149048732-20260504123019.mp3</t>
  </si>
  <si>
    <t>NOGOYA</t>
  </si>
  <si>
    <t>|0||SIP/SERVICIOS_SIP-00003010|1777908653.12317|16:Normal Clearing|17:Network|17||-1|NotSet|</t>
  </si>
  <si>
    <t>1160327348-149048553-20260504122354.mp3</t>
  </si>
  <si>
    <t>|0||SIP/SERVICIOS_SIP-00002ec8|1777908268.11989|16:Normal Clearing|17:Network|20||-1|NotSet|</t>
  </si>
  <si>
    <t>2945599972</t>
  </si>
  <si>
    <t>2945599972-149047725-20260504115554.mp3</t>
  </si>
  <si>
    <t>ESQUEL</t>
  </si>
  <si>
    <t>|0||SIP/SERVICIOS_SIP-000028b5|1777906588.10433|16:Normal Clearing|16:PBX|24||-1|NotSet|</t>
  </si>
  <si>
    <t>1166798721</t>
  </si>
  <si>
    <t>1166798721-149047443-20260504114640.mp3</t>
  </si>
  <si>
    <t>|0||SIP/SERVICIOS_SIP-000026aa|1777906034.9910|16:Normal Clearing|17:Network|19||-1|NotSet|</t>
  </si>
  <si>
    <t>1159432774-149046617-20260504111502.mp3</t>
  </si>
  <si>
    <t>Apr 30 2026  1:12PM</t>
  </si>
  <si>
    <t>|0||SIP/SERVICIOS_SIP-00002087|1777904136.8339|16:Normal Clearing|16:PBX|20|SIP/GQ106-00002096|-1|NotSet|</t>
  </si>
  <si>
    <t>3884459927-149046493-20260504110544.mp3</t>
  </si>
  <si>
    <t>|0||SIP/SERVICIOS_SIP-00001f83|1777903578.8079|16:Normal Clearing|16:PBX|20|SIP/GQ106-00001f87|-1|NotSet|</t>
  </si>
  <si>
    <t>3517333437</t>
  </si>
  <si>
    <t>3517333437-149046381-20260504105946.mp3</t>
  </si>
  <si>
    <t>|0||SIP/SERVICIOS_SIP-00001e98|1777903220.7843|16:Normal Clearing|17:Network|2||-1|NotSet|</t>
  </si>
  <si>
    <t>1159035439</t>
  </si>
  <si>
    <t>1159035439-149046332-20260504105652.mp3</t>
  </si>
  <si>
    <t>|0||SIP/SERVICIOS_SIP-00001e2a|1777903046.7733|16:Normal Clearing|17:Network|21||-1|NotSet|</t>
  </si>
  <si>
    <t>3482535547</t>
  </si>
  <si>
    <t>3482535547-149046181-20260504105148.mp3</t>
  </si>
  <si>
    <t>|0||SIP/SERVICIOS_SIP-00001d0a|1777902742.7444|16:Normal Clearing|16:PBX|7|SIP/GQ106-00001d19|-1|NotSet|</t>
  </si>
  <si>
    <t>1170583210</t>
  </si>
  <si>
    <t>1170583210-149045897-20260504103020.mp3</t>
  </si>
  <si>
    <t>|0||SIP/SERVICIOS_SIP-00001aca|1777901454.6868|16:Normal Clearing|17:Network|6||-1|NotSet|</t>
  </si>
  <si>
    <t>1132570770</t>
  </si>
  <si>
    <t>1132570770-149045894-20260504103006.mp3</t>
  </si>
  <si>
    <t>|0||SIP/SERVICIOS_SIP-00001ac4|1777901440.6862|16:Normal Clearing|16:PBX|13|SIP/Z8647-00001ad1|-1|NotSet|</t>
  </si>
  <si>
    <t>1136289001</t>
  </si>
  <si>
    <t>1136289001-149044898-20260504095352.mp3</t>
  </si>
  <si>
    <t>|0||SIP/SERVICIOS_SIP-0000137f|1777899266.5000|16:Normal Clearing|16:PBX|4||-1|NotSet|</t>
  </si>
  <si>
    <t>2233037517</t>
  </si>
  <si>
    <t>|0||SIP/SERVICIOS_SIP-00000a14|1779452944.2581|16:Normal Clearing|17:Network|4||-1|NotSet|</t>
  </si>
  <si>
    <t>1144360378</t>
  </si>
  <si>
    <t>|0||SIP/SERVICIOS_SIP-0000c1c0|1778598834.49610|16:Normal Clearing|17:Network|1||-1|NotSet|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</si>
</sst>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\-mm\-yyyy\ hh:mm:ss"/>
  </numFmts>
  <fonts count="10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FFFFFF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8" fillId="0" borderId="0"/>
    <xf numFmtId="0" fontId="9" fillId="0" borderId="0"/>
    <xf numFmtId="0" fontId="9" fillId="0" borderId="0"/>
  </cellStyleXfs>
  <cellXfs count="37">
    <xf numFmtId="0" fontId="0" fillId="0" borderId="0" xfId="0"/>
    <xf numFmtId="0" fontId="0" fillId="0" borderId="2" xfId="0" applyBorder="1"/>
    <xf numFmtId="49" fontId="0" fillId="0" borderId="2" xfId="0" applyNumberFormat="1" applyBorder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10" fontId="0" fillId="0" borderId="0" xfId="0" applyNumberFormat="1" applyAlignment="1">
      <alignment horizontal="center"/>
    </xf>
    <xf numFmtId="0" fontId="0" fillId="3" borderId="0" xfId="0" applyFill="1"/>
    <xf numFmtId="14" fontId="0" fillId="0" borderId="0" xfId="0" applyNumberFormat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0" xfId="0" applyAlignment="1">
      <alignment horizontal="center" indent="1"/>
    </xf>
    <xf numFmtId="0" fontId="5" fillId="5" borderId="0" xfId="0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5" fillId="7" borderId="0" xfId="0" applyFont="1" applyFill="1"/>
    <xf numFmtId="17" fontId="6" fillId="5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5" fillId="9" borderId="4" xfId="0" applyFont="1" applyFill="1" applyBorder="1"/>
    <xf numFmtId="0" fontId="0" fillId="8" borderId="4" xfId="0" applyFill="1" applyBorder="1"/>
    <xf numFmtId="0" fontId="0" fillId="0" borderId="4" xfId="0" applyBorder="1"/>
    <xf numFmtId="22" fontId="0" fillId="8" borderId="4" xfId="0" applyNumberFormat="1" applyFill="1" applyBorder="1"/>
    <xf numFmtId="0" fontId="0" fillId="8" borderId="5" xfId="0" applyFill="1" applyBorder="1"/>
    <xf numFmtId="22" fontId="0" fillId="0" borderId="4" xfId="0" applyNumberFormat="1" applyBorder="1"/>
    <xf numFmtId="0" fontId="0" fillId="0" borderId="5" xfId="0" applyBorder="1"/>
    <xf numFmtId="0" fontId="0" fillId="6" borderId="0" xfId="0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8" borderId="4" xfId="0" applyNumberFormat="1" applyFill="1" applyBorder="1"/>
    <xf numFmtId="0" fontId="0" fillId="0" borderId="4" xfId="0" applyNumberFormat="1" applyBorder="1"/>
  </cellXfs>
  <cellStyles count="5">
    <cellStyle name="Hyperlink" xfId="1" xr:uid="{00000000-000B-0000-0000-000008000000}"/>
    <cellStyle name="Normal" xfId="0" builtinId="0"/>
    <cellStyle name="Normal 4" xfId="2" xr:uid="{CB07CEB8-FFAB-4C33-9A15-0A0DA983F13E}"/>
    <cellStyle name="Normal 5" xfId="3" xr:uid="{E4D871D4-2094-4ACA-AD5F-87575CF3ABFC}"/>
    <cellStyle name="Normal 6" xfId="4" xr:uid="{EE90245F-510A-44D8-A49F-7F96E393AC70}"/>
  </cellStyles>
  <dxfs count="38"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00B0F0"/>
        </patternFill>
      </fill>
    </dxf>
    <dxf>
      <font>
        <b/>
      </font>
    </dxf>
    <dxf>
      <fill>
        <patternFill>
          <bgColor theme="4" tint="-0.499984740745262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00B0F0"/>
        </patternFill>
      </fill>
    </dxf>
    <dxf>
      <font>
        <b/>
      </font>
    </dxf>
    <dxf>
      <fill>
        <patternFill>
          <bgColor theme="4" tint="-0.499984740745262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716927434964249E-2"/>
          <c:y val="7.3577689184363859E-2"/>
          <c:w val="0.98112398239922827"/>
          <c:h val="0.84049430707557071"/>
        </c:manualLayout>
      </c:layout>
      <c:lineChart>
        <c:grouping val="standard"/>
        <c:varyColors val="0"/>
        <c:ser>
          <c:idx val="0"/>
          <c:order val="0"/>
          <c:tx>
            <c:strRef>
              <c:f>'Tabla dinamica'!$B$23</c:f>
              <c:strCache>
                <c:ptCount val="1"/>
                <c:pt idx="0">
                  <c:v>Llamadas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'Tabla dinamica'!$A$24:$A$35</c:f>
              <c:numCache>
                <c:formatCode>General</c:formatCode>
                <c:ptCount val="1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</c:numCache>
            </c:numRef>
          </c:cat>
          <c:val>
            <c:numRef>
              <c:f>'Tabla dinamica'!$B$24:$B$35</c:f>
              <c:numCache>
                <c:formatCode>General</c:formatCode>
                <c:ptCount val="12"/>
                <c:pt idx="0">
                  <c:v>33</c:v>
                </c:pt>
                <c:pt idx="1">
                  <c:v>54</c:v>
                </c:pt>
                <c:pt idx="2">
                  <c:v>47</c:v>
                </c:pt>
                <c:pt idx="3">
                  <c:v>38</c:v>
                </c:pt>
                <c:pt idx="4">
                  <c:v>39</c:v>
                </c:pt>
                <c:pt idx="5">
                  <c:v>29</c:v>
                </c:pt>
                <c:pt idx="6">
                  <c:v>30</c:v>
                </c:pt>
                <c:pt idx="7">
                  <c:v>39</c:v>
                </c:pt>
                <c:pt idx="8">
                  <c:v>36</c:v>
                </c:pt>
                <c:pt idx="9">
                  <c:v>24</c:v>
                </c:pt>
                <c:pt idx="10">
                  <c:v>22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9-4C12-A80A-3698291B57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2947711"/>
        <c:axId val="922959711"/>
      </c:lineChart>
      <c:catAx>
        <c:axId val="92294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22959711"/>
        <c:crosses val="autoZero"/>
        <c:auto val="1"/>
        <c:lblAlgn val="ctr"/>
        <c:lblOffset val="100"/>
        <c:noMultiLvlLbl val="0"/>
      </c:catAx>
      <c:valAx>
        <c:axId val="9229597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2294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23</xdr:row>
      <xdr:rowOff>45170</xdr:rowOff>
    </xdr:from>
    <xdr:to>
      <xdr:col>10</xdr:col>
      <xdr:colOff>204744</xdr:colOff>
      <xdr:row>37</xdr:row>
      <xdr:rowOff>94700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376895-92EE-C606-BAB1-026BE1238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33916</xdr:colOff>
      <xdr:row>24</xdr:row>
      <xdr:rowOff>59229</xdr:rowOff>
    </xdr:from>
    <xdr:to>
      <xdr:col>13</xdr:col>
      <xdr:colOff>586870</xdr:colOff>
      <xdr:row>38</xdr:row>
      <xdr:rowOff>59230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 real">
              <a:extLst>
                <a:ext uri="{FF2B5EF4-FFF2-40B4-BE49-F238E27FC236}">
                  <a16:creationId xmlns:a16="http://schemas.microsoft.com/office/drawing/2014/main" id="{84D104B2-23FE-C003-9341-4E06805EB4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re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44416" y="4754494"/>
              <a:ext cx="1845366" cy="2667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1111202</xdr:colOff>
      <xdr:row>0</xdr:row>
      <xdr:rowOff>85725</xdr:rowOff>
    </xdr:from>
    <xdr:to>
      <xdr:col>8</xdr:col>
      <xdr:colOff>101552</xdr:colOff>
      <xdr:row>14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fecha real 1">
              <a:extLst>
                <a:ext uri="{FF2B5EF4-FFF2-40B4-BE49-F238E27FC236}">
                  <a16:creationId xmlns:a16="http://schemas.microsoft.com/office/drawing/2014/main" id="{8F03843B-2EEC-C1C2-83BF-84A5ABB916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re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40702" y="85725"/>
              <a:ext cx="179070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121627</xdr:colOff>
      <xdr:row>0</xdr:row>
      <xdr:rowOff>85725</xdr:rowOff>
    </xdr:from>
    <xdr:to>
      <xdr:col>9</xdr:col>
      <xdr:colOff>508481</xdr:colOff>
      <xdr:row>14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Direccion 1">
              <a:extLst>
                <a:ext uri="{FF2B5EF4-FFF2-40B4-BE49-F238E27FC236}">
                  <a16:creationId xmlns:a16="http://schemas.microsoft.com/office/drawing/2014/main" id="{696F4802-B674-EC01-5721-4DD986DF94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recc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51477" y="85725"/>
              <a:ext cx="1787029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531348</xdr:colOff>
      <xdr:row>0</xdr:row>
      <xdr:rowOff>85725</xdr:rowOff>
    </xdr:from>
    <xdr:to>
      <xdr:col>10</xdr:col>
      <xdr:colOff>876453</xdr:colOff>
      <xdr:row>14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rm">
              <a:extLst>
                <a:ext uri="{FF2B5EF4-FFF2-40B4-BE49-F238E27FC236}">
                  <a16:creationId xmlns:a16="http://schemas.microsoft.com/office/drawing/2014/main" id="{BBFBD26C-EAA6-07A2-7E9B-25217FA032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61373" y="85725"/>
              <a:ext cx="174528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880842</xdr:colOff>
      <xdr:row>0</xdr:row>
      <xdr:rowOff>85725</xdr:rowOff>
    </xdr:from>
    <xdr:to>
      <xdr:col>11</xdr:col>
      <xdr:colOff>1267697</xdr:colOff>
      <xdr:row>14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ola">
              <a:extLst>
                <a:ext uri="{FF2B5EF4-FFF2-40B4-BE49-F238E27FC236}">
                  <a16:creationId xmlns:a16="http://schemas.microsoft.com/office/drawing/2014/main" id="{8F75C66A-70F2-611A-9128-498BDCD715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11042" y="85725"/>
              <a:ext cx="178703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1250120</xdr:colOff>
      <xdr:row>0</xdr:row>
      <xdr:rowOff>85725</xdr:rowOff>
    </xdr:from>
    <xdr:to>
      <xdr:col>13</xdr:col>
      <xdr:colOff>236809</xdr:colOff>
      <xdr:row>14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campaña 1">
              <a:extLst>
                <a:ext uri="{FF2B5EF4-FFF2-40B4-BE49-F238E27FC236}">
                  <a16:creationId xmlns:a16="http://schemas.microsoft.com/office/drawing/2014/main" id="{DF36CD90-C25A-CE19-BE84-49C67391B4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ñ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80495" y="85725"/>
              <a:ext cx="1787039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90.4625087963" createdVersion="8" refreshedVersion="8" minRefreshableVersion="3" recordCount="502" xr:uid="{00000000-000A-0000-FFFF-FFFF38000000}">
  <cacheSource type="worksheet">
    <worksheetSource ref="A1:AU1048576" sheet="info"/>
  </cacheSource>
  <cacheFields count="47">
    <cacheField name="fecha real" numFmtId="0">
      <sharedItems containsNonDate="0" containsDate="1" containsString="0" containsBlank="1" minDate="2026-05-04T00:00:00" maxDate="2026-05-30T00:00:00" count="20"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6T00:00:00"/>
        <d v="2026-05-27T00:00:00"/>
        <d v="2026-05-28T00:00:00"/>
        <d v="2026-05-29T00:00:00"/>
        <m/>
      </sharedItems>
    </cacheField>
    <cacheField name="Linea" numFmtId="0">
      <sharedItems containsBlank="1" containsMixedTypes="1" containsNumber="1" containsInteger="1" minValue="1121611655" maxValue="3884881290"/>
    </cacheField>
    <cacheField name="Direccion" numFmtId="0">
      <sharedItems containsBlank="1" containsMixedTypes="1" containsNumber="1" containsInteger="1" minValue="0" maxValue="0" count="3">
        <s v="ENTRANTE"/>
        <m/>
        <n v="0" u="1"/>
      </sharedItems>
    </cacheField>
    <cacheField name="campaña" numFmtId="0">
      <sharedItems containsBlank="1" count="4">
        <s v="Admisiones"/>
        <m/>
        <s v="Servicios" u="1"/>
        <e v="#N/A" u="1"/>
      </sharedItems>
    </cacheField>
    <cacheField name="Conexión" numFmtId="0">
      <sharedItems containsBlank="1" count="4">
        <s v="Conectadas"/>
        <m/>
        <s v="Perdidas" u="1"/>
        <e v="#N/A" u="1"/>
      </sharedItems>
    </cacheField>
    <cacheField name="Crm" numFmtId="0">
      <sharedItems containsString="0" containsBlank="1" containsNumber="1" containsInteger="1" minValue="0" maxValue="50" count="5">
        <n v="37"/>
        <m/>
        <n v="0" u="1"/>
        <n v="50" u="1"/>
        <n v="1" u="1"/>
      </sharedItems>
    </cacheField>
    <cacheField name="cola" numFmtId="0">
      <sharedItems containsString="0" containsBlank="1" containsNumber="1" containsInteger="1" minValue="0" maxValue="200095" count="9">
        <n v="26"/>
        <n v="27"/>
        <n v="0"/>
        <n v="5"/>
        <n v="18"/>
        <m/>
        <n v="6" u="1"/>
        <n v="16" u="1"/>
        <n v="200095" u="1"/>
      </sharedItems>
    </cacheField>
    <cacheField name="hora de contacta" numFmtId="0">
      <sharedItems containsString="0" containsBlank="1" containsNumber="1" containsInteger="1" minValue="0" maxValue="21" count="15">
        <n v="9"/>
        <n v="19"/>
        <n v="18"/>
        <n v="17"/>
        <n v="16"/>
        <n v="15"/>
        <n v="14"/>
        <n v="13"/>
        <n v="12"/>
        <n v="11"/>
        <n v="10"/>
        <n v="20"/>
        <m/>
        <n v="0" u="1"/>
        <n v="21" u="1"/>
      </sharedItems>
    </cacheField>
    <cacheField name="Matriculado" numFmtId="0">
      <sharedItems containsBlank="1"/>
    </cacheField>
    <cacheField name="Fecha" numFmtId="0">
      <sharedItems containsString="0" containsBlank="1" containsNumber="1" containsInteger="1" minValue="20260504" maxValue="20260529"/>
    </cacheField>
    <cacheField name="Id. llamada" numFmtId="0">
      <sharedItems containsString="0" containsBlank="1" containsNumber="1" containsInteger="1" minValue="149043905" maxValue="149405570"/>
    </cacheField>
    <cacheField name="Dispositivo" numFmtId="0">
      <sharedItems containsBlank="1"/>
    </cacheField>
    <cacheField name="Servidor" numFmtId="0">
      <sharedItems containsBlank="1"/>
    </cacheField>
    <cacheField name="Placa" numFmtId="0">
      <sharedItems containsString="0" containsBlank="1" containsNumber="1" containsInteger="1" minValue="0" maxValue="0"/>
    </cacheField>
    <cacheField name="Slot" numFmtId="0">
      <sharedItems containsString="0" containsBlank="1" containsNumber="1" containsInteger="1" minValue="0" maxValue="0"/>
    </cacheField>
    <cacheField name="Aplicación" numFmtId="0">
      <sharedItems containsBlank="1"/>
    </cacheField>
    <cacheField name="Id. Aplicación" numFmtId="0">
      <sharedItems containsString="0" containsBlank="1" containsNumber="1" containsInteger="1" minValue="150" maxValue="150"/>
    </cacheField>
    <cacheField name="Usuario" numFmtId="0">
      <sharedItems containsBlank="1"/>
    </cacheField>
    <cacheField name="Cola2" numFmtId="0">
      <sharedItems containsString="0" containsBlank="1" containsNumber="1" containsInteger="1" minValue="0" maxValue="27"/>
    </cacheField>
    <cacheField name="Estado" numFmtId="0">
      <sharedItems containsBlank="1"/>
    </cacheField>
    <cacheField name="Sub-Estado" numFmtId="0">
      <sharedItems containsBlank="1"/>
    </cacheField>
    <cacheField name="Inicio" numFmtId="0">
      <sharedItems containsNonDate="0" containsDate="1" containsString="0" containsBlank="1" minDate="2026-05-04T09:09:27" maxDate="2026-05-29T20:29:51"/>
    </cacheField>
    <cacheField name="Conexión2" numFmtId="0">
      <sharedItems containsNonDate="0" containsDate="1" containsString="0" containsBlank="1" minDate="2026-05-04T09:09:27" maxDate="2026-05-29T20:29:51"/>
    </cacheField>
    <cacheField name="Fin" numFmtId="0">
      <sharedItems containsNonDate="0" containsDate="1" containsString="0" containsBlank="1" minDate="2026-05-04T09:12:29" maxDate="2026-05-29T20:48:02"/>
    </cacheField>
    <cacheField name="DNIS" numFmtId="0">
      <sharedItems containsBlank="1"/>
    </cacheField>
    <cacheField name="ANI/Teléfono" numFmtId="0">
      <sharedItems containsBlank="1"/>
    </cacheField>
    <cacheField name="Dirección" numFmtId="0">
      <sharedItems containsBlank="1"/>
    </cacheField>
    <cacheField name="Tipo Grabación" numFmtId="0">
      <sharedItems containsBlank="1"/>
    </cacheField>
    <cacheField name="Grabación" numFmtId="0">
      <sharedItems containsBlank="1"/>
    </cacheField>
    <cacheField name="Grabación Depurada" numFmtId="0">
      <sharedItems containsBlank="1"/>
    </cacheField>
    <cacheField name="Tipo" numFmtId="0">
      <sharedItems containsBlank="1"/>
    </cacheField>
    <cacheField name="País/Provincia" numFmtId="0">
      <sharedItems containsBlank="1"/>
    </cacheField>
    <cacheField name="Ciudad/Localidad" numFmtId="0">
      <sharedItems containsBlank="1"/>
    </cacheField>
    <cacheField name="Costo" numFmtId="0">
      <sharedItems containsString="0" containsBlank="1" containsNumber="1" containsInteger="1" minValue="0" maxValue="0"/>
    </cacheField>
    <cacheField name="Precio" numFmtId="0">
      <sharedItems containsString="0" containsBlank="1" containsNumber="1" containsInteger="1" minValue="0" maxValue="0"/>
    </cacheField>
    <cacheField name="Importe Costo" numFmtId="0">
      <sharedItems containsString="0" containsBlank="1" containsNumber="1" containsInteger="1" minValue="0" maxValue="0"/>
    </cacheField>
    <cacheField name="Importe Precio" numFmtId="0">
      <sharedItems containsString="0" containsBlank="1" containsNumber="1" containsInteger="1" minValue="0" maxValue="0"/>
    </cacheField>
    <cacheField name="Proveedor" numFmtId="0">
      <sharedItems containsBlank="1"/>
    </cacheField>
    <cacheField name="Detalle" numFmtId="0">
      <sharedItems containsString="0" containsBlank="1" containsNumber="1" containsInteger="1" minValue="3" maxValue="3"/>
    </cacheField>
    <cacheField name="Duración" numFmtId="0">
      <sharedItems containsString="0" containsBlank="1" containsNumber="1" containsInteger="1" minValue="19" maxValue="2897"/>
    </cacheField>
    <cacheField name="TIPO_DISCADOR" numFmtId="0">
      <sharedItems containsBlank="1"/>
    </cacheField>
    <cacheField name="CRM2" numFmtId="0">
      <sharedItems containsString="0" containsBlank="1" containsNumber="1" containsInteger="1" minValue="37" maxValue="37"/>
    </cacheField>
    <cacheField name="Base" numFmtId="0">
      <sharedItems containsString="0" containsBlank="1" containsNumber="1" containsInteger="1" minValue="0" maxValue="202"/>
    </cacheField>
    <cacheField name="Id. Contacto" numFmtId="0">
      <sharedItems containsString="0" containsBlank="1" containsNumber="1" containsInteger="1" minValue="0" maxValue="2509156"/>
    </cacheField>
    <cacheField name="Datos" numFmtId="0">
      <sharedItems containsBlank="1"/>
    </cacheField>
    <cacheField name="Log" numFmtId="0">
      <sharedItems containsBlank="1"/>
    </cacheField>
    <cacheField name="Sub-Partes" numFmtId="0">
      <sharedItems containsBlank="1"/>
    </cacheField>
  </cacheFields>
  <extLst>
    <ext xmlns:x14="http://schemas.microsoft.com/office/spreadsheetml/2009/9/main" uri="{725AE2AE-9491-48be-B2B4-4EB974FC3084}">
      <x14:pivotCacheDefinition pivotCacheId="11157764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">
  <r>
    <x v="0"/>
    <n v="3543319994"/>
    <x v="0"/>
    <x v="0"/>
    <x v="0"/>
    <x v="0"/>
    <x v="0"/>
    <x v="0"/>
    <s v="No"/>
    <n v="20260504"/>
    <n v="149043905"/>
    <s v="SERVICIOS_SIP"/>
    <s v="NEO1"/>
    <n v="0"/>
    <n v="0"/>
    <s v="CAMPAÑA"/>
    <n v="150"/>
    <s v="8861 - Caceres, Martina"/>
    <n v="26"/>
    <s v="ANSWER"/>
    <s v="AGENT"/>
    <d v="2026-05-04T09:09:27"/>
    <d v="2026-05-04T09:09:27"/>
    <d v="2026-05-04T09:12:29"/>
    <s v="01152741410"/>
    <s v="3543319994"/>
    <s v="ENTRANTE"/>
    <s v="FULL"/>
    <s v="3543319994-149043905-20260504090926.mp3"/>
    <s v=""/>
    <s v="NAC-FIJO"/>
    <s v="CORDOBA"/>
    <s v="ARGÜELLO"/>
    <n v="0"/>
    <n v="0"/>
    <n v="0"/>
    <n v="0"/>
    <s v="BL"/>
    <n v="3"/>
    <n v="182"/>
    <s v="NotSet"/>
    <n v="37"/>
    <n v="1"/>
    <n v="2486505"/>
    <s v=""/>
    <s v="|0||SIP/SERVICIOS_SIP-00000ad8|1777896600.2781|16:Normal Clearing|16:PBX|4||-1|NotSet|"/>
    <s v=""/>
  </r>
  <r>
    <x v="0"/>
    <n v="2994621296"/>
    <x v="0"/>
    <x v="0"/>
    <x v="0"/>
    <x v="0"/>
    <x v="0"/>
    <x v="0"/>
    <s v="No"/>
    <n v="20260504"/>
    <n v="149044343"/>
    <s v="SERVICIOS_SIP"/>
    <s v="NEO1"/>
    <n v="0"/>
    <n v="0"/>
    <s v="CAMPAÑA"/>
    <n v="150"/>
    <s v="8861 - Caceres, Martina"/>
    <n v="26"/>
    <s v="ANSWER"/>
    <s v="AGENT"/>
    <d v="2026-05-04T09:31:34"/>
    <d v="2026-05-04T09:31:34"/>
    <d v="2026-05-04T09:52:37"/>
    <s v="01152741410"/>
    <s v="2994621296"/>
    <s v="ENTRANTE"/>
    <s v="FULL"/>
    <s v="2994621296-149044343-20260504093134.mp3"/>
    <s v=""/>
    <s v="NAC-CEL"/>
    <s v="NACIONAL"/>
    <s v="PAIS-CELULAR"/>
    <n v="0"/>
    <n v="0"/>
    <n v="0"/>
    <n v="0"/>
    <s v="BL"/>
    <n v="3"/>
    <n v="1264"/>
    <s v="NotSet"/>
    <n v="37"/>
    <n v="198"/>
    <n v="2466160"/>
    <s v=""/>
    <s v="|0||SIP/SERVICIOS_SIP-00000eb2|1777897928.3771|16:Normal Clearing|16:PBX|6|SIP/GQ106-00000ec7|-1|NotSet|"/>
    <s v=""/>
  </r>
  <r>
    <x v="0"/>
    <n v="3876349552"/>
    <x v="0"/>
    <x v="0"/>
    <x v="0"/>
    <x v="0"/>
    <x v="1"/>
    <x v="1"/>
    <s v="No"/>
    <n v="20260504"/>
    <n v="149059248"/>
    <s v="SERVICIOS_SIP"/>
    <s v="NEO1"/>
    <n v="0"/>
    <n v="0"/>
    <s v="CAMPAÑA"/>
    <n v="150"/>
    <s v="8864 - González, Maitena"/>
    <n v="27"/>
    <s v="ANSWER"/>
    <s v="AGENT"/>
    <d v="2026-05-04T19:50:33"/>
    <d v="2026-05-04T19:50:33"/>
    <d v="2026-05-04T20:04:03"/>
    <s v="01152741410"/>
    <s v="3876349552"/>
    <s v="ENTRANTE"/>
    <s v="FULL"/>
    <s v="3876349552-149059248-20260504195033.mp3"/>
    <s v=""/>
    <s v="NAC-FIJO"/>
    <s v="SALTA"/>
    <s v="METAN"/>
    <n v="0"/>
    <n v="0"/>
    <n v="0"/>
    <n v="0"/>
    <s v="BL"/>
    <n v="3"/>
    <n v="810"/>
    <s v="NotSet"/>
    <n v="37"/>
    <n v="116"/>
    <n v="1425078"/>
    <s v=""/>
    <s v="|0||SIP/SERVICIOS_SIP-00007e20|1777935066.32316|16:Normal Clearing|16:PBX|7|SIP/GQ114-00007e2f|-1|NotSet|"/>
    <s v=""/>
  </r>
  <r>
    <x v="0"/>
    <n v="1157740540"/>
    <x v="0"/>
    <x v="0"/>
    <x v="0"/>
    <x v="0"/>
    <x v="1"/>
    <x v="1"/>
    <s v="No"/>
    <n v="20260504"/>
    <n v="149058778"/>
    <s v="SERVICIOS_SIP"/>
    <s v="NEO1"/>
    <n v="0"/>
    <n v="0"/>
    <s v="CAMPAÑA"/>
    <n v="150"/>
    <s v="8864 - González, Maitena"/>
    <n v="27"/>
    <s v="ANSWER"/>
    <s v="AGENT"/>
    <d v="2026-05-04T19:32:14"/>
    <d v="2026-05-04T19:32:14"/>
    <d v="2026-05-04T19:37:18"/>
    <s v="01152741410"/>
    <s v="1157740540"/>
    <s v="ENTRANTE"/>
    <s v="FULL"/>
    <s v="1157740540-149058778-20260504193214.mp3"/>
    <s v=""/>
    <s v="NAC-CEL"/>
    <s v="NACIONAL"/>
    <s v="PAIS-CELULAR"/>
    <n v="0"/>
    <n v="0"/>
    <n v="0"/>
    <n v="0"/>
    <s v="BL"/>
    <n v="3"/>
    <n v="304"/>
    <s v="NotSet"/>
    <n v="37"/>
    <n v="202"/>
    <n v="2487388"/>
    <s v=""/>
    <s v="|0||SIP/SERVICIOS_SIP-00007a93|1777933967.31406|16:Normal Clearing|16:PBX|16||-1|NotSet|"/>
    <s v=""/>
  </r>
  <r>
    <x v="0"/>
    <n v="1151394081"/>
    <x v="0"/>
    <x v="0"/>
    <x v="0"/>
    <x v="0"/>
    <x v="1"/>
    <x v="2"/>
    <s v="No"/>
    <n v="20260504"/>
    <n v="149056627"/>
    <s v="SERVICIOS_SIP"/>
    <s v="NEO1"/>
    <n v="0"/>
    <n v="0"/>
    <s v="CAMPAÑA"/>
    <n v="150"/>
    <s v="8864 - González, Maitena"/>
    <n v="27"/>
    <s v="ANSWER"/>
    <s v="AGENT"/>
    <d v="2026-05-04T18:08:03"/>
    <d v="2026-05-04T18:08:03"/>
    <d v="2026-05-04T18:11:16"/>
    <s v="01152741410"/>
    <s v="1151394081"/>
    <s v="ENTRANTE"/>
    <s v="FULL"/>
    <s v="1151394081-149056627-20260504180802.mp3"/>
    <s v=""/>
    <s v="NAC-CEL"/>
    <s v="NACIONAL"/>
    <s v="PAIS-CELULAR"/>
    <n v="0"/>
    <n v="0"/>
    <n v="0"/>
    <n v="0"/>
    <s v="BL"/>
    <n v="3"/>
    <n v="194"/>
    <s v="NotSet"/>
    <n v="37"/>
    <n v="201"/>
    <n v="2487280"/>
    <s v=""/>
    <s v="|0||SIP/SERVICIOS_SIP-00006a92|1777928916.27306|16:Normal Clearing|17:Network|10||-1|NotSet|"/>
    <s v=""/>
  </r>
  <r>
    <x v="0"/>
    <n v="3585611503"/>
    <x v="0"/>
    <x v="0"/>
    <x v="0"/>
    <x v="0"/>
    <x v="1"/>
    <x v="2"/>
    <s v="No"/>
    <n v="20260504"/>
    <n v="149056539"/>
    <s v="SERVICIOS_SIP"/>
    <s v="NEO1"/>
    <n v="0"/>
    <n v="0"/>
    <s v="CAMPAÑA"/>
    <n v="150"/>
    <s v="8814 - Nievas, Jimena "/>
    <n v="27"/>
    <s v="ANSWER"/>
    <s v="AGENT"/>
    <d v="2026-05-04T18:04:58"/>
    <d v="2026-05-04T18:04:58"/>
    <d v="2026-05-04T18:07:37"/>
    <s v="01152741410"/>
    <s v="3585611503"/>
    <s v="ENTRANTE"/>
    <s v="FULL"/>
    <s v="3585611503-149056539-20260504180458.mp3"/>
    <s v=""/>
    <s v="NAC-CEL"/>
    <s v="NACIONAL"/>
    <s v="PAIS-CELULAR"/>
    <n v="0"/>
    <n v="0"/>
    <n v="0"/>
    <n v="0"/>
    <s v="BL"/>
    <n v="3"/>
    <n v="160"/>
    <s v="NotSet"/>
    <n v="37"/>
    <n v="0"/>
    <n v="0"/>
    <s v=""/>
    <s v="|0||SIP/SERVICIOS_SIP-000069ec|1777928731.27140|16:Normal Clearing|17:Network|0||-1|NotSet|"/>
    <s v=""/>
  </r>
  <r>
    <x v="0"/>
    <n v="1160047038"/>
    <x v="0"/>
    <x v="0"/>
    <x v="0"/>
    <x v="0"/>
    <x v="1"/>
    <x v="3"/>
    <s v="No"/>
    <n v="20260504"/>
    <n v="149056266"/>
    <s v="SERVICIOS_SIP"/>
    <s v="NEO1"/>
    <n v="0"/>
    <n v="0"/>
    <s v="CAMPAÑA"/>
    <n v="150"/>
    <s v="8872 - Pasetti, Gisela Lorena"/>
    <n v="27"/>
    <s v="ANSWER"/>
    <s v="AGENT"/>
    <d v="2026-05-04T17:53:52"/>
    <d v="2026-05-04T17:53:52"/>
    <d v="2026-05-04T18:07:09"/>
    <s v="01152741410"/>
    <s v="1160047038"/>
    <s v="ENTRANTE"/>
    <s v="FULL"/>
    <s v="1160047038-149056266-20260504175352.mp3"/>
    <s v=""/>
    <s v="NAC-CEL"/>
    <s v="NACIONAL"/>
    <s v="PAIS-CELULAR"/>
    <n v="0"/>
    <n v="0"/>
    <n v="0"/>
    <n v="0"/>
    <s v="BL"/>
    <n v="3"/>
    <n v="797"/>
    <s v="NotSet"/>
    <n v="37"/>
    <n v="202"/>
    <n v="2486227"/>
    <s v=""/>
    <s v="|0||SIP/SERVICIOS_SIP-000067e6|1777928065.26622|16:Normal Clearing|16:PBX|12|SIP/GQ105-000067f8|-1|NotSet|"/>
    <s v=""/>
  </r>
  <r>
    <x v="0"/>
    <n v="1132713706"/>
    <x v="0"/>
    <x v="0"/>
    <x v="0"/>
    <x v="0"/>
    <x v="1"/>
    <x v="4"/>
    <s v="No"/>
    <n v="20260504"/>
    <n v="149055190"/>
    <s v="SERVICIOS_SIP"/>
    <s v="NEO1"/>
    <n v="0"/>
    <n v="0"/>
    <s v="CAMPAÑA"/>
    <n v="150"/>
    <s v="8814 - Nievas, Jimena "/>
    <n v="27"/>
    <s v="ANSWER"/>
    <s v="AGENT"/>
    <d v="2026-05-04T16:59:16"/>
    <d v="2026-05-04T16:59:16"/>
    <d v="2026-05-04T17:07:05"/>
    <s v="01152741410"/>
    <s v="1132713706"/>
    <s v="ENTRANTE"/>
    <s v="FULL"/>
    <s v="1132713706-149055190-20260504165915.mp3"/>
    <s v=""/>
    <s v="NAC-CEL"/>
    <s v="NACIONAL"/>
    <s v="PAIS-CELULAR"/>
    <n v="0"/>
    <n v="0"/>
    <n v="0"/>
    <n v="0"/>
    <s v="BL"/>
    <n v="3"/>
    <n v="470"/>
    <s v="NotSet"/>
    <n v="37"/>
    <n v="199"/>
    <n v="2483055"/>
    <s v=""/>
    <s v="|0||SIP/SERVICIOS_SIP-00005fc4|1777924789.24538|16:Normal Clearing|17:Network|18||-1|NotSet|"/>
    <s v=""/>
  </r>
  <r>
    <x v="0"/>
    <n v="1140450044"/>
    <x v="0"/>
    <x v="0"/>
    <x v="0"/>
    <x v="0"/>
    <x v="1"/>
    <x v="4"/>
    <s v="No"/>
    <n v="20260504"/>
    <n v="149055078"/>
    <s v="SERVICIOS_SIP"/>
    <s v="NEO1"/>
    <n v="0"/>
    <n v="0"/>
    <s v="CAMPAÑA"/>
    <n v="150"/>
    <s v="8872 - Pasetti, Gisela Lorena"/>
    <n v="27"/>
    <s v="ANSWER"/>
    <s v="AGENT"/>
    <d v="2026-05-04T16:56:02"/>
    <d v="2026-05-04T16:56:02"/>
    <d v="2026-05-04T17:08:48"/>
    <s v="01152741410"/>
    <s v="1140450044"/>
    <s v="ENTRANTE"/>
    <s v="FULL"/>
    <s v="1140450044-149055078-20260504165601.mp3"/>
    <s v=""/>
    <s v="NAC-CEL"/>
    <s v="NACIONAL"/>
    <s v="PAIS-CELULAR"/>
    <n v="0"/>
    <n v="0"/>
    <n v="0"/>
    <n v="0"/>
    <s v="BL"/>
    <n v="3"/>
    <n v="766"/>
    <s v="NotSet"/>
    <n v="37"/>
    <n v="202"/>
    <n v="2487045"/>
    <s v=""/>
    <s v="|0||SIP/SERVICIOS_SIP-00005ef6|1777924595.24332|16:Normal Clearing|16:PBX|16||-1|NotSet|"/>
    <s v=""/>
  </r>
  <r>
    <x v="0"/>
    <n v="2983618493"/>
    <x v="0"/>
    <x v="0"/>
    <x v="0"/>
    <x v="0"/>
    <x v="1"/>
    <x v="4"/>
    <s v="No"/>
    <n v="20260504"/>
    <n v="149054197"/>
    <s v="SERVICIOS_SIP"/>
    <s v="NEO1"/>
    <n v="0"/>
    <n v="0"/>
    <s v="CAMPAÑA"/>
    <n v="150"/>
    <s v="8864 - González, Maitena"/>
    <n v="27"/>
    <s v="ANSWER"/>
    <s v="AGENT"/>
    <d v="2026-05-04T16:22:33"/>
    <d v="2026-05-04T16:22:33"/>
    <d v="2026-05-04T16:29:34"/>
    <s v="01152741410"/>
    <s v="2983618493"/>
    <s v="ENTRANTE"/>
    <s v="FULL"/>
    <s v="2983618493-149054197-20260504162232.mp3"/>
    <s v=""/>
    <s v="NAC-CEL"/>
    <s v="NACIONAL"/>
    <s v="PAIS-CELULAR"/>
    <n v="0"/>
    <n v="0"/>
    <n v="0"/>
    <n v="0"/>
    <s v="BL"/>
    <n v="3"/>
    <n v="421"/>
    <s v="NotSet"/>
    <n v="37"/>
    <n v="1"/>
    <n v="2487183"/>
    <s v=""/>
    <s v="|0||SIP/SERVICIOS_SIP-00005851|1777922586.22628|16:Normal Clearing|16:PBX|17|SIP/GQ114-00005864|-1|NotSet|"/>
    <s v=""/>
  </r>
  <r>
    <x v="0"/>
    <n v="2966784318"/>
    <x v="0"/>
    <x v="0"/>
    <x v="0"/>
    <x v="0"/>
    <x v="2"/>
    <x v="4"/>
    <s v="No"/>
    <n v="20260504"/>
    <n v="149053813"/>
    <s v="SERVICIOS_SIP"/>
    <s v="NEO1"/>
    <n v="0"/>
    <n v="0"/>
    <s v="CAMPAÑA"/>
    <n v="150"/>
    <s v="8984 - Cejas, Nahuel"/>
    <n v="0"/>
    <s v="ANSWER"/>
    <s v="AGENT"/>
    <d v="2026-05-04T16:04:31"/>
    <d v="2026-05-04T16:04:31"/>
    <d v="2026-05-04T16:17:18"/>
    <s v="01152741410"/>
    <s v="2966784318"/>
    <s v="ENTRANTE"/>
    <s v="FULL"/>
    <s v="2966784318-149053813-20260504160430.mp3"/>
    <s v=""/>
    <s v="NAC-FIJO"/>
    <s v="SANTA CRUZ"/>
    <s v="RIO GALLEGOS"/>
    <n v="0"/>
    <n v="0"/>
    <n v="0"/>
    <n v="0"/>
    <s v="BL"/>
    <n v="3"/>
    <n v="768"/>
    <s v="NotSet"/>
    <n v="37"/>
    <n v="174"/>
    <n v="2238299"/>
    <s v=""/>
    <s v="|0||SIP/SERVICIOS_SIP-0000553d|1777921504.21839|16:Normal Clearing|17:Network|18||-1|NotSet|"/>
    <s v=""/>
  </r>
  <r>
    <x v="0"/>
    <n v="1136654608"/>
    <x v="0"/>
    <x v="0"/>
    <x v="0"/>
    <x v="0"/>
    <x v="1"/>
    <x v="5"/>
    <s v="No"/>
    <n v="20260504"/>
    <n v="149052887"/>
    <s v="SERVICIOS_SIP"/>
    <s v="NEO1"/>
    <n v="0"/>
    <n v="0"/>
    <s v="CAMPAÑA"/>
    <n v="150"/>
    <s v="8864 - González, Maitena"/>
    <n v="27"/>
    <s v="ANSWER"/>
    <s v="AGENT"/>
    <d v="2026-05-04T15:07:53"/>
    <d v="2026-05-04T15:07:53"/>
    <d v="2026-05-04T15:13:57"/>
    <s v="01152741410"/>
    <s v="1136654608"/>
    <s v="ENTRANTE"/>
    <s v="FULL"/>
    <s v="1136654608-149052887-20260504150752.mp3"/>
    <s v=""/>
    <s v="NAC-CEL"/>
    <s v="NACIONAL"/>
    <s v="PAIS-CELULAR"/>
    <n v="0"/>
    <n v="0"/>
    <n v="0"/>
    <n v="0"/>
    <s v="BL"/>
    <n v="3"/>
    <n v="364"/>
    <s v="NotSet"/>
    <n v="37"/>
    <n v="202"/>
    <n v="2486961"/>
    <s v=""/>
    <s v="|0||SIP/SERVICIOS_SIP-00004e24|1777918106.20019|16:Normal Clearing|16:PBX|2|SIP/GQ114-00004e2e|-1|NotSet|"/>
    <s v=""/>
  </r>
  <r>
    <x v="0"/>
    <n v="1161919900"/>
    <x v="0"/>
    <x v="0"/>
    <x v="0"/>
    <x v="0"/>
    <x v="0"/>
    <x v="6"/>
    <s v="No"/>
    <n v="20260504"/>
    <n v="149052569"/>
    <s v="SERVICIOS_SIP"/>
    <s v="NEO1"/>
    <n v="0"/>
    <n v="0"/>
    <s v="CAMPAÑA"/>
    <n v="150"/>
    <s v="8861 - Caceres, Martina"/>
    <n v="26"/>
    <s v="ANSWER"/>
    <s v="AGENT"/>
    <d v="2026-05-04T14:51:01"/>
    <d v="2026-05-04T14:51:01"/>
    <d v="2026-05-04T14:56:10"/>
    <s v="01152741410"/>
    <s v="1161919900"/>
    <s v="ENTRANTE"/>
    <s v="FULL"/>
    <s v="1161919900-149052569-20260504145100.mp3"/>
    <s v=""/>
    <s v="NAC-CEL"/>
    <s v="NACIONAL"/>
    <s v="PAIS-CELULAR"/>
    <n v="0"/>
    <n v="0"/>
    <n v="0"/>
    <n v="0"/>
    <s v="BL"/>
    <n v="3"/>
    <n v="310"/>
    <s v="NotSet"/>
    <n v="37"/>
    <n v="202"/>
    <n v="2486995"/>
    <s v=""/>
    <s v="|0||SIP/SERVICIOS_SIP-00004bd2|1777917094.19425|16:Normal Clearing|17:Network|11||-1|NotSet|"/>
    <s v=""/>
  </r>
  <r>
    <x v="0"/>
    <n v="2342454761"/>
    <x v="0"/>
    <x v="0"/>
    <x v="0"/>
    <x v="0"/>
    <x v="0"/>
    <x v="6"/>
    <s v="No"/>
    <n v="20260504"/>
    <n v="149052474"/>
    <s v="SERVICIOS_SIP"/>
    <s v="NEO1"/>
    <n v="0"/>
    <n v="0"/>
    <s v="CAMPAÑA"/>
    <n v="150"/>
    <s v="8787 - Lescano, Eugenia"/>
    <n v="26"/>
    <s v="ANSWER"/>
    <s v="AGENT"/>
    <d v="2026-05-04T14:48:05"/>
    <d v="2026-05-04T14:48:05"/>
    <d v="2026-05-04T14:50:06"/>
    <s v="01152741410"/>
    <s v="2342454761"/>
    <s v="ENTRANTE"/>
    <s v="FULL"/>
    <s v="2342454761-149052474-20260504144805.mp3"/>
    <s v=""/>
    <s v="NAC-CEL"/>
    <s v="NACIONAL"/>
    <s v="PAIS-CELULAR"/>
    <n v="0"/>
    <n v="0"/>
    <n v="0"/>
    <n v="0"/>
    <s v="BL"/>
    <n v="3"/>
    <n v="121"/>
    <s v="NotSet"/>
    <n v="37"/>
    <n v="197"/>
    <n v="2446156"/>
    <s v=""/>
    <s v="|0||SIP/SERVICIOS_SIP-00004b24|1777916918.19251|16:Normal Clearing|17:Network|1||-1|NotSet|"/>
    <s v=""/>
  </r>
  <r>
    <x v="0"/>
    <n v="3624160621"/>
    <x v="0"/>
    <x v="0"/>
    <x v="0"/>
    <x v="0"/>
    <x v="0"/>
    <x v="6"/>
    <s v="No"/>
    <n v="20260504"/>
    <n v="149052180"/>
    <s v="SERVICIOS_SIP"/>
    <s v="NEO1"/>
    <n v="0"/>
    <n v="0"/>
    <s v="CAMPAÑA"/>
    <n v="150"/>
    <s v="8861 - Caceres, Martina"/>
    <n v="26"/>
    <s v="ANSWER"/>
    <s v="AGENT"/>
    <d v="2026-05-04T14:39:53"/>
    <d v="2026-05-04T14:39:53"/>
    <d v="2026-05-04T14:45:21"/>
    <s v="01152741410"/>
    <s v="3624160621"/>
    <s v="ENTRANTE"/>
    <s v="FULL"/>
    <s v="3624160621-149052180-20260504143953.mp3"/>
    <s v=""/>
    <s v="NAC-FIJO"/>
    <s v="CHACO"/>
    <s v="RESISTENCIA"/>
    <n v="0"/>
    <n v="0"/>
    <n v="0"/>
    <n v="0"/>
    <s v="BL"/>
    <n v="3"/>
    <n v="328"/>
    <s v="NotSet"/>
    <n v="37"/>
    <n v="201"/>
    <n v="2487042"/>
    <s v=""/>
    <s v="|0||SIP/SERVICIOS_SIP-00004924|1777916426.18739|16:Normal Clearing|16:PBX|19|SIP/GQ106-00004943|-1|NotSet|"/>
    <s v=""/>
  </r>
  <r>
    <x v="0"/>
    <n v="1137921432"/>
    <x v="0"/>
    <x v="0"/>
    <x v="0"/>
    <x v="0"/>
    <x v="0"/>
    <x v="6"/>
    <s v="No"/>
    <n v="20260504"/>
    <n v="149051584"/>
    <s v="SERVICIOS_SIP"/>
    <s v="NEO1"/>
    <n v="0"/>
    <n v="0"/>
    <s v="CAMPAÑA"/>
    <n v="150"/>
    <s v="8861 - Caceres, Martina"/>
    <n v="26"/>
    <s v="ANSWER"/>
    <s v="AGENT"/>
    <d v="2026-05-04T14:24:57"/>
    <d v="2026-05-04T14:24:57"/>
    <d v="2026-05-04T14:25:31"/>
    <s v="01152741410"/>
    <s v="1137921432"/>
    <s v="ENTRANTE"/>
    <s v="FULL"/>
    <s v="1137921432-149051584-20260504142456.mp3"/>
    <s v=""/>
    <s v="NAC-CEL"/>
    <s v="NACIONAL"/>
    <s v="PAIS-CELULAR"/>
    <n v="0"/>
    <n v="0"/>
    <n v="0"/>
    <n v="0"/>
    <s v="BL"/>
    <n v="3"/>
    <n v="35"/>
    <s v="NotSet"/>
    <n v="37"/>
    <n v="0"/>
    <n v="0"/>
    <s v=""/>
    <s v="|0||SIP/SERVICIOS_SIP-0000453c|1777915530.17738|16:Normal Clearing|17:Network|7||-1|NotSet|"/>
    <s v=""/>
  </r>
  <r>
    <x v="0"/>
    <n v="1124923025"/>
    <x v="0"/>
    <x v="0"/>
    <x v="0"/>
    <x v="0"/>
    <x v="0"/>
    <x v="7"/>
    <s v="No"/>
    <n v="20260504"/>
    <n v="149050522"/>
    <s v="SERVICIOS_SIP"/>
    <s v="NEO1"/>
    <n v="0"/>
    <n v="0"/>
    <s v="CAMPAÑA"/>
    <n v="150"/>
    <s v="8160 - QUEVEDO, JOAHANA"/>
    <n v="26"/>
    <s v="ANSWER"/>
    <s v="AGENT"/>
    <d v="2026-05-04T13:37:43"/>
    <d v="2026-05-04T13:37:43"/>
    <d v="2026-05-04T13:54:26"/>
    <s v="01152741410"/>
    <s v="1124923025"/>
    <s v="ENTRANTE"/>
    <s v="FULL"/>
    <s v="1124923025-149050522-20260504133742.mp3"/>
    <s v=""/>
    <s v="LOC-FIJO"/>
    <s v="LOCAL-FIJO"/>
    <s v="LOCAL-FIJO"/>
    <n v="0"/>
    <n v="0"/>
    <n v="0"/>
    <n v="0"/>
    <s v="BL"/>
    <n v="3"/>
    <n v="1004"/>
    <s v="NotSet"/>
    <n v="37"/>
    <n v="201"/>
    <n v="2485184"/>
    <s v=""/>
    <s v="|0||SIP/SERVICIOS_SIP-00003d5d|1777912696.15722|16:Normal Clearing|17:Network|23||-1|NotSet|"/>
    <s v=""/>
  </r>
  <r>
    <x v="0"/>
    <n v="3435189255"/>
    <x v="0"/>
    <x v="0"/>
    <x v="0"/>
    <x v="0"/>
    <x v="0"/>
    <x v="8"/>
    <s v="No"/>
    <n v="20260504"/>
    <n v="149048732"/>
    <s v="SERVICIOS_SIP"/>
    <s v="NEO1"/>
    <n v="0"/>
    <n v="0"/>
    <s v="CAMPAÑA"/>
    <n v="150"/>
    <s v="8927 - Lizarrondo, Candela"/>
    <n v="26"/>
    <s v="ANSWER"/>
    <s v="AGENT"/>
    <d v="2026-05-04T12:30:19"/>
    <d v="2026-05-04T12:30:19"/>
    <d v="2026-05-04T12:36:44"/>
    <s v="01152741410"/>
    <s v="3435189255"/>
    <s v="ENTRANTE"/>
    <s v="FULL"/>
    <s v="3435189255-149048732-20260504123019.mp3"/>
    <s v=""/>
    <s v="NAC-FIJO"/>
    <s v="ENTRE RIOS"/>
    <s v="NOGOYA"/>
    <n v="0"/>
    <n v="0"/>
    <n v="0"/>
    <n v="0"/>
    <s v="BL"/>
    <n v="3"/>
    <n v="385"/>
    <s v="NotSet"/>
    <n v="37"/>
    <n v="1"/>
    <n v="2486831"/>
    <s v=""/>
    <s v="|0||SIP/SERVICIOS_SIP-00003010|1777908653.12317|16:Normal Clearing|17:Network|17||-1|NotSet|"/>
    <s v=""/>
  </r>
  <r>
    <x v="0"/>
    <n v="1160327348"/>
    <x v="0"/>
    <x v="0"/>
    <x v="0"/>
    <x v="0"/>
    <x v="0"/>
    <x v="8"/>
    <s v="No"/>
    <n v="20260504"/>
    <n v="149048553"/>
    <s v="SERVICIOS_SIP"/>
    <s v="NEO1"/>
    <n v="0"/>
    <n v="0"/>
    <s v="CAMPAÑA"/>
    <n v="150"/>
    <s v="8160 - QUEVEDO, JOAHANA"/>
    <n v="26"/>
    <s v="ANSWER"/>
    <s v="AGENT"/>
    <d v="2026-05-04T12:23:55"/>
    <d v="2026-05-04T12:23:55"/>
    <d v="2026-05-04T12:32:32"/>
    <s v="01152741410"/>
    <s v="1160327348"/>
    <s v="ENTRANTE"/>
    <s v="FULL"/>
    <s v="1160327348-149048553-20260504122354.mp3"/>
    <s v=""/>
    <s v="NAC-CEL"/>
    <s v="NACIONAL"/>
    <s v="PAIS-CELULAR"/>
    <n v="0"/>
    <n v="0"/>
    <n v="0"/>
    <n v="0"/>
    <s v="BL"/>
    <n v="3"/>
    <n v="517"/>
    <s v="NotSet"/>
    <n v="37"/>
    <n v="160"/>
    <n v="1805419"/>
    <s v=""/>
    <s v="|0||SIP/SERVICIOS_SIP-00002ec8|1777908268.11989|16:Normal Clearing|17:Network|20||-1|NotSet|"/>
    <s v=""/>
  </r>
  <r>
    <x v="0"/>
    <n v="2945599972"/>
    <x v="0"/>
    <x v="0"/>
    <x v="0"/>
    <x v="0"/>
    <x v="0"/>
    <x v="9"/>
    <s v="No"/>
    <n v="20260504"/>
    <n v="149047725"/>
    <s v="SERVICIOS_SIP"/>
    <s v="NEO1"/>
    <n v="0"/>
    <n v="0"/>
    <s v="CAMPAÑA"/>
    <n v="150"/>
    <s v="8861 - Caceres, Martina"/>
    <n v="26"/>
    <s v="ANSWER"/>
    <s v="AGENT"/>
    <d v="2026-05-04T11:55:54"/>
    <d v="2026-05-04T11:55:55"/>
    <d v="2026-05-04T12:07:59"/>
    <s v="01152741410"/>
    <s v="2945599972"/>
    <s v="ENTRANTE"/>
    <s v="FULL"/>
    <s v="2945599972-149047725-20260504115554.mp3"/>
    <s v=""/>
    <s v="NAC-FIJO"/>
    <s v="CHUBUT"/>
    <s v="ESQUEL"/>
    <n v="0"/>
    <n v="0"/>
    <n v="0"/>
    <n v="0"/>
    <s v="BL"/>
    <n v="3"/>
    <n v="725"/>
    <s v="NotSet"/>
    <n v="37"/>
    <n v="1"/>
    <n v="2486790"/>
    <s v=""/>
    <s v="|0||SIP/SERVICIOS_SIP-000028b5|1777906588.10433|16:Normal Clearing|16:PBX|24||-1|NotSet|"/>
    <s v=""/>
  </r>
  <r>
    <x v="0"/>
    <n v="1166798721"/>
    <x v="0"/>
    <x v="0"/>
    <x v="0"/>
    <x v="0"/>
    <x v="0"/>
    <x v="9"/>
    <s v="No"/>
    <n v="20260504"/>
    <n v="149047443"/>
    <s v="SERVICIOS_SIP"/>
    <s v="NEO1"/>
    <n v="0"/>
    <n v="0"/>
    <s v="CAMPAÑA"/>
    <n v="150"/>
    <s v="8160 - QUEVEDO, JOAHANA"/>
    <n v="26"/>
    <s v="ANSWER"/>
    <s v="AGENT"/>
    <d v="2026-05-04T11:46:40"/>
    <d v="2026-05-04T11:46:40"/>
    <d v="2026-05-04T11:54:04"/>
    <s v="01152741410"/>
    <s v="1166798721"/>
    <s v="ENTRANTE"/>
    <s v="FULL"/>
    <s v="1166798721-149047443-20260504114640.mp3"/>
    <s v=""/>
    <s v="NAC-CEL"/>
    <s v="NACIONAL"/>
    <s v="PAIS-CELULAR"/>
    <n v="0"/>
    <n v="0"/>
    <n v="0"/>
    <n v="0"/>
    <s v="BL"/>
    <n v="3"/>
    <n v="445"/>
    <s v="NotSet"/>
    <n v="37"/>
    <n v="199"/>
    <n v="2476878"/>
    <s v=""/>
    <s v="|0||SIP/SERVICIOS_SIP-000026aa|1777906034.9910|16:Normal Clearing|17:Network|19||-1|NotSet|"/>
    <s v=""/>
  </r>
  <r>
    <x v="0"/>
    <n v="1159432774"/>
    <x v="0"/>
    <x v="0"/>
    <x v="0"/>
    <x v="0"/>
    <x v="0"/>
    <x v="9"/>
    <s v="No"/>
    <n v="20260504"/>
    <n v="149046617"/>
    <s v="SERVICIOS_SIP"/>
    <s v="NEO1"/>
    <n v="0"/>
    <n v="0"/>
    <s v="CAMPAÑA"/>
    <n v="150"/>
    <s v="8861 - Caceres, Martina"/>
    <n v="26"/>
    <s v="ANSWER"/>
    <s v="AGENT"/>
    <d v="2026-05-04T11:15:03"/>
    <d v="2026-05-04T11:15:03"/>
    <d v="2026-05-04T11:27:29"/>
    <s v="01152741410"/>
    <s v="1159432774"/>
    <s v="ENTRANTE"/>
    <s v="FULL"/>
    <s v="1159432774-149046617-20260504111502.mp3"/>
    <s v=""/>
    <s v="NAC-CEL"/>
    <s v="NACIONAL"/>
    <s v="PAIS-CELULAR"/>
    <n v="0"/>
    <n v="0"/>
    <n v="0"/>
    <n v="0"/>
    <s v="BL"/>
    <n v="3"/>
    <n v="746"/>
    <s v="NotSet"/>
    <n v="37"/>
    <n v="1"/>
    <n v="2483262"/>
    <s v="Apr 30 2026  1:12PM"/>
    <s v="|0||SIP/SERVICIOS_SIP-00002087|1777904136.8339|16:Normal Clearing|16:PBX|20|SIP/GQ106-00002096|-1|NotSet|"/>
    <s v=""/>
  </r>
  <r>
    <x v="0"/>
    <n v="3884459927"/>
    <x v="0"/>
    <x v="0"/>
    <x v="0"/>
    <x v="0"/>
    <x v="0"/>
    <x v="9"/>
    <s v="No"/>
    <n v="20260504"/>
    <n v="149046493"/>
    <s v="SERVICIOS_SIP"/>
    <s v="NEO1"/>
    <n v="0"/>
    <n v="0"/>
    <s v="CAMPAÑA"/>
    <n v="150"/>
    <s v="8861 - Caceres, Martina"/>
    <n v="26"/>
    <s v="ANSWER"/>
    <s v="AGENT"/>
    <d v="2026-05-04T11:05:45"/>
    <d v="2026-05-04T11:05:45"/>
    <d v="2026-05-04T11:15:03"/>
    <s v="01152741410"/>
    <s v="3884459927"/>
    <s v="ENTRANTE"/>
    <s v="FULL"/>
    <s v="3884459927-149046493-20260504110544.mp3"/>
    <s v=""/>
    <s v="NAC-FIJO"/>
    <s v="JUJUY"/>
    <s v="SAN PEDRO (PROV. JUJUY)"/>
    <n v="0"/>
    <n v="0"/>
    <n v="0"/>
    <n v="0"/>
    <s v="BL"/>
    <n v="3"/>
    <n v="558"/>
    <s v="NotSet"/>
    <n v="37"/>
    <n v="1"/>
    <n v="2357572"/>
    <s v="Feb 11 2026 10:06AM"/>
    <s v="|0||SIP/SERVICIOS_SIP-00001f83|1777903578.8079|16:Normal Clearing|16:PBX|20|SIP/GQ106-00001f87|-1|NotSet|"/>
    <s v=""/>
  </r>
  <r>
    <x v="0"/>
    <n v="3517333437"/>
    <x v="0"/>
    <x v="0"/>
    <x v="0"/>
    <x v="0"/>
    <x v="0"/>
    <x v="10"/>
    <s v="No"/>
    <n v="20260504"/>
    <n v="149046381"/>
    <s v="SERVICIOS_SIP"/>
    <s v="NEO1"/>
    <n v="0"/>
    <n v="0"/>
    <s v="CAMPAÑA"/>
    <n v="150"/>
    <s v="8160 - QUEVEDO, JOAHANA"/>
    <n v="26"/>
    <s v="ANSWER"/>
    <s v="AGENT"/>
    <d v="2026-05-04T10:59:47"/>
    <d v="2026-05-04T10:59:47"/>
    <d v="2026-05-04T11:07:49"/>
    <s v="01152741410"/>
    <s v="3517333437"/>
    <s v="ENTRANTE"/>
    <s v="FULL"/>
    <s v="3517333437-149046381-20260504105946.mp3"/>
    <s v=""/>
    <s v="NAC-FIJO"/>
    <s v="CORDOBA"/>
    <s v="CORDOBA"/>
    <n v="0"/>
    <n v="0"/>
    <n v="0"/>
    <n v="0"/>
    <s v="BL"/>
    <n v="3"/>
    <n v="483"/>
    <s v="NotSet"/>
    <n v="37"/>
    <n v="201"/>
    <n v="2486231"/>
    <s v=""/>
    <s v="|0||SIP/SERVICIOS_SIP-00001e98|1777903220.7843|16:Normal Clearing|17:Network|2||-1|NotSet|"/>
    <s v=""/>
  </r>
  <r>
    <x v="0"/>
    <n v="1159035439"/>
    <x v="0"/>
    <x v="0"/>
    <x v="0"/>
    <x v="0"/>
    <x v="3"/>
    <x v="10"/>
    <s v="No"/>
    <n v="20260504"/>
    <n v="149046332"/>
    <s v="SERVICIOS_SIP"/>
    <s v="NEO1"/>
    <n v="0"/>
    <n v="0"/>
    <s v="CAMPAÑA"/>
    <n v="150"/>
    <s v="8160 - QUEVEDO, JOAHANA"/>
    <n v="5"/>
    <s v="ANSWER"/>
    <s v="AGENT"/>
    <d v="2026-05-04T10:56:53"/>
    <d v="2026-05-04T10:56:53"/>
    <d v="2026-05-04T10:58:04"/>
    <s v="01152741410"/>
    <s v="1159035439"/>
    <s v="ENTRANTE"/>
    <s v="FULL"/>
    <s v="1159035439-149046332-20260504105652.mp3"/>
    <s v=""/>
    <s v="NAC-CEL"/>
    <s v="NACIONAL"/>
    <s v="PAIS-CELULAR"/>
    <n v="0"/>
    <n v="0"/>
    <n v="0"/>
    <n v="0"/>
    <s v="BL"/>
    <n v="3"/>
    <n v="71"/>
    <s v="NotSet"/>
    <n v="37"/>
    <n v="0"/>
    <n v="0"/>
    <s v=""/>
    <s v="|0||SIP/SERVICIOS_SIP-00001e2a|1777903046.7733|16:Normal Clearing|17:Network|21||-1|NotSet|"/>
    <s v=""/>
  </r>
  <r>
    <x v="0"/>
    <n v="3482535547"/>
    <x v="0"/>
    <x v="0"/>
    <x v="0"/>
    <x v="0"/>
    <x v="0"/>
    <x v="10"/>
    <s v="No"/>
    <n v="20260504"/>
    <n v="149046181"/>
    <s v="SERVICIOS_SIP"/>
    <s v="NEO1"/>
    <n v="0"/>
    <n v="0"/>
    <s v="CAMPAÑA"/>
    <n v="150"/>
    <s v="8861 - Caceres, Martina"/>
    <n v="26"/>
    <s v="ANSWER"/>
    <s v="AGENT"/>
    <d v="2026-05-04T10:51:48"/>
    <d v="2026-05-04T10:51:48"/>
    <d v="2026-05-04T11:00:58"/>
    <s v="01152741410"/>
    <s v="3482535547"/>
    <s v="ENTRANTE"/>
    <s v="FULL"/>
    <s v="3482535547-149046181-20260504105148.mp3"/>
    <s v=""/>
    <s v="NAC-CEL"/>
    <s v="NACIONAL"/>
    <s v="PAIS-CELULAR"/>
    <n v="0"/>
    <n v="0"/>
    <n v="0"/>
    <n v="0"/>
    <s v="BL"/>
    <n v="3"/>
    <n v="550"/>
    <s v="NotSet"/>
    <n v="37"/>
    <n v="201"/>
    <n v="2484927"/>
    <s v=""/>
    <s v="|0||SIP/SERVICIOS_SIP-00001d0a|1777902742.7444|16:Normal Clearing|16:PBX|7|SIP/GQ106-00001d19|-1|NotSet|"/>
    <s v=""/>
  </r>
  <r>
    <x v="0"/>
    <n v="1170583210"/>
    <x v="0"/>
    <x v="0"/>
    <x v="0"/>
    <x v="0"/>
    <x v="0"/>
    <x v="10"/>
    <s v="No"/>
    <n v="20260504"/>
    <n v="149045897"/>
    <s v="SERVICIOS_SIP"/>
    <s v="NEO1"/>
    <n v="0"/>
    <n v="0"/>
    <s v="CAMPAÑA"/>
    <n v="150"/>
    <s v="8160 - QUEVEDO, JOAHANA"/>
    <n v="26"/>
    <s v="ANSWER"/>
    <s v="AGENT"/>
    <d v="2026-05-04T10:30:20"/>
    <d v="2026-05-04T10:30:20"/>
    <d v="2026-05-04T10:48:04"/>
    <s v="01152741410"/>
    <s v="1170583210"/>
    <s v="ENTRANTE"/>
    <s v="FULL"/>
    <s v="1170583210-149045897-20260504103020.mp3"/>
    <s v=""/>
    <s v="LOC-FIJO"/>
    <s v="LOCAL-FIJO"/>
    <s v="LOCAL-FIJO"/>
    <n v="0"/>
    <n v="0"/>
    <n v="0"/>
    <n v="0"/>
    <s v="BL"/>
    <n v="3"/>
    <n v="1064"/>
    <s v="NotSet"/>
    <n v="37"/>
    <n v="201"/>
    <n v="2486615"/>
    <s v=""/>
    <s v="|0||SIP/SERVICIOS_SIP-00001aca|1777901454.6868|16:Normal Clearing|17:Network|6||-1|NotSet|"/>
    <s v=""/>
  </r>
  <r>
    <x v="0"/>
    <n v="1132570770"/>
    <x v="0"/>
    <x v="0"/>
    <x v="0"/>
    <x v="0"/>
    <x v="3"/>
    <x v="10"/>
    <s v="No"/>
    <n v="20260504"/>
    <n v="149045894"/>
    <s v="SERVICIOS_SIP"/>
    <s v="NEO1"/>
    <n v="0"/>
    <n v="0"/>
    <s v="CAMPAÑA"/>
    <n v="150"/>
    <s v="8647 - Molina, Rocio"/>
    <n v="5"/>
    <s v="ANSWER"/>
    <s v="AGENT"/>
    <d v="2026-05-04T10:30:06"/>
    <d v="2026-05-04T10:30:06"/>
    <d v="2026-05-04T10:35:15"/>
    <s v="01152741410"/>
    <s v="1132570770"/>
    <s v="ENTRANTE"/>
    <s v="FULL"/>
    <s v="1132570770-149045894-20260504103006.mp3"/>
    <s v=""/>
    <s v="NAC-CEL"/>
    <s v="NACIONAL"/>
    <s v="PAIS-CELULAR"/>
    <n v="0"/>
    <n v="0"/>
    <n v="0"/>
    <n v="0"/>
    <s v="BL"/>
    <n v="3"/>
    <n v="309"/>
    <s v="NotSet"/>
    <n v="37"/>
    <n v="114"/>
    <n v="788021"/>
    <s v=""/>
    <s v="|0||SIP/SERVICIOS_SIP-00001ac4|1777901440.6862|16:Normal Clearing|16:PBX|13|SIP/Z8647-00001ad1|-1|NotSet|"/>
    <s v=""/>
  </r>
  <r>
    <x v="0"/>
    <n v="1136289001"/>
    <x v="0"/>
    <x v="0"/>
    <x v="0"/>
    <x v="0"/>
    <x v="0"/>
    <x v="0"/>
    <s v="No"/>
    <n v="20260504"/>
    <n v="149044898"/>
    <s v="SERVICIOS_SIP"/>
    <s v="NEO1"/>
    <n v="0"/>
    <n v="0"/>
    <s v="CAMPAÑA"/>
    <n v="150"/>
    <s v="8861 - Caceres, Martina"/>
    <n v="26"/>
    <s v="ANSWER"/>
    <s v="AGENT"/>
    <d v="2026-05-04T09:53:52"/>
    <d v="2026-05-04T09:53:52"/>
    <d v="2026-05-04T10:01:46"/>
    <s v="01152741410"/>
    <s v="1136289001"/>
    <s v="ENTRANTE"/>
    <s v="FULL"/>
    <s v="1136289001-149044898-20260504095352.mp3"/>
    <s v=""/>
    <s v="NAC-CEL"/>
    <s v="NACIONAL"/>
    <s v="PAIS-CELULAR"/>
    <n v="0"/>
    <n v="0"/>
    <n v="0"/>
    <n v="0"/>
    <s v="BL"/>
    <n v="3"/>
    <n v="474"/>
    <s v="NotSet"/>
    <n v="37"/>
    <n v="1"/>
    <n v="2486560"/>
    <s v=""/>
    <s v="|0||SIP/SERVICIOS_SIP-0000137f|1777899266.5000|16:Normal Clearing|16:PBX|4||-1|NotSet|"/>
    <s v=""/>
  </r>
  <r>
    <x v="1"/>
    <n v="1177141445"/>
    <x v="0"/>
    <x v="0"/>
    <x v="0"/>
    <x v="0"/>
    <x v="1"/>
    <x v="11"/>
    <s v="No"/>
    <n v="20260505"/>
    <n v="149079802"/>
    <s v="SERVICIOS_SIP"/>
    <s v="NEO1"/>
    <n v="0"/>
    <n v="0"/>
    <s v="CAMPAÑA"/>
    <n v="150"/>
    <s v="8864 - González, Maitena"/>
    <n v="27"/>
    <s v="ANSWER"/>
    <s v="AGENT"/>
    <d v="2026-05-05T20:26:13"/>
    <d v="2026-05-05T20:26:13"/>
    <d v="2026-05-05T20:33:03"/>
    <s v="01152741410"/>
    <s v="1177141445"/>
    <s v="ENTRANTE"/>
    <s v="FULL"/>
    <s v="1177141445-149079802-20260505202612.mp3"/>
    <s v=""/>
    <s v="LOC-FIJO"/>
    <s v="LOCAL-FIJO"/>
    <s v="LOCAL-FIJO"/>
    <n v="0"/>
    <n v="0"/>
    <n v="0"/>
    <n v="0"/>
    <s v="BL"/>
    <n v="3"/>
    <n v="411"/>
    <s v="NotSet"/>
    <n v="37"/>
    <n v="1"/>
    <n v="2488819"/>
    <s v=""/>
    <s v="|0||SIP/SERVICIOS_SIP-0000906d|1778023608.36995|16:Normal Clearing|17:Network|17||-1|NotSet|"/>
    <s v=""/>
  </r>
  <r>
    <x v="1"/>
    <n v="1173661985"/>
    <x v="0"/>
    <x v="0"/>
    <x v="0"/>
    <x v="0"/>
    <x v="1"/>
    <x v="11"/>
    <s v="No"/>
    <n v="20260505"/>
    <n v="149079539"/>
    <s v="SERVICIOS_SIP"/>
    <s v="NEO1"/>
    <n v="0"/>
    <n v="0"/>
    <s v="CAMPAÑA"/>
    <n v="150"/>
    <s v="8872 - Pasetti, Gisela Lorena"/>
    <n v="27"/>
    <s v="ANSWER"/>
    <s v="AGENT"/>
    <d v="2026-05-05T20:13:44"/>
    <d v="2026-05-05T20:13:44"/>
    <d v="2026-05-05T20:15:48"/>
    <s v="01152741410"/>
    <s v="1173661985"/>
    <s v="ENTRANTE"/>
    <s v="FULL"/>
    <s v="1173661985-149079539-20260505201344.mp3"/>
    <s v=""/>
    <s v="LOC-FIJO"/>
    <s v="LOCAL-FIJO"/>
    <s v="LOCAL-FIJO"/>
    <n v="0"/>
    <n v="0"/>
    <n v="0"/>
    <n v="0"/>
    <s v="BL"/>
    <n v="3"/>
    <n v="124"/>
    <s v="NotSet"/>
    <n v="37"/>
    <n v="201"/>
    <n v="2488783"/>
    <s v=""/>
    <s v="|0||SIP/SERVICIOS_SIP-00008e24|1778022860.36410|16:Normal Clearing|17:Network|13||-1|NotSet|"/>
    <s v=""/>
  </r>
  <r>
    <x v="1"/>
    <n v="3456586938"/>
    <x v="0"/>
    <x v="0"/>
    <x v="0"/>
    <x v="0"/>
    <x v="1"/>
    <x v="2"/>
    <s v="No"/>
    <n v="20260505"/>
    <n v="149077294"/>
    <s v="SERVICIOS_SIP"/>
    <s v="NEO1"/>
    <n v="0"/>
    <n v="0"/>
    <s v="CAMPAÑA"/>
    <n v="150"/>
    <s v="8864 - González, Maitena"/>
    <n v="27"/>
    <s v="ANSWER"/>
    <s v="AGENT"/>
    <d v="2026-05-05T18:38:55"/>
    <d v="2026-05-05T18:38:55"/>
    <d v="2026-05-05T18:43:17"/>
    <s v="01152741410"/>
    <s v="3456586938"/>
    <s v="ENTRANTE"/>
    <s v="FULL"/>
    <s v="3456586938-149077294-20260505183855.mp3"/>
    <s v=""/>
    <s v="NAC-FIJO"/>
    <s v="ENTRE RIOS"/>
    <s v="CHAJARI"/>
    <n v="0"/>
    <n v="0"/>
    <n v="0"/>
    <n v="0"/>
    <s v="BL"/>
    <n v="3"/>
    <n v="262"/>
    <s v="NotSet"/>
    <n v="37"/>
    <n v="202"/>
    <n v="2488678"/>
    <s v=""/>
    <s v="|0||SIP/SERVICIOS_SIP-00007be0|1778017171.31733|16:Normal Clearing|17:Network|10||-1|NotSet|"/>
    <s v=""/>
  </r>
  <r>
    <x v="1"/>
    <n v="1126250956"/>
    <x v="0"/>
    <x v="0"/>
    <x v="0"/>
    <x v="0"/>
    <x v="1"/>
    <x v="2"/>
    <s v="No"/>
    <n v="20260505"/>
    <n v="149076787"/>
    <s v="SERVICIOS_SIP"/>
    <s v="NEO1"/>
    <n v="0"/>
    <n v="0"/>
    <s v="CAMPAÑA"/>
    <n v="150"/>
    <s v="8872 - Pasetti, Gisela Lorena"/>
    <n v="27"/>
    <s v="ANSWER"/>
    <s v="AGENT"/>
    <d v="2026-05-05T18:19:17"/>
    <d v="2026-05-05T18:19:17"/>
    <d v="2026-05-05T18:21:42"/>
    <s v="01152741410"/>
    <s v="1126250956"/>
    <s v="ENTRANTE"/>
    <s v="FULL"/>
    <s v="1126250956-149076787-20260505181917.mp3"/>
    <s v=""/>
    <s v="LOC-FIJO"/>
    <s v="LOCAL-FIJO"/>
    <s v="LOCAL-FIJO"/>
    <n v="0"/>
    <n v="0"/>
    <n v="0"/>
    <n v="0"/>
    <s v="BL"/>
    <n v="3"/>
    <n v="145"/>
    <s v="NotSet"/>
    <n v="37"/>
    <n v="199"/>
    <n v="2471734"/>
    <s v=""/>
    <s v="|0||SIP/SERVICIOS_SIP-00007824|1778015993.30777|16:Normal Clearing|16:PBX|7|SIP/Z8872-0000782f|-1|NotSet|"/>
    <s v=""/>
  </r>
  <r>
    <x v="1"/>
    <n v="1151041745"/>
    <x v="0"/>
    <x v="0"/>
    <x v="0"/>
    <x v="0"/>
    <x v="1"/>
    <x v="2"/>
    <s v="No"/>
    <n v="20260505"/>
    <n v="149076682"/>
    <s v="SERVICIOS_SIP"/>
    <s v="NEO1"/>
    <n v="0"/>
    <n v="0"/>
    <s v="CAMPAÑA"/>
    <n v="150"/>
    <s v="8864 - González, Maitena"/>
    <n v="27"/>
    <s v="ANSWER"/>
    <s v="AGENT"/>
    <d v="2026-05-05T18:14:08"/>
    <d v="2026-05-05T18:14:08"/>
    <d v="2026-05-05T18:24:03"/>
    <s v="01152741410"/>
    <s v="1151041745"/>
    <s v="ENTRANTE"/>
    <s v="FULL"/>
    <s v="1151041745-149076682-20260505181408.mp3"/>
    <s v=""/>
    <s v="NAC-CEL"/>
    <s v="NACIONAL"/>
    <s v="PAIS-CELULAR"/>
    <n v="0"/>
    <n v="0"/>
    <n v="0"/>
    <n v="0"/>
    <s v="BL"/>
    <n v="3"/>
    <n v="595"/>
    <s v="NotSet"/>
    <n v="37"/>
    <n v="1"/>
    <n v="2488660"/>
    <s v=""/>
    <s v="|0||SIP/SERVICIOS_SIP-00007755|1778015684.30570|16:Normal Clearing|16:PBX|6|SIP/GQ111-0000775e|-1|NotSet|"/>
    <s v=""/>
  </r>
  <r>
    <x v="1"/>
    <n v="2477343294"/>
    <x v="0"/>
    <x v="0"/>
    <x v="0"/>
    <x v="0"/>
    <x v="1"/>
    <x v="2"/>
    <s v="No"/>
    <n v="20260505"/>
    <n v="149076430"/>
    <s v="SERVICIOS_SIP"/>
    <s v="NEO1"/>
    <n v="0"/>
    <n v="0"/>
    <s v="CAMPAÑA"/>
    <n v="150"/>
    <s v="8864 - González, Maitena"/>
    <n v="27"/>
    <s v="ANSWER"/>
    <s v="AGENT"/>
    <d v="2026-05-05T18:03:24"/>
    <d v="2026-05-05T18:03:24"/>
    <d v="2026-05-05T18:03:54"/>
    <s v="01152741410"/>
    <s v="2477343294"/>
    <s v="ENTRANTE"/>
    <s v="FULL"/>
    <s v="2477343294-149076430-20260505180324.mp3"/>
    <s v=""/>
    <s v="NAC-CEL"/>
    <s v="NACIONAL"/>
    <s v="PAIS-CELULAR"/>
    <n v="0"/>
    <n v="0"/>
    <n v="0"/>
    <n v="0"/>
    <s v="BL"/>
    <n v="3"/>
    <n v="30"/>
    <s v="NotSet"/>
    <n v="37"/>
    <n v="1"/>
    <n v="1186133"/>
    <s v="Oct 25 2023 12:42PM"/>
    <s v="|0||SIP/SERVICIOS_SIP-0000757f|1778015040.30099|16:Normal Clearing|17:Network|0||-1|NotSet|"/>
    <s v=""/>
  </r>
  <r>
    <x v="1"/>
    <n v="2645892969"/>
    <x v="0"/>
    <x v="0"/>
    <x v="0"/>
    <x v="0"/>
    <x v="1"/>
    <x v="3"/>
    <s v="No"/>
    <n v="20260505"/>
    <n v="149075902"/>
    <s v="SERVICIOS_SIP"/>
    <s v="NEO1"/>
    <n v="0"/>
    <n v="0"/>
    <s v="CAMPAÑA"/>
    <n v="150"/>
    <s v="8864 - González, Maitena"/>
    <n v="27"/>
    <s v="ANSWER"/>
    <s v="AGENT"/>
    <d v="2026-05-05T17:37:11"/>
    <d v="2026-05-05T17:37:11"/>
    <d v="2026-05-05T17:44:13"/>
    <s v="01152741410"/>
    <s v="2645892969"/>
    <s v="ENTRANTE"/>
    <s v="FULL"/>
    <s v="2645892969-149075902-20260505173711.mp3"/>
    <s v=""/>
    <s v="NAC-FIJO"/>
    <s v="SAN JUAN"/>
    <s v="SAN JUAN"/>
    <n v="0"/>
    <n v="0"/>
    <n v="0"/>
    <n v="0"/>
    <s v="BL"/>
    <n v="3"/>
    <n v="422"/>
    <s v="NotSet"/>
    <n v="37"/>
    <n v="157"/>
    <n v="1661380"/>
    <s v=""/>
    <s v="|0||SIP/SERVICIOS_SIP-0000718c|1778013467.29088|16:Normal Clearing|16:PBX|11|SIP/GQ111-00007194|-1|NotSet|"/>
    <s v=""/>
  </r>
  <r>
    <x v="1"/>
    <n v="1150012996"/>
    <x v="0"/>
    <x v="0"/>
    <x v="0"/>
    <x v="0"/>
    <x v="1"/>
    <x v="3"/>
    <s v="No"/>
    <n v="20260505"/>
    <n v="149075644"/>
    <s v="SERVICIOS_SIP"/>
    <s v="NEO1"/>
    <n v="0"/>
    <n v="0"/>
    <s v="CAMPAÑA"/>
    <n v="150"/>
    <s v="8864 - González, Maitena"/>
    <n v="27"/>
    <s v="ANSWER"/>
    <s v="AGENT"/>
    <d v="2026-05-05T17:22:30"/>
    <d v="2026-05-05T17:22:30"/>
    <d v="2026-05-05T17:23:54"/>
    <s v="01152741410"/>
    <s v="1150012996"/>
    <s v="ENTRANTE"/>
    <s v="FULL"/>
    <s v="1150012996-149075644-20260505172230.mp3"/>
    <s v=""/>
    <s v="NAC-CEL"/>
    <s v="NACIONAL"/>
    <s v="PAIS-CELULAR"/>
    <n v="0"/>
    <n v="0"/>
    <n v="0"/>
    <n v="0"/>
    <s v="BL"/>
    <n v="3"/>
    <n v="85"/>
    <s v="NotSet"/>
    <n v="37"/>
    <n v="202"/>
    <n v="2488583"/>
    <s v=""/>
    <s v="|0||SIP/SERVICIOS_SIP-00006f57|1778012586.28523|16:Normal Clearing|17:Network|3||-1|NotSet|"/>
    <s v=""/>
  </r>
  <r>
    <x v="1"/>
    <n v="2314536428"/>
    <x v="0"/>
    <x v="0"/>
    <x v="0"/>
    <x v="0"/>
    <x v="1"/>
    <x v="4"/>
    <s v="No"/>
    <n v="20260505"/>
    <n v="149075039"/>
    <s v="SERVICIOS_SIP"/>
    <s v="NEO1"/>
    <n v="0"/>
    <n v="0"/>
    <s v="CAMPAÑA"/>
    <n v="150"/>
    <s v="8872 - Pasetti, Gisela Lorena"/>
    <n v="27"/>
    <s v="ANSWER"/>
    <s v="AGENT"/>
    <d v="2026-05-05T16:55:13"/>
    <d v="2026-05-05T16:55:13"/>
    <d v="2026-05-05T17:02:43"/>
    <s v="01152741410"/>
    <s v="2314536428"/>
    <s v="ENTRANTE"/>
    <s v="FULL"/>
    <s v="2314536428-149075039-20260505165512.mp3"/>
    <s v=""/>
    <s v="NAC-CEL"/>
    <s v="NACIONAL"/>
    <s v="PAIS-CELULAR"/>
    <n v="0"/>
    <n v="0"/>
    <n v="0"/>
    <n v="0"/>
    <s v="BL"/>
    <n v="3"/>
    <n v="451"/>
    <s v="NotSet"/>
    <n v="37"/>
    <n v="201"/>
    <n v="2487559"/>
    <s v=""/>
    <s v="|0||SIP/SERVICIOS_SIP-00006a79|1778010948.27277|16:Normal Clearing|17:Network|9||-1|NotSet|"/>
    <s v=""/>
  </r>
  <r>
    <x v="1"/>
    <n v="1168126088"/>
    <x v="0"/>
    <x v="0"/>
    <x v="0"/>
    <x v="0"/>
    <x v="1"/>
    <x v="4"/>
    <s v="No"/>
    <n v="20260505"/>
    <n v="149074952"/>
    <s v="SERVICIOS_SIP"/>
    <s v="NEO1"/>
    <n v="0"/>
    <n v="0"/>
    <s v="CAMPAÑA"/>
    <n v="150"/>
    <s v="8864 - González, Maitena"/>
    <n v="27"/>
    <s v="ANSWER"/>
    <s v="AGENT"/>
    <d v="2026-05-05T16:53:04"/>
    <d v="2026-05-05T16:53:04"/>
    <d v="2026-05-05T16:56:36"/>
    <s v="01152741410"/>
    <s v="1168126088"/>
    <s v="ENTRANTE"/>
    <s v="FULL"/>
    <s v="1168126088-149074952-20260505165304.mp3"/>
    <s v=""/>
    <s v="NAC-CEL"/>
    <s v="NACIONAL"/>
    <s v="PAIS-CELULAR"/>
    <n v="0"/>
    <n v="0"/>
    <n v="0"/>
    <n v="0"/>
    <s v="BL"/>
    <n v="3"/>
    <n v="212"/>
    <s v="NotSet"/>
    <n v="37"/>
    <n v="1"/>
    <n v="2488559"/>
    <s v=""/>
    <s v="|0||SIP/SERVICIOS_SIP-000069e3|1778010820.27127|16:Normal Clearing|17:Network|17||-1|NotSet|"/>
    <s v=""/>
  </r>
  <r>
    <x v="1"/>
    <n v="1122987042"/>
    <x v="0"/>
    <x v="0"/>
    <x v="0"/>
    <x v="0"/>
    <x v="1"/>
    <x v="4"/>
    <s v="No"/>
    <n v="20260505"/>
    <n v="149073607"/>
    <s v="SERVICIOS_SIP"/>
    <s v="NEO1"/>
    <n v="0"/>
    <n v="0"/>
    <s v="CAMPAÑA"/>
    <n v="150"/>
    <s v="8872 - Pasetti, Gisela Lorena"/>
    <n v="27"/>
    <s v="ANSWER"/>
    <s v="AGENT"/>
    <d v="2026-05-05T16:09:28"/>
    <d v="2026-05-05T16:09:28"/>
    <d v="2026-05-05T16:16:08"/>
    <s v="01152741410"/>
    <s v="1122987042"/>
    <s v="ENTRANTE"/>
    <s v="FULL"/>
    <s v="1122987042-149073607-20260505160928.mp3"/>
    <s v=""/>
    <s v="LOC-FIJO"/>
    <s v="LOCAL-FIJO"/>
    <s v="LOCAL-FIJO"/>
    <n v="0"/>
    <n v="0"/>
    <n v="0"/>
    <n v="0"/>
    <s v="BL"/>
    <n v="3"/>
    <n v="400"/>
    <s v="NotSet"/>
    <n v="37"/>
    <n v="201"/>
    <n v="2488496"/>
    <s v=""/>
    <s v="|0||SIP/SERVICIOS_SIP-000060bc|1778008204.24784|16:Normal Clearing|17:Network|0||-1|NotSet|"/>
    <s v=""/>
  </r>
  <r>
    <x v="1"/>
    <n v="1160472080"/>
    <x v="0"/>
    <x v="0"/>
    <x v="0"/>
    <x v="0"/>
    <x v="1"/>
    <x v="5"/>
    <s v="No"/>
    <n v="20260505"/>
    <n v="149073269"/>
    <s v="SERVICIOS_SIP"/>
    <s v="NEO1"/>
    <n v="0"/>
    <n v="0"/>
    <s v="CAMPAÑA"/>
    <n v="150"/>
    <s v="8814 - Nievas, Jimena "/>
    <n v="27"/>
    <s v="ANSWER"/>
    <s v="AGENT"/>
    <d v="2026-05-05T15:58:24"/>
    <d v="2026-05-05T15:58:24"/>
    <d v="2026-05-05T16:08:54"/>
    <s v="01152741410"/>
    <s v="1160472080"/>
    <s v="ENTRANTE"/>
    <s v="FULL"/>
    <s v="1160472080-149073269-20260505155824.mp3"/>
    <s v=""/>
    <s v="NAC-CEL"/>
    <s v="NACIONAL"/>
    <s v="PAIS-CELULAR"/>
    <n v="0"/>
    <n v="0"/>
    <n v="0"/>
    <n v="0"/>
    <s v="BL"/>
    <n v="3"/>
    <n v="630"/>
    <s v="NotSet"/>
    <n v="37"/>
    <n v="0"/>
    <n v="0"/>
    <s v=""/>
    <s v="|0||SIP/SERVICIOS_SIP-00005e5a|1778007540.24174|16:Normal Clearing|17:Network|7||-1|NotSet|"/>
    <s v=""/>
  </r>
  <r>
    <x v="1"/>
    <n v="1127972034"/>
    <x v="0"/>
    <x v="0"/>
    <x v="0"/>
    <x v="0"/>
    <x v="1"/>
    <x v="5"/>
    <s v="No"/>
    <n v="20260505"/>
    <n v="149072975"/>
    <s v="SERVICIOS_SIP"/>
    <s v="NEO1"/>
    <n v="0"/>
    <n v="0"/>
    <s v="CAMPAÑA"/>
    <n v="150"/>
    <s v="8872 - Pasetti, Gisela Lorena"/>
    <n v="27"/>
    <s v="ANSWER"/>
    <s v="AGENT"/>
    <d v="2026-05-05T15:48:32"/>
    <d v="2026-05-05T15:48:32"/>
    <d v="2026-05-05T15:58:36"/>
    <s v="01152741410"/>
    <s v="1127972034"/>
    <s v="ENTRANTE"/>
    <s v="FULL"/>
    <s v="1127972034-149072975-20260505154832.mp3"/>
    <s v=""/>
    <s v="LOC-FIJO"/>
    <s v="LOCAL-FIJO"/>
    <s v="LOCAL-FIJO"/>
    <n v="0"/>
    <n v="0"/>
    <n v="0"/>
    <n v="0"/>
    <s v="BL"/>
    <n v="3"/>
    <n v="604"/>
    <s v="NotSet"/>
    <n v="37"/>
    <n v="1"/>
    <n v="2488486"/>
    <s v=""/>
    <s v="|0||SIP/SERVICIOS_SIP-00005c55|1778006948.23657|16:Normal Clearing|17:Network|4||-1|NotSet|"/>
    <s v=""/>
  </r>
  <r>
    <x v="1"/>
    <n v="1159480846"/>
    <x v="0"/>
    <x v="0"/>
    <x v="0"/>
    <x v="0"/>
    <x v="1"/>
    <x v="5"/>
    <s v="No"/>
    <n v="20260505"/>
    <n v="149072618"/>
    <s v="SERVICIOS_SIP"/>
    <s v="NEO1"/>
    <n v="0"/>
    <n v="0"/>
    <s v="CAMPAÑA"/>
    <n v="150"/>
    <s v="8872 - Pasetti, Gisela Lorena"/>
    <n v="27"/>
    <s v="ANSWER"/>
    <s v="AGENT"/>
    <d v="2026-05-05T15:36:59"/>
    <d v="2026-05-05T15:36:59"/>
    <d v="2026-05-05T15:42:08"/>
    <s v="01152741410"/>
    <s v="1159480846"/>
    <s v="ENTRANTE"/>
    <s v="FULL"/>
    <s v="1159480846-149072618-20260505153658.mp3"/>
    <s v=""/>
    <s v="NAC-CEL"/>
    <s v="NACIONAL"/>
    <s v="PAIS-CELULAR"/>
    <n v="0"/>
    <n v="0"/>
    <n v="0"/>
    <n v="0"/>
    <s v="BL"/>
    <n v="3"/>
    <n v="310"/>
    <s v="NotSet"/>
    <n v="37"/>
    <n v="0"/>
    <n v="0"/>
    <s v=""/>
    <s v="|0||SIP/SERVICIOS_SIP-000059d8|1778006254.23020|16:Normal Clearing|17:Network|9||-1|NotSet|"/>
    <s v=""/>
  </r>
  <r>
    <x v="1"/>
    <n v="1162311873"/>
    <x v="0"/>
    <x v="0"/>
    <x v="0"/>
    <x v="0"/>
    <x v="0"/>
    <x v="6"/>
    <s v="No"/>
    <n v="20260505"/>
    <n v="149071293"/>
    <s v="SERVICIOS_SIP"/>
    <s v="NEO1"/>
    <n v="0"/>
    <n v="0"/>
    <s v="CAMPAÑA"/>
    <n v="150"/>
    <s v="8927 - Lizarrondo, Candela"/>
    <n v="26"/>
    <s v="ANSWER"/>
    <s v="AGENT"/>
    <d v="2026-05-05T14:42:13"/>
    <d v="2026-05-05T14:42:13"/>
    <d v="2026-05-05T14:46:38"/>
    <s v="01152741410"/>
    <s v="1162311873"/>
    <s v="ENTRANTE"/>
    <s v="FULL"/>
    <s v="1162311873-149071293-20260505144212.mp3"/>
    <s v=""/>
    <s v="NAC-CEL"/>
    <s v="NACIONAL"/>
    <s v="PAIS-CELULAR"/>
    <n v="0"/>
    <n v="0"/>
    <n v="0"/>
    <n v="0"/>
    <s v="BL"/>
    <n v="3"/>
    <n v="266"/>
    <s v="NotSet"/>
    <n v="37"/>
    <n v="73"/>
    <n v="1922092"/>
    <s v="Apr 22 2025 10:43AM"/>
    <s v="|0||SIP/SERVICIOS_SIP-0000501f|1778002968.20529|16:Normal Clearing|17:Network|23||-1|NotSet|"/>
    <s v=""/>
  </r>
  <r>
    <x v="1"/>
    <n v="1130025940"/>
    <x v="0"/>
    <x v="0"/>
    <x v="0"/>
    <x v="0"/>
    <x v="0"/>
    <x v="6"/>
    <s v="No"/>
    <n v="20260505"/>
    <n v="149070653"/>
    <s v="SERVICIOS_SIP"/>
    <s v="NEO1"/>
    <n v="0"/>
    <n v="0"/>
    <s v="CAMPAÑA"/>
    <n v="150"/>
    <s v="8861 - Caceres, Martina"/>
    <n v="26"/>
    <s v="ANSWER"/>
    <s v="AGENT"/>
    <d v="2026-05-05T14:18:56"/>
    <d v="2026-05-05T14:18:56"/>
    <d v="2026-05-05T14:26:37"/>
    <s v="01152741410"/>
    <s v="1130025940"/>
    <s v="ENTRANTE"/>
    <s v="FULL"/>
    <s v="1130025940-149070653-20260505141856.mp3"/>
    <s v=""/>
    <s v="NAC-CEL"/>
    <s v="NACIONAL"/>
    <s v="PAIS-CELULAR"/>
    <n v="0"/>
    <n v="0"/>
    <n v="0"/>
    <n v="0"/>
    <s v="BL"/>
    <n v="3"/>
    <n v="461"/>
    <s v="NotSet"/>
    <n v="37"/>
    <n v="202"/>
    <n v="2486475"/>
    <s v=""/>
    <s v="|0||SIP/SERVICIOS_SIP-00004b80|1778001572.19342|16:Normal Clearing|16:PBX|15|SIP/GQ106-00004b94|-1|NotSet|"/>
    <s v=""/>
  </r>
  <r>
    <x v="1"/>
    <n v="1161212996"/>
    <x v="0"/>
    <x v="0"/>
    <x v="0"/>
    <x v="0"/>
    <x v="0"/>
    <x v="7"/>
    <s v="No"/>
    <n v="20260505"/>
    <n v="149068973"/>
    <s v="SERVICIOS_SIP"/>
    <s v="NEO1"/>
    <n v="0"/>
    <n v="0"/>
    <s v="CAMPAÑA"/>
    <n v="150"/>
    <s v="8861 - Caceres, Martina"/>
    <n v="26"/>
    <s v="ANSWER"/>
    <s v="AGENT"/>
    <d v="2026-05-05T13:13:42"/>
    <d v="2026-05-05T13:13:42"/>
    <d v="2026-05-05T13:33:21"/>
    <s v="01152741410"/>
    <s v="1161212996"/>
    <s v="ENTRANTE"/>
    <s v="FULL"/>
    <s v="1161212996-149068973-20260505131342.mp3"/>
    <s v=""/>
    <s v="NAC-CEL"/>
    <s v="NACIONAL"/>
    <s v="PAIS-CELULAR"/>
    <n v="0"/>
    <n v="0"/>
    <n v="0"/>
    <n v="0"/>
    <s v="BL"/>
    <n v="3"/>
    <n v="1179"/>
    <s v="NotSet"/>
    <n v="37"/>
    <n v="1"/>
    <n v="2129549"/>
    <s v="Sep  8 2025 11:18AM"/>
    <s v="|0||SIP/SERVICIOS_SIP-00003f55|1777997658.16227|16:Normal Clearing|16:PBX|6|SIP/GQ106-00003f6c|-1|NotSet|"/>
    <s v=""/>
  </r>
  <r>
    <x v="1"/>
    <n v="1144923455"/>
    <x v="0"/>
    <x v="0"/>
    <x v="0"/>
    <x v="0"/>
    <x v="0"/>
    <x v="8"/>
    <s v="No"/>
    <n v="20260505"/>
    <n v="149068041"/>
    <s v="SERVICIOS_SIP"/>
    <s v="NEO1"/>
    <n v="0"/>
    <n v="0"/>
    <s v="CAMPAÑA"/>
    <n v="150"/>
    <s v="8861 - Caceres, Martina"/>
    <n v="26"/>
    <s v="ANSWER"/>
    <s v="AGENT"/>
    <d v="2026-05-05T12:40:50"/>
    <d v="2026-05-05T12:40:50"/>
    <d v="2026-05-05T12:46:54"/>
    <s v="01152741410"/>
    <s v="1144923455"/>
    <s v="ENTRANTE"/>
    <s v="FULL"/>
    <s v="1144923455-149068041-20260505124049.mp3"/>
    <s v=""/>
    <s v="NAC-CEL"/>
    <s v="NACIONAL"/>
    <s v="PAIS-CELULAR"/>
    <n v="0"/>
    <n v="0"/>
    <n v="0"/>
    <n v="0"/>
    <s v="BL"/>
    <n v="3"/>
    <n v="365"/>
    <s v="NotSet"/>
    <n v="37"/>
    <n v="201"/>
    <n v="2488058"/>
    <s v=""/>
    <s v="|0||SIP/SERVICIOS_SIP-0000390e|1777995685.14620|16:Normal Clearing|17:Network|11||-1|NotSet|"/>
    <s v=""/>
  </r>
  <r>
    <x v="1"/>
    <n v="1125557416"/>
    <x v="0"/>
    <x v="0"/>
    <x v="0"/>
    <x v="0"/>
    <x v="0"/>
    <x v="9"/>
    <s v="No"/>
    <n v="20260505"/>
    <n v="149066079"/>
    <s v="SERVICIOS_SIP"/>
    <s v="NEO1"/>
    <n v="0"/>
    <n v="0"/>
    <s v="CAMPAÑA"/>
    <n v="150"/>
    <s v="8861 - Caceres, Martina"/>
    <n v="26"/>
    <s v="ANSWER"/>
    <s v="AGENT"/>
    <d v="2026-05-05T11:54:51"/>
    <d v="2026-05-05T11:54:51"/>
    <d v="2026-05-05T11:56:18"/>
    <s v="01152741410"/>
    <s v="1125557416"/>
    <s v="ENTRANTE"/>
    <s v="FULL"/>
    <s v="1125557416-149066079-20260505115451.mp3"/>
    <s v=""/>
    <s v="LOC-FIJO"/>
    <s v="LOCAL-FIJO"/>
    <s v="LOCAL-FIJO"/>
    <n v="0"/>
    <n v="0"/>
    <n v="0"/>
    <n v="0"/>
    <s v="BL"/>
    <n v="3"/>
    <n v="87"/>
    <s v="NotSet"/>
    <n v="37"/>
    <n v="153"/>
    <n v="1502360"/>
    <s v=""/>
    <s v="|0||SIP/SERVICIOS_SIP-00002be8|1777992927.11254|16:Normal Clearing|17:Network|1||-1|NotSet|"/>
    <s v=""/>
  </r>
  <r>
    <x v="1"/>
    <n v="2281476633"/>
    <x v="0"/>
    <x v="0"/>
    <x v="0"/>
    <x v="0"/>
    <x v="0"/>
    <x v="9"/>
    <s v="No"/>
    <n v="20260505"/>
    <n v="149065335"/>
    <s v="SERVICIOS_SIP"/>
    <s v="NEO1"/>
    <n v="0"/>
    <n v="0"/>
    <s v="CAMPAÑA"/>
    <n v="150"/>
    <s v="8160 - QUEVEDO, JOAHANA"/>
    <n v="26"/>
    <s v="ANSWER"/>
    <s v="AGENT"/>
    <d v="2026-05-05T11:36:00"/>
    <d v="2026-05-05T11:36:00"/>
    <d v="2026-05-05T11:46:52"/>
    <s v="01152741410"/>
    <s v="2281476633"/>
    <s v="ENTRANTE"/>
    <s v="FULL"/>
    <s v="2281476633-149065335-20260505113559.mp3"/>
    <s v=""/>
    <s v="NAC-CEL"/>
    <s v="NACIONAL"/>
    <s v="PAIS-CELULAR"/>
    <n v="0"/>
    <n v="0"/>
    <n v="0"/>
    <n v="0"/>
    <s v="BL"/>
    <n v="3"/>
    <n v="652"/>
    <s v="NotSet"/>
    <n v="37"/>
    <n v="158"/>
    <n v="1701142"/>
    <s v=""/>
    <s v="|0||SIP/SERVICIOS_SIP-00002712|1777991796.10016|16:Normal Clearing|17:Network|18||-1|NotSet|"/>
    <s v=""/>
  </r>
  <r>
    <x v="1"/>
    <n v="1136977995"/>
    <x v="0"/>
    <x v="0"/>
    <x v="0"/>
    <x v="0"/>
    <x v="0"/>
    <x v="9"/>
    <s v="No"/>
    <n v="20260505"/>
    <n v="149064980"/>
    <s v="SERVICIOS_SIP"/>
    <s v="NEO1"/>
    <n v="0"/>
    <n v="0"/>
    <s v="CAMPAÑA"/>
    <n v="150"/>
    <s v="8861 - Caceres, Martina"/>
    <n v="26"/>
    <s v="ANSWER"/>
    <s v="AGENT"/>
    <d v="2026-05-05T11:24:37"/>
    <d v="2026-05-05T11:24:37"/>
    <d v="2026-05-05T11:41:58"/>
    <s v="01152741410"/>
    <s v="1136977995"/>
    <s v="ENTRANTE"/>
    <s v="FULL"/>
    <s v="1136977995-149064980-20260505112436.mp3"/>
    <s v=""/>
    <s v="NAC-CEL"/>
    <s v="NACIONAL"/>
    <s v="PAIS-CELULAR"/>
    <n v="0"/>
    <n v="0"/>
    <n v="0"/>
    <n v="0"/>
    <s v="BL"/>
    <n v="3"/>
    <n v="1042"/>
    <s v="NotSet"/>
    <n v="37"/>
    <n v="202"/>
    <n v="2487098"/>
    <s v=""/>
    <s v="|0||SIP/SERVICIOS_SIP-000024b6|1777991113.9412|16:Normal Clearing|17:Network|1||-1|NotSet|"/>
    <s v=""/>
  </r>
  <r>
    <x v="1"/>
    <n v="2996239844"/>
    <x v="0"/>
    <x v="0"/>
    <x v="0"/>
    <x v="0"/>
    <x v="0"/>
    <x v="10"/>
    <s v="No"/>
    <n v="20260505"/>
    <n v="149063899"/>
    <s v="SERVICIOS_SIP"/>
    <s v="NEO1"/>
    <n v="0"/>
    <n v="0"/>
    <s v="CAMPAÑA"/>
    <n v="150"/>
    <s v="8160 - QUEVEDO, JOAHANA"/>
    <n v="26"/>
    <s v="ANSWER"/>
    <s v="AGENT"/>
    <d v="2026-05-05T10:51:10"/>
    <d v="2026-05-05T10:51:10"/>
    <d v="2026-05-05T10:55:30"/>
    <s v="01152741410"/>
    <s v="2996239844"/>
    <s v="ENTRANTE"/>
    <s v="FULL"/>
    <s v="2996239844-149063899-20260505105109.mp3"/>
    <s v=""/>
    <s v="NAC-FIJO"/>
    <s v="NEUQUEN"/>
    <s v="NEUQUEN"/>
    <n v="0"/>
    <n v="0"/>
    <n v="0"/>
    <n v="0"/>
    <s v="BL"/>
    <n v="3"/>
    <n v="260"/>
    <s v="NotSet"/>
    <n v="37"/>
    <n v="1"/>
    <n v="2488046"/>
    <s v=""/>
    <s v="|0||SIP/SERVICIOS_SIP-00001d27|1777989106.7476|16:Normal Clearing|17:Network|7||-1|NotSet|"/>
    <s v=""/>
  </r>
  <r>
    <x v="1"/>
    <n v="3516507097"/>
    <x v="0"/>
    <x v="0"/>
    <x v="0"/>
    <x v="0"/>
    <x v="0"/>
    <x v="10"/>
    <s v="No"/>
    <n v="20260505"/>
    <n v="149063865"/>
    <s v="SERVICIOS_SIP"/>
    <s v="NEO1"/>
    <n v="0"/>
    <n v="0"/>
    <s v="CAMPAÑA"/>
    <n v="150"/>
    <s v="8861 - Caceres, Martina"/>
    <n v="26"/>
    <s v="ANSWER"/>
    <s v="AGENT"/>
    <d v="2026-05-05T10:49:50"/>
    <d v="2026-05-05T10:49:50"/>
    <d v="2026-05-05T11:02:31"/>
    <s v="01152741410"/>
    <s v="3516507097"/>
    <s v="ENTRANTE"/>
    <s v="FULL"/>
    <s v="3516507097-149063865-20260505104950.mp3"/>
    <s v=""/>
    <s v="NAC-CEL"/>
    <s v="NACIONAL"/>
    <s v="PAIS-CELULAR"/>
    <n v="0"/>
    <n v="0"/>
    <n v="0"/>
    <n v="0"/>
    <s v="BL"/>
    <n v="3"/>
    <n v="761"/>
    <s v="NotSet"/>
    <n v="37"/>
    <n v="159"/>
    <n v="1729233"/>
    <s v=""/>
    <s v="|0||SIP/SERVICIOS_SIP-00001ceb|1777989026.7416|16:Normal Clearing|16:PBX|27|SIP/GQ106-00001cf4|-1|NotSet|"/>
    <s v=""/>
  </r>
  <r>
    <x v="2"/>
    <n v="3564331928"/>
    <x v="0"/>
    <x v="0"/>
    <x v="0"/>
    <x v="0"/>
    <x v="1"/>
    <x v="11"/>
    <s v="No"/>
    <n v="20260506"/>
    <n v="149098300"/>
    <s v="SERVICIOS_SIP"/>
    <s v="NEO1"/>
    <n v="0"/>
    <n v="0"/>
    <s v="CAMPAÑA"/>
    <n v="150"/>
    <s v="8872 - Pasetti, Gisela Lorena"/>
    <n v="27"/>
    <s v="ANSWER"/>
    <s v="AGENT"/>
    <d v="2026-05-06T20:22:41"/>
    <d v="2026-05-06T20:22:41"/>
    <d v="2026-05-06T20:23:58"/>
    <s v="01152741410"/>
    <s v="3564331928"/>
    <s v="ENTRANTE"/>
    <s v="FULL"/>
    <s v="3564331928-149098300-20260506202241.mp3"/>
    <s v=""/>
    <s v="NAC-CEL"/>
    <s v="NACIONAL"/>
    <s v="PAIS-CELULAR"/>
    <n v="0"/>
    <n v="0"/>
    <n v="0"/>
    <n v="0"/>
    <s v="BL"/>
    <n v="3"/>
    <n v="77"/>
    <s v="NotSet"/>
    <n v="37"/>
    <n v="202"/>
    <n v="2490084"/>
    <s v=""/>
    <s v="|0||SIP/SERVICIOS_SIP-0000e5df|1778109799.58859|16:Normal Clearing|17:Network|4||-1|NotSet|"/>
    <s v=""/>
  </r>
  <r>
    <x v="2"/>
    <n v="1162206173"/>
    <x v="0"/>
    <x v="0"/>
    <x v="0"/>
    <x v="0"/>
    <x v="1"/>
    <x v="11"/>
    <s v="No"/>
    <n v="20260506"/>
    <n v="149098170"/>
    <s v="SERVICIOS_SIP"/>
    <s v="NEO1"/>
    <n v="0"/>
    <n v="0"/>
    <s v="CAMPAÑA"/>
    <n v="150"/>
    <s v="8814 - Nievas, Jimena "/>
    <n v="27"/>
    <s v="ANSWER"/>
    <s v="AGENT"/>
    <d v="2026-05-06T20:15:35"/>
    <d v="2026-05-06T20:15:35"/>
    <d v="2026-05-06T20:26:25"/>
    <s v="01152741410"/>
    <s v="1162206173"/>
    <s v="ENTRANTE"/>
    <s v="FULL"/>
    <s v="1162206173-149098170-20260506201535.mp3"/>
    <s v=""/>
    <s v="NAC-CEL"/>
    <s v="NACIONAL"/>
    <s v="PAIS-CELULAR"/>
    <n v="0"/>
    <n v="0"/>
    <n v="0"/>
    <n v="0"/>
    <s v="BL"/>
    <n v="3"/>
    <n v="650"/>
    <s v="NotSet"/>
    <n v="37"/>
    <n v="201"/>
    <n v="2489946"/>
    <s v=""/>
    <s v="|0||SIP/SERVICIOS_SIP-0000e4cf|1778109373.58587|16:Normal Clearing|17:Network|1||-1|NotSet|"/>
    <s v=""/>
  </r>
  <r>
    <x v="2"/>
    <n v="1159560749"/>
    <x v="0"/>
    <x v="0"/>
    <x v="0"/>
    <x v="0"/>
    <x v="3"/>
    <x v="11"/>
    <s v="No"/>
    <n v="20260506"/>
    <n v="149097937"/>
    <s v="SERVICIOS_SIP"/>
    <s v="NEO1"/>
    <n v="0"/>
    <n v="0"/>
    <s v="CAMPAÑA"/>
    <n v="150"/>
    <s v="8938 - Spertino, Exequiel"/>
    <n v="5"/>
    <s v="ANSWER"/>
    <s v="AGENT"/>
    <d v="2026-05-06T20:04:55"/>
    <d v="2026-05-06T20:04:55"/>
    <d v="2026-05-06T20:06:37"/>
    <s v="01152741410"/>
    <s v="1159560749"/>
    <s v="ENTRANTE"/>
    <s v="FULL"/>
    <s v="1159560749-149097937-20260506200455.mp3"/>
    <s v=""/>
    <s v="NAC-CEL"/>
    <s v="NACIONAL"/>
    <s v="PAIS-CELULAR"/>
    <n v="0"/>
    <n v="0"/>
    <n v="0"/>
    <n v="0"/>
    <s v="BL"/>
    <n v="3"/>
    <n v="102"/>
    <s v="NotSet"/>
    <n v="37"/>
    <n v="0"/>
    <n v="0"/>
    <s v=""/>
    <s v="|0||SIP/SERVICIOS_SIP-0000e2fc|1778108733.58120|16:Normal Clearing|16:PBX|1|SIP/GQ114-0000e310|-1|NotSet|"/>
    <s v=""/>
  </r>
  <r>
    <x v="2"/>
    <n v="3537586797"/>
    <x v="0"/>
    <x v="0"/>
    <x v="0"/>
    <x v="0"/>
    <x v="1"/>
    <x v="11"/>
    <s v="No"/>
    <n v="20260506"/>
    <n v="149097844"/>
    <s v="SERVICIOS_SIP"/>
    <s v="NEO1"/>
    <n v="0"/>
    <n v="0"/>
    <s v="CAMPAÑA"/>
    <n v="150"/>
    <s v="8872 - Pasetti, Gisela Lorena"/>
    <n v="27"/>
    <s v="ANSWER"/>
    <s v="AGENT"/>
    <d v="2026-05-06T20:00:34"/>
    <d v="2026-05-06T20:00:34"/>
    <d v="2026-05-06T20:07:14"/>
    <s v="01152741410"/>
    <s v="3537586797"/>
    <s v="ENTRANTE"/>
    <s v="FULL"/>
    <s v="3537586797-149097844-20260506200034.mp3"/>
    <s v=""/>
    <s v="NAC-CEL"/>
    <s v="NACIONAL"/>
    <s v="PAIS-CELULAR"/>
    <n v="0"/>
    <n v="0"/>
    <n v="0"/>
    <n v="0"/>
    <s v="BL"/>
    <n v="3"/>
    <n v="400"/>
    <s v="NotSet"/>
    <n v="37"/>
    <n v="202"/>
    <n v="2490048"/>
    <s v=""/>
    <s v="|0||SIP/SERVICIOS_SIP-0000e243|1778108472.57935|16:Normal Clearing|17:Network|14||-1|NotSet|"/>
    <s v=""/>
  </r>
  <r>
    <x v="2"/>
    <e v="#VALUE!"/>
    <x v="0"/>
    <x v="0"/>
    <x v="0"/>
    <x v="0"/>
    <x v="1"/>
    <x v="1"/>
    <s v="No"/>
    <n v="20260506"/>
    <n v="149097809"/>
    <s v="SERVICIOS_SIP"/>
    <s v="NEO1"/>
    <n v="0"/>
    <n v="0"/>
    <s v="CAMPAÑA"/>
    <n v="150"/>
    <s v="8957 - Bustos, Juan Ignacio"/>
    <n v="27"/>
    <s v="ANSWER"/>
    <s v="AGENT"/>
    <d v="2026-05-06T19:59:00"/>
    <d v="2026-05-06T19:59:00"/>
    <d v="2026-05-06T20:15:53"/>
    <s v="01152741410"/>
    <s v="anonymous"/>
    <s v="ENTRANTE"/>
    <s v="FULL"/>
    <s v="anonymous-149097809-20260506195859.mp3"/>
    <s v=""/>
    <s v="UNKNOWN"/>
    <s v="???"/>
    <s v="???"/>
    <n v="0"/>
    <n v="0"/>
    <n v="0"/>
    <n v="0"/>
    <s v="BL"/>
    <n v="3"/>
    <n v="1014"/>
    <s v="NotSet"/>
    <n v="37"/>
    <n v="0"/>
    <n v="0"/>
    <s v=""/>
    <s v="|0||SIP/SERVICIOS_SIP-0000e1f6|1778108377.57858|16:Normal Clearing|17:Network|17||-1|NotSet|"/>
    <s v=""/>
  </r>
  <r>
    <x v="2"/>
    <n v="3704338160"/>
    <x v="0"/>
    <x v="0"/>
    <x v="0"/>
    <x v="0"/>
    <x v="1"/>
    <x v="2"/>
    <s v="No"/>
    <n v="20260506"/>
    <n v="149096076"/>
    <s v="SERVICIOS_SIP"/>
    <s v="NEO1"/>
    <n v="0"/>
    <n v="0"/>
    <s v="CAMPAÑA"/>
    <n v="150"/>
    <s v="8864 - González, Maitena"/>
    <n v="27"/>
    <s v="ANSWER"/>
    <s v="AGENT"/>
    <d v="2026-05-06T18:46:12"/>
    <d v="2026-05-06T18:46:12"/>
    <d v="2026-05-06T18:48:09"/>
    <s v="01152741410"/>
    <s v="3704338160"/>
    <s v="ENTRANTE"/>
    <s v="FULL"/>
    <s v="3704338160-149096076-20260506184612.mp3"/>
    <s v=""/>
    <s v="NAC-CEL"/>
    <s v="NACIONAL"/>
    <s v="PAIS-CELULAR"/>
    <n v="0"/>
    <n v="0"/>
    <n v="0"/>
    <n v="0"/>
    <s v="BL"/>
    <n v="3"/>
    <n v="117"/>
    <s v="NotSet"/>
    <n v="37"/>
    <n v="0"/>
    <n v="0"/>
    <s v=""/>
    <s v="|0||SIP/SERVICIOS_SIP-0000d493|1778104010.54430|16:Normal Clearing|16:PBX|17|SIP/Z8864-0000d4a5|-1|NotSet|"/>
    <s v=""/>
  </r>
  <r>
    <x v="2"/>
    <n v="3751431185"/>
    <x v="0"/>
    <x v="0"/>
    <x v="0"/>
    <x v="0"/>
    <x v="1"/>
    <x v="2"/>
    <s v="No"/>
    <n v="20260506"/>
    <n v="149095919"/>
    <s v="SERVICIOS_SIP"/>
    <s v="NEO1"/>
    <n v="0"/>
    <n v="0"/>
    <s v="CAMPAÑA"/>
    <n v="150"/>
    <s v="8872 - Pasetti, Gisela Lorena"/>
    <n v="27"/>
    <s v="ANSWER"/>
    <s v="AGENT"/>
    <d v="2026-05-06T18:39:15"/>
    <d v="2026-05-06T18:39:16"/>
    <d v="2026-05-06T18:45:29"/>
    <s v="01152741410"/>
    <s v="3751431185"/>
    <s v="ENTRANTE"/>
    <s v="FULL"/>
    <s v="3751431185-149095919-20260506183915.mp3"/>
    <s v=""/>
    <s v="NAC-FIJO"/>
    <s v="MISIONES"/>
    <s v="ELDORADO"/>
    <n v="0"/>
    <n v="0"/>
    <n v="0"/>
    <n v="0"/>
    <s v="BL"/>
    <n v="3"/>
    <n v="374"/>
    <s v="NotSet"/>
    <n v="37"/>
    <n v="1"/>
    <n v="442402"/>
    <s v=""/>
    <s v="|0||SIP/SERVICIOS_SIP-0000d358|1778103593.54115|16:Normal Clearing|17:Network|7||-1|NotSet|"/>
    <s v=""/>
  </r>
  <r>
    <x v="2"/>
    <n v="1167356230"/>
    <x v="0"/>
    <x v="0"/>
    <x v="0"/>
    <x v="0"/>
    <x v="1"/>
    <x v="2"/>
    <s v="No"/>
    <n v="20260506"/>
    <n v="149095452"/>
    <s v="SERVICIOS_SIP"/>
    <s v="NEO1"/>
    <n v="0"/>
    <n v="0"/>
    <s v="CAMPAÑA"/>
    <n v="150"/>
    <s v="8872 - Pasetti, Gisela Lorena"/>
    <n v="27"/>
    <s v="ANSWER"/>
    <s v="AGENT"/>
    <d v="2026-05-06T18:18:44"/>
    <d v="2026-05-06T18:18:44"/>
    <d v="2026-05-06T18:27:39"/>
    <s v="01152741410"/>
    <s v="1167356230"/>
    <s v="ENTRANTE"/>
    <s v="FULL"/>
    <s v="1167356230-149095452-20260506181843.mp3"/>
    <s v=""/>
    <s v="NAC-CEL"/>
    <s v="NACIONAL"/>
    <s v="PAIS-CELULAR"/>
    <n v="0"/>
    <n v="0"/>
    <n v="0"/>
    <n v="0"/>
    <s v="BL"/>
    <n v="3"/>
    <n v="536"/>
    <s v="NotSet"/>
    <n v="37"/>
    <n v="201"/>
    <n v="2489828"/>
    <s v=""/>
    <s v="|0||SIP/SERVICIOS_SIP-0000cfbc|1778102361.53190|16:Normal Clearing|16:PBX|0|SIP/Z8872-0000cfc8|-1|NotSet|"/>
    <s v=""/>
  </r>
  <r>
    <x v="2"/>
    <n v="1159246781"/>
    <x v="0"/>
    <x v="0"/>
    <x v="0"/>
    <x v="0"/>
    <x v="1"/>
    <x v="3"/>
    <s v="No"/>
    <n v="20260506"/>
    <n v="149094453"/>
    <s v="SERVICIOS_SIP"/>
    <s v="NEO1"/>
    <n v="0"/>
    <n v="0"/>
    <s v="CAMPAÑA"/>
    <n v="150"/>
    <s v="8872 - Pasetti, Gisela Lorena"/>
    <n v="27"/>
    <s v="ANSWER"/>
    <s v="AGENT"/>
    <d v="2026-05-06T17:25:38"/>
    <d v="2026-05-06T17:25:38"/>
    <d v="2026-05-06T17:27:08"/>
    <s v="01152741410"/>
    <s v="1159246781"/>
    <s v="ENTRANTE"/>
    <s v="FULL"/>
    <s v="1159246781-149094453-20260506172537.mp3"/>
    <s v=""/>
    <s v="NAC-CEL"/>
    <s v="NACIONAL"/>
    <s v="PAIS-CELULAR"/>
    <n v="0"/>
    <n v="0"/>
    <n v="0"/>
    <n v="0"/>
    <s v="BL"/>
    <n v="3"/>
    <n v="91"/>
    <s v="NotSet"/>
    <n v="37"/>
    <n v="201"/>
    <n v="2489856"/>
    <s v=""/>
    <s v="|0||SIP/SERVICIOS_SIP-0000c750|1778099175.51034|16:Normal Clearing|17:Network|2||-1|NotSet|"/>
    <s v=""/>
  </r>
  <r>
    <x v="2"/>
    <n v="3546420921"/>
    <x v="0"/>
    <x v="0"/>
    <x v="0"/>
    <x v="0"/>
    <x v="1"/>
    <x v="3"/>
    <s v="No"/>
    <n v="20260506"/>
    <n v="149094082"/>
    <s v="SERVICIOS_SIP"/>
    <s v="NEO1"/>
    <n v="0"/>
    <n v="0"/>
    <s v="CAMPAÑA"/>
    <n v="150"/>
    <s v="8872 - Pasetti, Gisela Lorena"/>
    <n v="27"/>
    <s v="ANSWER"/>
    <s v="AGENT"/>
    <d v="2026-05-06T17:02:26"/>
    <d v="2026-05-06T17:02:26"/>
    <d v="2026-05-06T17:02:57"/>
    <s v="01152741410"/>
    <s v="3546420921"/>
    <s v="ENTRANTE"/>
    <s v="FULL"/>
    <s v="3546420921-149094082-20260506170225.mp3"/>
    <s v=""/>
    <s v="NAC-FIJO"/>
    <s v="CORDOBA"/>
    <s v="SANTA ROSA DE CALAMUCHITA"/>
    <n v="0"/>
    <n v="0"/>
    <n v="0"/>
    <n v="0"/>
    <s v="BL"/>
    <n v="3"/>
    <n v="31"/>
    <s v="NotSet"/>
    <n v="37"/>
    <n v="1"/>
    <n v="2489823"/>
    <s v="May  6 2026  4:59PM"/>
    <s v="|0||SIP/SERVICIOS_SIP-0000c467|1778097784.50289|16:Normal Clearing|16:PBX|2||-1|NotSet|"/>
    <s v=""/>
  </r>
  <r>
    <x v="2"/>
    <n v="2932477185"/>
    <x v="0"/>
    <x v="0"/>
    <x v="0"/>
    <x v="0"/>
    <x v="1"/>
    <x v="4"/>
    <s v="No"/>
    <n v="20260506"/>
    <n v="149093841"/>
    <s v="SERVICIOS_SIP"/>
    <s v="NEO1"/>
    <n v="0"/>
    <n v="0"/>
    <s v="CAMPAÑA"/>
    <n v="150"/>
    <s v="8872 - Pasetti, Gisela Lorena"/>
    <n v="27"/>
    <s v="ANSWER"/>
    <s v="AGENT"/>
    <d v="2026-05-06T16:47:26"/>
    <d v="2026-05-06T16:47:26"/>
    <d v="2026-05-06T16:57:31"/>
    <s v="01152741410"/>
    <s v="2932477185"/>
    <s v="ENTRANTE"/>
    <s v="FULL"/>
    <s v="2932477185-149093841-20260506164725.mp3"/>
    <s v=""/>
    <s v="NAC-CEL"/>
    <s v="NACIONAL"/>
    <s v="PAIS-CELULAR"/>
    <n v="0"/>
    <n v="0"/>
    <n v="0"/>
    <n v="0"/>
    <s v="BL"/>
    <n v="3"/>
    <n v="606"/>
    <s v="NotSet"/>
    <n v="37"/>
    <n v="201"/>
    <n v="2489584"/>
    <s v=""/>
    <s v="|0||SIP/SERVICIOS_SIP-0000bb8a|1778096884.48020|16:Normal Clearing|17:Network|17||-1|NotSet|"/>
    <s v=""/>
  </r>
  <r>
    <x v="2"/>
    <n v="2645328482"/>
    <x v="0"/>
    <x v="0"/>
    <x v="0"/>
    <x v="0"/>
    <x v="1"/>
    <x v="4"/>
    <s v="No"/>
    <n v="20260506"/>
    <n v="149093801"/>
    <s v="SERVICIOS_SIP"/>
    <s v="NEO1"/>
    <n v="0"/>
    <n v="0"/>
    <s v="CAMPAÑA"/>
    <n v="150"/>
    <s v="8935 - Marinelli, Elias"/>
    <n v="27"/>
    <s v="ANSWER"/>
    <s v="AGENT"/>
    <d v="2026-05-06T16:45:26"/>
    <d v="2026-05-06T16:45:26"/>
    <d v="2026-05-06T16:49:32"/>
    <s v="01152741410"/>
    <s v="2645328482"/>
    <s v="ENTRANTE"/>
    <s v="FULL"/>
    <s v="2645328482-149093801-20260506164526.mp3"/>
    <s v=""/>
    <s v="NAC-CEL"/>
    <s v="NACIONAL"/>
    <s v="PAIS-CELULAR"/>
    <n v="0"/>
    <n v="0"/>
    <n v="0"/>
    <n v="0"/>
    <s v="BL"/>
    <n v="3"/>
    <n v="246"/>
    <s v="NotSet"/>
    <n v="37"/>
    <n v="201"/>
    <n v="2487451"/>
    <s v=""/>
    <s v="|0||SIP/SERVICIOS_SIP-0000bb2e|1778096764.47928|16:Normal Clearing|17:Network|16||-1|NotSet|"/>
    <s v=""/>
  </r>
  <r>
    <x v="2"/>
    <n v="2984522648"/>
    <x v="0"/>
    <x v="0"/>
    <x v="0"/>
    <x v="0"/>
    <x v="1"/>
    <x v="4"/>
    <s v="No"/>
    <n v="20260506"/>
    <n v="149093790"/>
    <s v="SERVICIOS_SIP"/>
    <s v="NEO1"/>
    <n v="0"/>
    <n v="0"/>
    <s v="CAMPAÑA"/>
    <n v="150"/>
    <s v="8957 - Bustos, Juan Ignacio"/>
    <n v="27"/>
    <s v="ANSWER"/>
    <s v="AGENT"/>
    <d v="2026-05-06T16:45:07"/>
    <d v="2026-05-06T16:45:07"/>
    <d v="2026-05-06T16:51:44"/>
    <s v="01152741410"/>
    <s v="2984522648"/>
    <s v="ENTRANTE"/>
    <s v="FULL"/>
    <s v="2984522648-149093790-20260506164506.mp3"/>
    <s v=""/>
    <s v="NAC-CEL"/>
    <s v="NACIONAL"/>
    <s v="PAIS-CELULAR"/>
    <n v="0"/>
    <n v="0"/>
    <n v="0"/>
    <n v="0"/>
    <s v="BL"/>
    <n v="3"/>
    <n v="398"/>
    <s v="NotSet"/>
    <n v="37"/>
    <n v="202"/>
    <n v="2488129"/>
    <s v=""/>
    <s v="|0||SIP/SERVICIOS_SIP-0000bb19|1778096744.47907|16:Normal Clearing|16:PBX|15|SIP/GQ116-0000bb30|-1|NotSet|"/>
    <s v=""/>
  </r>
  <r>
    <x v="2"/>
    <n v="1121611655"/>
    <x v="0"/>
    <x v="0"/>
    <x v="0"/>
    <x v="0"/>
    <x v="1"/>
    <x v="4"/>
    <s v="No"/>
    <n v="20260506"/>
    <n v="149093227"/>
    <s v="SERVICIOS_SIP"/>
    <s v="NEO1"/>
    <n v="0"/>
    <n v="0"/>
    <s v="CAMPAÑA"/>
    <n v="150"/>
    <s v="8872 - Pasetti, Gisela Lorena"/>
    <n v="27"/>
    <s v="ANSWER"/>
    <s v="AGENT"/>
    <d v="2026-05-06T16:17:46"/>
    <d v="2026-05-06T16:17:46"/>
    <d v="2026-05-06T16:18:23"/>
    <s v="01152741410"/>
    <s v="1121611655"/>
    <s v="ENTRANTE"/>
    <s v="FULL"/>
    <s v="1121611655-149093227-20260506161746.mp3"/>
    <s v=""/>
    <s v="NAC-CEL"/>
    <s v="NACIONAL"/>
    <s v="PAIS-CELULAR"/>
    <n v="0"/>
    <n v="0"/>
    <n v="0"/>
    <n v="0"/>
    <s v="BL"/>
    <n v="3"/>
    <n v="37"/>
    <s v="NotSet"/>
    <n v="37"/>
    <n v="0"/>
    <n v="0"/>
    <s v=""/>
    <s v="|0||SIP/SERVICIOS_SIP-0000ad8c|1778095104.44437|16:Normal Clearing|16:PBX|10|SIP/Z8872-0000b68f|-1|NotSet|"/>
    <s v=""/>
  </r>
  <r>
    <x v="2"/>
    <n v="3874560134"/>
    <x v="0"/>
    <x v="0"/>
    <x v="0"/>
    <x v="0"/>
    <x v="1"/>
    <x v="4"/>
    <s v="No"/>
    <n v="20260506"/>
    <n v="149092922"/>
    <s v="SERVICIOS_SIP"/>
    <s v="NEO1"/>
    <n v="0"/>
    <n v="0"/>
    <s v="CAMPAÑA"/>
    <n v="150"/>
    <s v="8814 - Nievas, Jimena "/>
    <n v="27"/>
    <s v="ANSWER"/>
    <s v="AGENT"/>
    <d v="2026-05-06T16:00:08"/>
    <d v="2026-05-06T16:00:08"/>
    <d v="2026-05-06T16:11:06"/>
    <s v="01152741410"/>
    <s v="3874560134"/>
    <s v="ENTRANTE"/>
    <s v="FULL"/>
    <s v="3874560134-149092922-20260506160008.mp3"/>
    <s v=""/>
    <s v="NAC-CEL"/>
    <s v="NACIONAL"/>
    <s v="PAIS-CELULAR"/>
    <n v="0"/>
    <n v="0"/>
    <n v="0"/>
    <n v="0"/>
    <s v="BL"/>
    <n v="3"/>
    <n v="658"/>
    <s v="NotSet"/>
    <n v="37"/>
    <n v="179"/>
    <n v="2094217"/>
    <s v=""/>
    <s v="|0||SIP/SERVICIOS_SIP-00006880|1778094046.26761|16:Normal Clearing|17:Network|11||-1|NotSet|"/>
    <s v=""/>
  </r>
  <r>
    <x v="2"/>
    <n v="1151609356"/>
    <x v="0"/>
    <x v="0"/>
    <x v="0"/>
    <x v="0"/>
    <x v="0"/>
    <x v="6"/>
    <s v="No"/>
    <n v="20260506"/>
    <n v="149090554"/>
    <s v="SERVICIOS_SIP"/>
    <s v="NEO1"/>
    <n v="0"/>
    <n v="0"/>
    <s v="CAMPAÑA"/>
    <n v="150"/>
    <s v="8927 - Lizarrondo, Candela"/>
    <n v="26"/>
    <s v="ANSWER"/>
    <s v="AGENT"/>
    <d v="2026-05-06T14:24:48"/>
    <d v="2026-05-06T14:24:48"/>
    <d v="2026-05-06T14:26:16"/>
    <s v="01152741410"/>
    <s v="1151609356"/>
    <s v="ENTRANTE"/>
    <s v="FULL"/>
    <s v="1151609356-149090554-20260506142448.mp3"/>
    <s v=""/>
    <s v="NAC-CEL"/>
    <s v="NACIONAL"/>
    <s v="PAIS-CELULAR"/>
    <n v="0"/>
    <n v="0"/>
    <n v="0"/>
    <n v="0"/>
    <s v="BL"/>
    <n v="3"/>
    <n v="88"/>
    <s v="NotSet"/>
    <n v="37"/>
    <n v="0"/>
    <n v="0"/>
    <s v=""/>
    <s v="|0||SIP/SERVICIOS_SIP-0000565d|1778088326.22116|16:Normal Clearing|17:Network|14||-1|NotSet|"/>
    <s v=""/>
  </r>
  <r>
    <x v="2"/>
    <n v="1178938939"/>
    <x v="0"/>
    <x v="0"/>
    <x v="0"/>
    <x v="0"/>
    <x v="0"/>
    <x v="6"/>
    <s v="No"/>
    <n v="20260506"/>
    <n v="149090280"/>
    <s v="SERVICIOS_SIP"/>
    <s v="NEO1"/>
    <n v="0"/>
    <n v="0"/>
    <s v="CAMPAÑA"/>
    <n v="150"/>
    <s v="8861 - Caceres, Martina"/>
    <n v="26"/>
    <s v="ANSWER"/>
    <s v="AGENT"/>
    <d v="2026-05-06T14:13:24"/>
    <d v="2026-05-06T14:13:24"/>
    <d v="2026-05-06T14:25:18"/>
    <s v="01152741410"/>
    <s v="1178938939"/>
    <s v="ENTRANTE"/>
    <s v="FULL"/>
    <s v="1178938939-149090280-20260506141324.mp3"/>
    <s v=""/>
    <s v="LOC-FIJO"/>
    <s v="LOCAL-FIJO"/>
    <s v="LOCAL-FIJO"/>
    <n v="0"/>
    <n v="0"/>
    <n v="0"/>
    <n v="0"/>
    <s v="BL"/>
    <n v="3"/>
    <n v="714"/>
    <s v="NotSet"/>
    <n v="37"/>
    <n v="202"/>
    <n v="2489515"/>
    <s v=""/>
    <s v="|0||SIP/SERVICIOS_SIP-00005439|1778087642.21568|16:Normal Clearing|16:PBX|6|SIP/GQ106-0000545a|-1|NotSet|"/>
    <s v=""/>
  </r>
  <r>
    <x v="2"/>
    <n v="2964493860"/>
    <x v="0"/>
    <x v="0"/>
    <x v="0"/>
    <x v="0"/>
    <x v="0"/>
    <x v="7"/>
    <s v="No"/>
    <n v="20260506"/>
    <n v="149089404"/>
    <s v="SERVICIOS_SIP"/>
    <s v="NEO1"/>
    <n v="0"/>
    <n v="0"/>
    <s v="CAMPAÑA"/>
    <n v="150"/>
    <s v="8160 - QUEVEDO, JOAHANA"/>
    <n v="26"/>
    <s v="ANSWER"/>
    <s v="AGENT"/>
    <d v="2026-05-06T13:45:29"/>
    <d v="2026-05-06T13:45:29"/>
    <d v="2026-05-06T13:55:23"/>
    <s v="01152741410"/>
    <s v="2964493860"/>
    <s v="ENTRANTE"/>
    <s v="FULL"/>
    <s v="2964493860-149089404-20260506134528.mp3"/>
    <s v=""/>
    <s v="NAC-CEL"/>
    <s v="NACIONAL"/>
    <s v="PAIS-CELULAR"/>
    <n v="0"/>
    <n v="0"/>
    <n v="0"/>
    <n v="0"/>
    <s v="BL"/>
    <n v="3"/>
    <n v="595"/>
    <s v="NotSet"/>
    <n v="37"/>
    <n v="191"/>
    <n v="2336226"/>
    <s v=""/>
    <s v="|0||SIP/SERVICIOS_SIP-00004da7|1778085967.19885|16:Normal Clearing|17:Network|20||-1|NotSet|"/>
    <s v=""/>
  </r>
  <r>
    <x v="2"/>
    <n v="1160110693"/>
    <x v="0"/>
    <x v="0"/>
    <x v="0"/>
    <x v="0"/>
    <x v="0"/>
    <x v="7"/>
    <s v="No"/>
    <n v="20260506"/>
    <n v="149088246"/>
    <s v="SERVICIOS_SIP"/>
    <s v="NEO1"/>
    <n v="0"/>
    <n v="0"/>
    <s v="CAMPAÑA"/>
    <n v="150"/>
    <s v="8160 - QUEVEDO, JOAHANA"/>
    <n v="26"/>
    <s v="ANSWER"/>
    <s v="AGENT"/>
    <d v="2026-05-06T13:07:39"/>
    <d v="2026-05-06T13:07:39"/>
    <d v="2026-05-06T13:14:26"/>
    <s v="01152741410"/>
    <s v="1160110693"/>
    <s v="ENTRANTE"/>
    <s v="FULL"/>
    <s v="1160110693-149088246-20260506130739.mp3"/>
    <s v=""/>
    <s v="NAC-CEL"/>
    <s v="NACIONAL"/>
    <s v="PAIS-CELULAR"/>
    <n v="0"/>
    <n v="0"/>
    <n v="0"/>
    <n v="0"/>
    <s v="BL"/>
    <n v="3"/>
    <n v="407"/>
    <s v="NotSet"/>
    <n v="37"/>
    <n v="1"/>
    <n v="2489494"/>
    <s v=""/>
    <s v="|0||SIP/SERVICIOS_SIP-000044ec|1778083697.17650|16:Normal Clearing|17:Network|4||-1|NotSet|"/>
    <s v=""/>
  </r>
  <r>
    <x v="2"/>
    <n v="3446375098"/>
    <x v="0"/>
    <x v="0"/>
    <x v="0"/>
    <x v="0"/>
    <x v="0"/>
    <x v="8"/>
    <s v="No"/>
    <n v="20260506"/>
    <n v="149088101"/>
    <s v="SERVICIOS_SIP"/>
    <s v="NEO1"/>
    <n v="0"/>
    <n v="0"/>
    <s v="CAMPAÑA"/>
    <n v="150"/>
    <s v="8861 - Caceres, Martina"/>
    <n v="26"/>
    <s v="ANSWER"/>
    <s v="AGENT"/>
    <d v="2026-05-06T12:59:50"/>
    <d v="2026-05-06T12:59:50"/>
    <d v="2026-05-06T13:28:06"/>
    <s v="01152741410"/>
    <s v="3446375098"/>
    <s v="ENTRANTE"/>
    <s v="FULL"/>
    <s v="3446375098-149088101-20260506125949.mp3"/>
    <s v=""/>
    <s v="NAC-FIJO"/>
    <s v="ENTRE RIOS"/>
    <s v="GUALEGUAYCHU"/>
    <n v="0"/>
    <n v="0"/>
    <n v="0"/>
    <n v="0"/>
    <s v="BL"/>
    <n v="3"/>
    <n v="1697"/>
    <s v="NotSet"/>
    <n v="37"/>
    <n v="202"/>
    <n v="2489370"/>
    <s v=""/>
    <s v="|0||SIP/SERVICIOS_SIP-000043b7|1778083228.17341|16:Normal Clearing|16:PBX|0||-1|NotSet|"/>
    <s v=""/>
  </r>
  <r>
    <x v="2"/>
    <n v="1126430242"/>
    <x v="0"/>
    <x v="0"/>
    <x v="0"/>
    <x v="0"/>
    <x v="0"/>
    <x v="8"/>
    <s v="No"/>
    <n v="20260506"/>
    <n v="149087740"/>
    <s v="SERVICIOS_SIP"/>
    <s v="NEO1"/>
    <n v="0"/>
    <n v="0"/>
    <s v="CAMPAÑA"/>
    <n v="150"/>
    <s v="8160 - QUEVEDO, JOAHANA"/>
    <n v="26"/>
    <s v="ANSWER"/>
    <s v="AGENT"/>
    <d v="2026-05-06T12:43:52"/>
    <d v="2026-05-06T12:43:52"/>
    <d v="2026-05-06T12:54:50"/>
    <s v="01152741410"/>
    <s v="1126430242"/>
    <s v="ENTRANTE"/>
    <s v="FULL"/>
    <s v="1126430242-149087740-20260506124352.mp3"/>
    <s v=""/>
    <s v="LOC-FIJO"/>
    <s v="LOCAL-FIJO"/>
    <s v="LOCAL-FIJO"/>
    <n v="0"/>
    <n v="0"/>
    <n v="0"/>
    <n v="0"/>
    <s v="BL"/>
    <n v="3"/>
    <n v="658"/>
    <s v="NotSet"/>
    <n v="37"/>
    <n v="1"/>
    <n v="2489465"/>
    <s v=""/>
    <s v="|0||SIP/SERVICIOS_SIP-00004096|1778082270.16540|16:Normal Clearing|17:Network|6||-1|NotSet|"/>
    <s v=""/>
  </r>
  <r>
    <x v="2"/>
    <n v="1125338329"/>
    <x v="0"/>
    <x v="0"/>
    <x v="0"/>
    <x v="0"/>
    <x v="0"/>
    <x v="8"/>
    <s v="No"/>
    <n v="20260506"/>
    <n v="149087666"/>
    <s v="SERVICIOS_SIP"/>
    <s v="NEO1"/>
    <n v="0"/>
    <n v="0"/>
    <s v="CAMPAÑA"/>
    <n v="150"/>
    <s v="8861 - Caceres, Martina"/>
    <n v="26"/>
    <s v="ANSWER"/>
    <s v="AGENT"/>
    <d v="2026-05-06T12:41:17"/>
    <d v="2026-05-06T12:41:17"/>
    <d v="2026-05-06T12:48:20"/>
    <s v="01152741410"/>
    <s v="1125338329"/>
    <s v="ENTRANTE"/>
    <s v="FULL"/>
    <s v="1125338329-149087666-20260506124116.mp3"/>
    <s v=""/>
    <s v="LOC-FIJO"/>
    <s v="LOCAL-FIJO"/>
    <s v="LOCAL-FIJO"/>
    <n v="0"/>
    <n v="0"/>
    <n v="0"/>
    <n v="0"/>
    <s v="BL"/>
    <n v="3"/>
    <n v="424"/>
    <s v="NotSet"/>
    <n v="37"/>
    <n v="202"/>
    <n v="2488255"/>
    <s v=""/>
    <s v="|0||SIP/SERVICIOS_SIP-00003ffc|1778082115.16386|16:Normal Clearing|17:Network|21||-1|NotSet|"/>
    <s v=""/>
  </r>
  <r>
    <x v="2"/>
    <n v="1134329764"/>
    <x v="0"/>
    <x v="0"/>
    <x v="0"/>
    <x v="0"/>
    <x v="0"/>
    <x v="8"/>
    <s v="No"/>
    <n v="20260506"/>
    <n v="149087098"/>
    <s v="SERVICIOS_SIP"/>
    <s v="NEO1"/>
    <n v="0"/>
    <n v="0"/>
    <s v="CAMPAÑA"/>
    <n v="150"/>
    <s v="8160 - QUEVEDO, JOAHANA"/>
    <n v="26"/>
    <s v="ANSWER"/>
    <s v="AGENT"/>
    <d v="2026-05-06T12:25:42"/>
    <d v="2026-05-06T12:25:42"/>
    <d v="2026-05-06T12:34:12"/>
    <s v="01152741410"/>
    <s v="1134329764"/>
    <s v="ENTRANTE"/>
    <s v="FULL"/>
    <s v="1134329764-149087098-20260506122542.mp3"/>
    <s v=""/>
    <s v="LOC-FIJO"/>
    <s v="LOCAL-FIJO"/>
    <s v="LOCAL-FIJO"/>
    <n v="0"/>
    <n v="0"/>
    <n v="0"/>
    <n v="0"/>
    <s v="BL"/>
    <n v="3"/>
    <n v="510"/>
    <s v="NotSet"/>
    <n v="37"/>
    <n v="1"/>
    <n v="2489432"/>
    <s v=""/>
    <s v="|0||SIP/SERVICIOS_SIP-00003be5|1778081180.15339|16:Normal Clearing|17:Network|5||-1|NotSet|"/>
    <s v=""/>
  </r>
  <r>
    <x v="2"/>
    <n v="1158351219"/>
    <x v="0"/>
    <x v="0"/>
    <x v="0"/>
    <x v="0"/>
    <x v="0"/>
    <x v="8"/>
    <s v="No"/>
    <n v="20260506"/>
    <n v="149086460"/>
    <s v="SERVICIOS_SIP"/>
    <s v="NEO1"/>
    <n v="0"/>
    <n v="0"/>
    <s v="CAMPAÑA"/>
    <n v="150"/>
    <s v="8861 - Caceres, Martina"/>
    <n v="26"/>
    <s v="ANSWER"/>
    <s v="AGENT"/>
    <d v="2026-05-06T12:09:03"/>
    <d v="2026-05-06T12:09:03"/>
    <d v="2026-05-06T12:26:58"/>
    <s v="01152741410"/>
    <s v="1158351219"/>
    <s v="ENTRANTE"/>
    <s v="FULL"/>
    <s v="1158351219-149086460-20260506120902.mp3"/>
    <s v=""/>
    <s v="NAC-CEL"/>
    <s v="NACIONAL"/>
    <s v="PAIS-CELULAR"/>
    <n v="0"/>
    <n v="0"/>
    <n v="0"/>
    <n v="0"/>
    <s v="BL"/>
    <n v="3"/>
    <n v="1076"/>
    <s v="NotSet"/>
    <n v="37"/>
    <n v="201"/>
    <n v="2485623"/>
    <s v=""/>
    <s v="|0||SIP/SERVICIOS_SIP-00003761|1778080181.14183|16:Normal Clearing|17:Network|16||-1|NotSet|"/>
    <s v=""/>
  </r>
  <r>
    <x v="2"/>
    <n v="3755567045"/>
    <x v="0"/>
    <x v="0"/>
    <x v="0"/>
    <x v="0"/>
    <x v="0"/>
    <x v="9"/>
    <s v="No"/>
    <n v="20260506"/>
    <n v="149084856"/>
    <s v="SERVICIOS_SIP"/>
    <s v="NEO1"/>
    <n v="0"/>
    <n v="0"/>
    <s v="CAMPAÑA"/>
    <n v="150"/>
    <s v="8861 - Caceres, Martina"/>
    <n v="26"/>
    <s v="ANSWER"/>
    <s v="AGENT"/>
    <d v="2026-05-06T11:31:21"/>
    <d v="2026-05-06T11:31:21"/>
    <d v="2026-05-06T11:43:44"/>
    <s v="01152741410"/>
    <s v="3755567045"/>
    <s v="ENTRANTE"/>
    <s v="FULL"/>
    <s v="3755567045-149084856-20260506113120.mp3"/>
    <s v=""/>
    <s v="NAC-CEL"/>
    <s v="NACIONAL"/>
    <s v="PAIS-CELULAR"/>
    <n v="0"/>
    <n v="0"/>
    <n v="0"/>
    <n v="0"/>
    <s v="BL"/>
    <n v="3"/>
    <n v="744"/>
    <s v="NotSet"/>
    <n v="37"/>
    <n v="1"/>
    <n v="2489359"/>
    <s v=""/>
    <s v="|0||SIP/SERVICIOS_SIP-00002c22|1778077919.11304|16:Normal Clearing|16:PBX|23|SIP/GQ106-00002c31|-1|NotSet|"/>
    <s v=""/>
  </r>
  <r>
    <x v="2"/>
    <n v="2213175572"/>
    <x v="0"/>
    <x v="0"/>
    <x v="0"/>
    <x v="0"/>
    <x v="0"/>
    <x v="10"/>
    <s v="No"/>
    <n v="20260506"/>
    <n v="149083704"/>
    <s v="SERVICIOS_SIP"/>
    <s v="NEO1"/>
    <n v="0"/>
    <n v="0"/>
    <s v="CAMPAÑA"/>
    <n v="150"/>
    <s v="8927 - Lizarrondo, Candela"/>
    <n v="26"/>
    <s v="ANSWER"/>
    <s v="AGENT"/>
    <d v="2026-05-06T10:48:35"/>
    <d v="2026-05-06T10:48:35"/>
    <d v="2026-05-06T10:58:06"/>
    <s v="01152741410"/>
    <s v="2213175572"/>
    <s v="ENTRANTE"/>
    <s v="FULL"/>
    <s v="2213175572-149083704-20260506104835.mp3"/>
    <s v=""/>
    <s v="NAC-FIJO"/>
    <s v="BUENOS AIRES"/>
    <s v="LA PLATA"/>
    <n v="0"/>
    <n v="0"/>
    <n v="0"/>
    <n v="0"/>
    <s v="BL"/>
    <n v="3"/>
    <n v="572"/>
    <s v="NotSet"/>
    <n v="37"/>
    <n v="201"/>
    <n v="2489276"/>
    <s v=""/>
    <s v="|0||SIP/SERVICIOS_SIP-00002374|1778075353.9082|16:Normal Clearing|16:PBX|13|SIP/GQ108-00002388|-1|NotSet|"/>
    <s v=""/>
  </r>
  <r>
    <x v="2"/>
    <n v="3757513222"/>
    <x v="0"/>
    <x v="0"/>
    <x v="0"/>
    <x v="0"/>
    <x v="3"/>
    <x v="10"/>
    <s v="No"/>
    <n v="20260506"/>
    <n v="149083577"/>
    <s v="SERVICIOS_SIP"/>
    <s v="NEO1"/>
    <n v="0"/>
    <n v="0"/>
    <s v="CAMPAÑA"/>
    <n v="150"/>
    <s v="8160 - QUEVEDO, JOAHANA"/>
    <n v="5"/>
    <s v="ANSWER"/>
    <s v="AGENT"/>
    <d v="2026-05-06T10:45:27"/>
    <d v="2026-05-06T10:45:27"/>
    <d v="2026-05-06T10:59:02"/>
    <s v="01152741410"/>
    <s v="3757513222"/>
    <s v="ENTRANTE"/>
    <s v="FULL"/>
    <s v="3757513222-149083577-20260506104527.mp3"/>
    <s v=""/>
    <s v="NAC-FIJO"/>
    <s v="MISIONES"/>
    <s v="PUERTO IGUAZU"/>
    <n v="0"/>
    <n v="0"/>
    <n v="0"/>
    <n v="0"/>
    <s v="BL"/>
    <n v="3"/>
    <n v="816"/>
    <s v="NotSet"/>
    <n v="37"/>
    <n v="202"/>
    <n v="2487870"/>
    <s v=""/>
    <s v="|0||SIP/SERVICIOS_SIP-0000228b|1778075165.8849|16:Normal Clearing|16:PBX|18|SIP/GQ135-000022af|-1|NotSet|"/>
    <s v=""/>
  </r>
  <r>
    <x v="2"/>
    <n v="1134622505"/>
    <x v="0"/>
    <x v="0"/>
    <x v="0"/>
    <x v="0"/>
    <x v="0"/>
    <x v="10"/>
    <s v="No"/>
    <n v="20260506"/>
    <n v="149083569"/>
    <s v="SERVICIOS_SIP"/>
    <s v="NEO1"/>
    <n v="0"/>
    <n v="0"/>
    <s v="CAMPAÑA"/>
    <n v="150"/>
    <s v="8861 - Caceres, Martina"/>
    <n v="26"/>
    <s v="ANSWER"/>
    <s v="AGENT"/>
    <d v="2026-05-06T10:45:17"/>
    <d v="2026-05-06T10:45:17"/>
    <d v="2026-05-06T10:52:40"/>
    <s v="01152741410"/>
    <s v="1134622505"/>
    <s v="ENTRANTE"/>
    <s v="FULL"/>
    <s v="1134622505-149083569-20260506104517.mp3"/>
    <s v=""/>
    <s v="LOC-FIJO"/>
    <s v="LOCAL-FIJO"/>
    <s v="LOCAL-FIJO"/>
    <n v="0"/>
    <n v="0"/>
    <n v="0"/>
    <n v="0"/>
    <s v="BL"/>
    <n v="3"/>
    <n v="443"/>
    <s v="NotSet"/>
    <n v="37"/>
    <n v="1"/>
    <n v="2489292"/>
    <s v=""/>
    <s v="|0||SIP/SERVICIOS_SIP-0000227d|1778075155.8835|16:Normal Clearing|16:PBX|0||-1|NotSet|"/>
    <s v=""/>
  </r>
  <r>
    <x v="2"/>
    <n v="3865860842"/>
    <x v="0"/>
    <x v="0"/>
    <x v="0"/>
    <x v="0"/>
    <x v="0"/>
    <x v="0"/>
    <s v="No"/>
    <n v="20260506"/>
    <n v="149081932"/>
    <s v="SERVICIOS_SIP"/>
    <s v="NEO1"/>
    <n v="0"/>
    <n v="0"/>
    <s v="CAMPAÑA"/>
    <n v="150"/>
    <s v="8861 - Caceres, Martina"/>
    <n v="26"/>
    <s v="ANSWER"/>
    <s v="AGENT"/>
    <d v="2026-05-06T09:48:59"/>
    <d v="2026-05-06T09:48:59"/>
    <d v="2026-05-06T09:50:15"/>
    <s v="01152741410"/>
    <s v="3865860842"/>
    <s v="ENTRANTE"/>
    <s v="FULL"/>
    <s v="3865860842-149081932-20260506094858.mp3"/>
    <s v=""/>
    <s v="NAC-FIJO"/>
    <s v="TUCUMAN"/>
    <s v="CONCEPCION (PROV. TUCUMAN)"/>
    <n v="0"/>
    <n v="0"/>
    <n v="0"/>
    <n v="0"/>
    <s v="BL"/>
    <n v="3"/>
    <n v="77"/>
    <s v="NotSet"/>
    <n v="37"/>
    <n v="0"/>
    <n v="0"/>
    <s v=""/>
    <s v="|0||SIP/SERVICIOS_SIP-000015d8|1778071777.5597|16:Normal Clearing|16:PBX|11|SIP/GQ106-000015f2|-1|NotSet|"/>
    <s v=""/>
  </r>
  <r>
    <x v="2"/>
    <n v="1130819688"/>
    <x v="0"/>
    <x v="0"/>
    <x v="0"/>
    <x v="0"/>
    <x v="0"/>
    <x v="0"/>
    <s v="No"/>
    <n v="20260506"/>
    <n v="149081393"/>
    <s v="SERVICIOS_SIP"/>
    <s v="NEO1"/>
    <n v="0"/>
    <n v="0"/>
    <s v="CAMPAÑA"/>
    <n v="150"/>
    <s v="8787 - Lescano, Eugenia"/>
    <n v="26"/>
    <s v="ANSWER"/>
    <s v="AGENT"/>
    <d v="2026-05-06T09:28:59"/>
    <d v="2026-05-06T09:28:59"/>
    <d v="2026-05-06T09:36:39"/>
    <s v="01152741410"/>
    <s v="1130819688"/>
    <s v="ENTRANTE"/>
    <s v="FULL"/>
    <s v="1130819688-149081393-20260506092859.mp3"/>
    <s v=""/>
    <s v="NAC-CEL"/>
    <s v="NACIONAL"/>
    <s v="PAIS-CELULAR"/>
    <n v="0"/>
    <n v="0"/>
    <n v="0"/>
    <n v="0"/>
    <s v="BL"/>
    <n v="3"/>
    <n v="460"/>
    <s v="NotSet"/>
    <n v="37"/>
    <n v="175"/>
    <n v="2105194"/>
    <s v=""/>
    <s v="|0||SIP/SERVICIOS_SIP-000011c9|1778070578.4558|16:Normal Clearing|16:PBX|21|SIP/GQ118-000011d1|-1|NotSet|"/>
    <s v=""/>
  </r>
  <r>
    <x v="3"/>
    <n v="1177082587"/>
    <x v="0"/>
    <x v="0"/>
    <x v="0"/>
    <x v="0"/>
    <x v="1"/>
    <x v="11"/>
    <s v="No"/>
    <n v="20260507"/>
    <n v="149117916"/>
    <s v="SERVICIOS_SIP"/>
    <s v="NEO1"/>
    <n v="0"/>
    <n v="0"/>
    <s v="CAMPAÑA"/>
    <n v="150"/>
    <s v="8957 - Bustos, Juan Ignacio"/>
    <n v="27"/>
    <s v="ANSWER"/>
    <s v="AGENT"/>
    <d v="2026-05-07T20:48:18"/>
    <d v="2026-05-07T20:48:18"/>
    <d v="2026-05-07T20:54:49"/>
    <s v="01152741410"/>
    <s v="1177082587"/>
    <s v="ENTRANTE"/>
    <s v="FULL"/>
    <s v="1177082587-149117916-20260507204817.mp3"/>
    <s v=""/>
    <s v="LOC-FIJO"/>
    <s v="LOCAL-FIJO"/>
    <s v="LOCAL-FIJO"/>
    <n v="0"/>
    <n v="0"/>
    <n v="0"/>
    <n v="0"/>
    <s v="BL"/>
    <n v="3"/>
    <n v="391"/>
    <s v="NotSet"/>
    <n v="37"/>
    <n v="0"/>
    <n v="0"/>
    <s v=""/>
    <s v="|0||SIP/SERVICIOS_SIP-0004402f|1778197738.278601|16:Normal Clearing|16:PBX|14|SIP/GQ116-0004403f|-1|NotSet|"/>
    <s v=""/>
  </r>
  <r>
    <x v="3"/>
    <n v="2942660873"/>
    <x v="0"/>
    <x v="0"/>
    <x v="0"/>
    <x v="0"/>
    <x v="1"/>
    <x v="11"/>
    <s v="No"/>
    <n v="20260507"/>
    <n v="149117074"/>
    <s v="SERVICIOS_SIP"/>
    <s v="NEO1"/>
    <n v="0"/>
    <n v="0"/>
    <s v="CAMPAÑA"/>
    <n v="150"/>
    <s v="8814 - Nievas, Jimena "/>
    <n v="27"/>
    <s v="ANSWER"/>
    <s v="AGENT"/>
    <d v="2026-05-07T20:14:56"/>
    <d v="2026-05-07T20:14:56"/>
    <d v="2026-05-07T20:24:09"/>
    <s v="01152741410"/>
    <s v="2942660873"/>
    <s v="ENTRANTE"/>
    <s v="FULL"/>
    <s v="2942660873-149117074-20260507201455.mp3"/>
    <s v=""/>
    <s v="NAC-CEL"/>
    <s v="NACIONAL"/>
    <s v="PAIS-CELULAR"/>
    <n v="0"/>
    <n v="0"/>
    <n v="0"/>
    <n v="0"/>
    <s v="BL"/>
    <n v="3"/>
    <n v="553"/>
    <s v="NotSet"/>
    <n v="37"/>
    <n v="202"/>
    <n v="2491168"/>
    <s v=""/>
    <s v="|0||SIP/SERVICIOS_SIP-0003c69b|1778195736.247477|16:Normal Clearing|17:Network|5||-1|NotSet|"/>
    <s v=""/>
  </r>
  <r>
    <x v="3"/>
    <n v="2995725612"/>
    <x v="0"/>
    <x v="0"/>
    <x v="0"/>
    <x v="0"/>
    <x v="1"/>
    <x v="11"/>
    <s v="No"/>
    <n v="20260507"/>
    <n v="149117019"/>
    <s v="SERVICIOS_SIP"/>
    <s v="NEO1"/>
    <n v="0"/>
    <n v="0"/>
    <s v="CAMPAÑA"/>
    <n v="150"/>
    <s v="8864 - González, Maitena"/>
    <n v="27"/>
    <s v="ANSWER"/>
    <s v="AGENT"/>
    <d v="2026-05-07T20:12:35"/>
    <d v="2026-05-07T20:12:35"/>
    <d v="2026-05-07T20:33:59"/>
    <s v="01152741410"/>
    <s v="2995725612"/>
    <s v="ENTRANTE"/>
    <s v="FULL"/>
    <s v="2995725612-149117019-20260507201234.mp3"/>
    <s v=""/>
    <s v="NAC-CEL"/>
    <s v="NACIONAL"/>
    <s v="PAIS-CELULAR"/>
    <n v="0"/>
    <n v="0"/>
    <n v="0"/>
    <n v="0"/>
    <s v="BL"/>
    <n v="3"/>
    <n v="1285"/>
    <s v="NotSet"/>
    <n v="37"/>
    <n v="201"/>
    <n v="2485777"/>
    <s v=""/>
    <s v="|0||SIP/SERVICIOS_SIP-000393e0|1778195594.234490|16:Normal Clearing|17:Network|15||-1|NotSet|"/>
    <s v=""/>
  </r>
  <r>
    <x v="3"/>
    <n v="1159593139"/>
    <x v="0"/>
    <x v="0"/>
    <x v="0"/>
    <x v="0"/>
    <x v="1"/>
    <x v="2"/>
    <s v="No"/>
    <n v="20260507"/>
    <n v="149114603"/>
    <s v="SERVICIOS_SIP"/>
    <s v="NEO1"/>
    <n v="0"/>
    <n v="0"/>
    <s v="CAMPAÑA"/>
    <n v="150"/>
    <s v="8938 - Spertino, Exequiel"/>
    <n v="27"/>
    <s v="ANSWER"/>
    <s v="AGENT"/>
    <d v="2026-05-07T18:32:14"/>
    <d v="2026-05-07T18:32:14"/>
    <d v="2026-05-07T18:38:46"/>
    <s v="01152741410"/>
    <s v="1159593139"/>
    <s v="ENTRANTE"/>
    <s v="FULL"/>
    <s v="1159593139-149114603-20260507183214.mp3"/>
    <s v=""/>
    <s v="NAC-CEL"/>
    <s v="NACIONAL"/>
    <s v="PAIS-CELULAR"/>
    <n v="0"/>
    <n v="0"/>
    <n v="0"/>
    <n v="0"/>
    <s v="BL"/>
    <n v="3"/>
    <n v="392"/>
    <s v="NotSet"/>
    <n v="37"/>
    <n v="199"/>
    <n v="2475588"/>
    <s v=""/>
    <s v="|0||SIP/SERVICIOS_SIP-0001c569|1778189574.116096|16:Normal Clearing|16:PBX|9||-1|NotSet|"/>
    <s v=""/>
  </r>
  <r>
    <x v="3"/>
    <n v="2314536657"/>
    <x v="0"/>
    <x v="0"/>
    <x v="0"/>
    <x v="0"/>
    <x v="1"/>
    <x v="3"/>
    <s v="No"/>
    <n v="20260507"/>
    <n v="149113140"/>
    <s v="SERVICIOS_SIP"/>
    <s v="NEO1"/>
    <n v="0"/>
    <n v="0"/>
    <s v="CAMPAÑA"/>
    <n v="150"/>
    <s v="8864 - González, Maitena"/>
    <n v="27"/>
    <s v="ANSWER"/>
    <s v="AGENT"/>
    <d v="2026-05-07T17:30:28"/>
    <d v="2026-05-07T17:30:28"/>
    <d v="2026-05-07T17:51:51"/>
    <s v="01152741410"/>
    <s v="2314536657"/>
    <s v="ENTRANTE"/>
    <s v="FULL"/>
    <s v="2314536657-149113140-20260507173028.mp3"/>
    <s v=""/>
    <s v="NAC-CEL"/>
    <s v="NACIONAL"/>
    <s v="PAIS-CELULAR"/>
    <n v="0"/>
    <n v="0"/>
    <n v="0"/>
    <n v="0"/>
    <s v="BL"/>
    <n v="3"/>
    <n v="1283"/>
    <s v="NotSet"/>
    <n v="37"/>
    <n v="199"/>
    <n v="2468615"/>
    <s v=""/>
    <s v="|0||SIP/SERVICIOS_SIP-0001b89f|1778185868.112822|16:Normal Clearing|16:PBX|18||-1|NotSet|"/>
    <s v=""/>
  </r>
  <r>
    <x v="3"/>
    <n v="3537447749"/>
    <x v="0"/>
    <x v="0"/>
    <x v="0"/>
    <x v="0"/>
    <x v="1"/>
    <x v="5"/>
    <s v="No"/>
    <n v="20260507"/>
    <n v="149110561"/>
    <s v="SERVICIOS_SIP"/>
    <s v="NEO1"/>
    <n v="0"/>
    <n v="0"/>
    <s v="CAMPAÑA"/>
    <n v="150"/>
    <s v="8814 - Nievas, Jimena "/>
    <n v="27"/>
    <s v="ANSWER"/>
    <s v="AGENT"/>
    <d v="2026-05-07T15:54:40"/>
    <d v="2026-05-07T15:54:40"/>
    <d v="2026-05-07T16:10:07"/>
    <s v="01152741410"/>
    <s v="3537447749"/>
    <s v="ENTRANTE"/>
    <s v="FULL"/>
    <s v="3537447749-149110561-20260507155439.mp3"/>
    <s v=""/>
    <s v="NAC-CEL"/>
    <s v="NACIONAL"/>
    <s v="PAIS-CELULAR"/>
    <n v="0"/>
    <n v="0"/>
    <n v="0"/>
    <n v="0"/>
    <s v="BL"/>
    <n v="3"/>
    <n v="928"/>
    <s v="NotSet"/>
    <n v="37"/>
    <n v="201"/>
    <n v="2490786"/>
    <s v=""/>
    <s v="|0||SIP/SERVICIOS_SIP-0001a33f|1778180120.107348|16:Normal Clearing|16:PBX|1|SIP/GQ102-0001a365|-1|NotSet|"/>
    <s v=""/>
  </r>
  <r>
    <x v="3"/>
    <n v="2914298801"/>
    <x v="0"/>
    <x v="0"/>
    <x v="0"/>
    <x v="0"/>
    <x v="1"/>
    <x v="5"/>
    <s v="No"/>
    <n v="20260507"/>
    <n v="149110396"/>
    <s v="SERVICIOS_SIP"/>
    <s v="NEO1"/>
    <n v="0"/>
    <n v="0"/>
    <s v="CAMPAÑA"/>
    <n v="150"/>
    <s v="8864 - González, Maitena"/>
    <n v="27"/>
    <s v="ANSWER"/>
    <s v="AGENT"/>
    <d v="2026-05-07T15:50:17"/>
    <d v="2026-05-07T15:50:17"/>
    <d v="2026-05-07T16:12:38"/>
    <s v="01152741410"/>
    <s v="2914298801"/>
    <s v="ENTRANTE"/>
    <s v="FULL"/>
    <s v="2914298801-149110396-20260507155017.mp3"/>
    <s v=""/>
    <s v="NAC-CEL"/>
    <s v="NACIONAL"/>
    <s v="PAIS-CELULAR"/>
    <n v="0"/>
    <n v="0"/>
    <n v="0"/>
    <n v="0"/>
    <s v="BL"/>
    <n v="3"/>
    <n v="1341"/>
    <s v="NotSet"/>
    <n v="37"/>
    <n v="201"/>
    <n v="2489725"/>
    <s v=""/>
    <s v="|0||SIP/SERVICIOS_SIP-0001a202|1778179857.107031|16:Normal Clearing|17:Network|15||-1|NotSet|"/>
    <s v=""/>
  </r>
  <r>
    <x v="3"/>
    <n v="1168574429"/>
    <x v="0"/>
    <x v="0"/>
    <x v="0"/>
    <x v="0"/>
    <x v="0"/>
    <x v="6"/>
    <s v="No"/>
    <n v="20260507"/>
    <n v="149108546"/>
    <s v="SERVICIOS_SIP"/>
    <s v="NEO1"/>
    <n v="0"/>
    <n v="0"/>
    <s v="CAMPAÑA"/>
    <n v="150"/>
    <s v="8861 - Caceres, Martina"/>
    <n v="26"/>
    <s v="ANSWER"/>
    <s v="AGENT"/>
    <d v="2026-05-07T14:42:15"/>
    <d v="2026-05-07T14:42:16"/>
    <d v="2026-05-07T14:44:05"/>
    <s v="01152741410"/>
    <s v="1168574429"/>
    <s v="ENTRANTE"/>
    <s v="FULL"/>
    <s v="1168574429-149108546-20260507144215.mp3"/>
    <s v=""/>
    <s v="NAC-CEL"/>
    <s v="NACIONAL"/>
    <s v="PAIS-CELULAR"/>
    <n v="0"/>
    <n v="0"/>
    <n v="0"/>
    <n v="0"/>
    <s v="BL"/>
    <n v="3"/>
    <n v="110"/>
    <s v="NotSet"/>
    <n v="37"/>
    <n v="1"/>
    <n v="2490874"/>
    <s v=""/>
    <s v="|0||SIP/SERVICIOS_SIP-000192e0|1778175776.103155|16:Normal Clearing|17:Network|12||-1|NotSet|"/>
    <s v=""/>
  </r>
  <r>
    <x v="3"/>
    <n v="1165511555"/>
    <x v="0"/>
    <x v="0"/>
    <x v="0"/>
    <x v="0"/>
    <x v="0"/>
    <x v="8"/>
    <s v="No"/>
    <n v="20260507"/>
    <n v="149105737"/>
    <s v="SERVICIOS_SIP"/>
    <s v="NEO1"/>
    <n v="0"/>
    <n v="0"/>
    <s v="CAMPAÑA"/>
    <n v="150"/>
    <s v="8160 - QUEVEDO, JOAHANA"/>
    <n v="26"/>
    <s v="ANSWER"/>
    <s v="AGENT"/>
    <d v="2026-05-07T12:54:27"/>
    <d v="2026-05-07T12:54:27"/>
    <d v="2026-05-07T12:58:35"/>
    <s v="01152741410"/>
    <s v="1165511555"/>
    <s v="ENTRANTE"/>
    <s v="FULL"/>
    <s v="1165511555-149105737-20260507125426.mp3"/>
    <s v=""/>
    <s v="NAC-CEL"/>
    <s v="NACIONAL"/>
    <s v="PAIS-CELULAR"/>
    <n v="0"/>
    <n v="0"/>
    <n v="0"/>
    <n v="0"/>
    <s v="BL"/>
    <n v="3"/>
    <n v="249"/>
    <s v="NotSet"/>
    <n v="37"/>
    <n v="116"/>
    <n v="1282169"/>
    <s v=""/>
    <s v="|0||SIP/SERVICIOS_SIP-00004b17|1778169307.19242|16:Normal Clearing|17:Network|8||-1|NotSet|"/>
    <s v=""/>
  </r>
  <r>
    <x v="3"/>
    <n v="2494510024"/>
    <x v="0"/>
    <x v="0"/>
    <x v="0"/>
    <x v="0"/>
    <x v="0"/>
    <x v="8"/>
    <s v="No"/>
    <n v="20260507"/>
    <n v="149105418"/>
    <s v="SERVICIOS_SIP"/>
    <s v="NEO1"/>
    <n v="0"/>
    <n v="0"/>
    <s v="CAMPAÑA"/>
    <n v="150"/>
    <s v="8160 - QUEVEDO, JOAHANA"/>
    <n v="26"/>
    <s v="ANSWER"/>
    <s v="AGENT"/>
    <d v="2026-05-07T12:41:41"/>
    <d v="2026-05-07T12:41:41"/>
    <d v="2026-05-07T12:54:18"/>
    <s v="01152741410"/>
    <s v="2494510024"/>
    <s v="ENTRANTE"/>
    <s v="FULL"/>
    <s v="2494510024-149105418-20260507124141.mp3"/>
    <s v=""/>
    <s v="NAC-CEL"/>
    <s v="NACIONAL"/>
    <s v="PAIS-CELULAR"/>
    <n v="0"/>
    <n v="0"/>
    <n v="0"/>
    <n v="0"/>
    <s v="BL"/>
    <n v="3"/>
    <n v="758"/>
    <s v="NotSet"/>
    <n v="37"/>
    <n v="1"/>
    <n v="2490770"/>
    <s v=""/>
    <s v="|0||SIP/SERVICIOS_SIP-00004863|1778168542.18550|16:Normal Clearing|17:Network|14||-1|NotSet|"/>
    <s v=""/>
  </r>
  <r>
    <x v="3"/>
    <n v="3815764161"/>
    <x v="0"/>
    <x v="0"/>
    <x v="0"/>
    <x v="0"/>
    <x v="0"/>
    <x v="9"/>
    <s v="No"/>
    <n v="20260507"/>
    <n v="149103634"/>
    <s v="SERVICIOS_SIP"/>
    <s v="NEO1"/>
    <n v="0"/>
    <n v="0"/>
    <s v="CAMPAÑA"/>
    <n v="150"/>
    <s v="8861 - Caceres, Martina"/>
    <n v="26"/>
    <s v="ANSWER"/>
    <s v="AGENT"/>
    <d v="2026-05-07T11:40:21"/>
    <d v="2026-05-07T11:40:21"/>
    <d v="2026-05-07T11:48:33"/>
    <s v="01152741410"/>
    <s v="3815764161"/>
    <s v="ENTRANTE"/>
    <s v="FULL"/>
    <s v="3815764161-149103634-20260507114021.mp3"/>
    <s v=""/>
    <s v="NAC-CEL"/>
    <s v="NACIONAL"/>
    <s v="PAIS-CELULAR"/>
    <n v="0"/>
    <n v="0"/>
    <n v="0"/>
    <n v="0"/>
    <s v="BL"/>
    <n v="3"/>
    <n v="492"/>
    <s v="NotSet"/>
    <n v="37"/>
    <n v="1"/>
    <n v="2490707"/>
    <s v=""/>
    <s v="|0||SIP/SERVICIOS_SIP-00003a4d|1778164862.14943|16:Normal Clearing|16:PBX|9||-1|NotSet|"/>
    <s v=""/>
  </r>
  <r>
    <x v="3"/>
    <n v="1159580337"/>
    <x v="0"/>
    <x v="0"/>
    <x v="0"/>
    <x v="0"/>
    <x v="0"/>
    <x v="9"/>
    <s v="No"/>
    <n v="20260507"/>
    <n v="149102553"/>
    <s v="SERVICIOS_SIP"/>
    <s v="NEO1"/>
    <n v="0"/>
    <n v="0"/>
    <s v="CAMPAÑA"/>
    <n v="150"/>
    <s v="8861 - Caceres, Martina"/>
    <n v="26"/>
    <s v="ANSWER"/>
    <s v="AGENT"/>
    <d v="2026-05-07T11:06:21"/>
    <d v="2026-05-07T11:06:21"/>
    <d v="2026-05-07T11:16:50"/>
    <s v="01152741410"/>
    <s v="1159580337"/>
    <s v="ENTRANTE"/>
    <s v="FULL"/>
    <s v="1159580337-149102553-20260507110621.mp3"/>
    <s v=""/>
    <s v="NAC-CEL"/>
    <s v="NACIONAL"/>
    <s v="PAIS-CELULAR"/>
    <n v="0"/>
    <n v="0"/>
    <n v="0"/>
    <n v="0"/>
    <s v="BL"/>
    <n v="3"/>
    <n v="629"/>
    <s v="NotSet"/>
    <n v="37"/>
    <n v="198"/>
    <n v="2481269"/>
    <s v=""/>
    <s v="|0||SIP/SERVICIOS_SIP-000031d4|1778162822.12774|16:Normal Clearing|16:PBX|25|SIP/GQ106-000031dc|-1|NotSet|"/>
    <s v=""/>
  </r>
  <r>
    <x v="3"/>
    <n v="1125317015"/>
    <x v="0"/>
    <x v="0"/>
    <x v="0"/>
    <x v="0"/>
    <x v="0"/>
    <x v="10"/>
    <s v="No"/>
    <n v="20260507"/>
    <n v="149102348"/>
    <s v="SERVICIOS_SIP"/>
    <s v="NEO1"/>
    <n v="0"/>
    <n v="0"/>
    <s v="CAMPAÑA"/>
    <n v="150"/>
    <s v="8927 - Lizarrondo, Candela"/>
    <n v="26"/>
    <s v="ANSWER"/>
    <s v="AGENT"/>
    <d v="2026-05-07T10:56:38"/>
    <d v="2026-05-07T10:56:38"/>
    <d v="2026-05-07T10:58:21"/>
    <s v="01152741410"/>
    <s v="1125317015"/>
    <s v="ENTRANTE"/>
    <s v="FULL"/>
    <s v="1125317015-149102348-20260507105637.mp3"/>
    <s v=""/>
    <s v="LOC-FIJO"/>
    <s v="LOCAL-FIJO"/>
    <s v="LOCAL-FIJO"/>
    <n v="0"/>
    <n v="0"/>
    <n v="0"/>
    <n v="0"/>
    <s v="BL"/>
    <n v="3"/>
    <n v="104"/>
    <s v="NotSet"/>
    <n v="37"/>
    <n v="1"/>
    <n v="2490642"/>
    <s v=""/>
    <s v="|0||SIP/SERVICIOS_SIP-00003009|1778162239.12315|16:Normal Clearing|17:Network|9||-1|NotSet|"/>
    <s v=""/>
  </r>
  <r>
    <x v="3"/>
    <n v="3884536454"/>
    <x v="0"/>
    <x v="0"/>
    <x v="0"/>
    <x v="0"/>
    <x v="0"/>
    <x v="10"/>
    <s v="No"/>
    <n v="20260507"/>
    <n v="149102088"/>
    <s v="SERVICIOS_SIP"/>
    <s v="NEO1"/>
    <n v="0"/>
    <n v="0"/>
    <s v="CAMPAÑA"/>
    <n v="150"/>
    <s v="8160 - QUEVEDO, JOAHANA"/>
    <n v="26"/>
    <s v="ANSWER"/>
    <s v="AGENT"/>
    <d v="2026-05-07T10:49:10"/>
    <d v="2026-05-07T10:49:10"/>
    <d v="2026-05-07T11:03:39"/>
    <s v="01152741410"/>
    <s v="3884536454"/>
    <s v="ENTRANTE"/>
    <s v="FULL"/>
    <s v="3884536454-149102088-20260507104909.mp3"/>
    <s v=""/>
    <s v="NAC-FIJO"/>
    <s v="JUJUY"/>
    <s v="SAN PEDRO (PROV. JUJUY)"/>
    <n v="0"/>
    <n v="0"/>
    <n v="0"/>
    <n v="0"/>
    <s v="BL"/>
    <n v="3"/>
    <n v="870"/>
    <s v="NotSet"/>
    <n v="37"/>
    <n v="201"/>
    <n v="2488938"/>
    <s v=""/>
    <s v="|0||SIP/SERVICIOS_SIP-00002e0d|1778161790.11807|16:Normal Clearing|17:Network|7||-1|NotSet|"/>
    <s v=""/>
  </r>
  <r>
    <x v="3"/>
    <n v="1127475585"/>
    <x v="0"/>
    <x v="0"/>
    <x v="0"/>
    <x v="0"/>
    <x v="0"/>
    <x v="10"/>
    <s v="No"/>
    <n v="20260507"/>
    <n v="149101732"/>
    <s v="SERVICIOS_SIP"/>
    <s v="NEO1"/>
    <n v="0"/>
    <n v="0"/>
    <s v="CAMPAÑA"/>
    <n v="150"/>
    <s v="8861 - Caceres, Martina"/>
    <n v="26"/>
    <s v="ANSWER"/>
    <s v="AGENT"/>
    <d v="2026-05-07T10:37:17"/>
    <d v="2026-05-07T10:37:17"/>
    <d v="2026-05-07T10:48:50"/>
    <s v="01152741410"/>
    <s v="1127475585"/>
    <s v="ENTRANTE"/>
    <s v="FULL"/>
    <s v="1127475585-149101732-20260507103716.mp3"/>
    <s v=""/>
    <s v="LOC-FIJO"/>
    <s v="LOCAL-FIJO"/>
    <s v="LOCAL-FIJO"/>
    <n v="0"/>
    <n v="0"/>
    <n v="0"/>
    <n v="0"/>
    <s v="BL"/>
    <n v="3"/>
    <n v="694"/>
    <s v="NotSet"/>
    <n v="37"/>
    <n v="201"/>
    <n v="2490610"/>
    <s v=""/>
    <s v="|0||SIP/SERVICIOS_SIP-00002b4e|1778161082.11104|16:Normal Clearing|16:PBX|23|SIP/GQ106-00002b5b|-1|NotSet|"/>
    <s v=""/>
  </r>
  <r>
    <x v="3"/>
    <n v="2964554250"/>
    <x v="0"/>
    <x v="0"/>
    <x v="0"/>
    <x v="0"/>
    <x v="0"/>
    <x v="10"/>
    <s v="No"/>
    <n v="20260507"/>
    <n v="149100942"/>
    <s v="SERVICIOS_SIP"/>
    <s v="NEO1"/>
    <n v="0"/>
    <n v="0"/>
    <s v="CAMPAÑA"/>
    <n v="150"/>
    <s v="8787 - Lescano, Eugenia"/>
    <n v="26"/>
    <s v="ANSWER"/>
    <s v="AGENT"/>
    <d v="2026-05-07T10:06:55"/>
    <d v="2026-05-07T10:06:55"/>
    <d v="2026-05-07T10:13:22"/>
    <s v="01152741410"/>
    <s v="2964554250"/>
    <s v="ENTRANTE"/>
    <s v="FULL"/>
    <s v="2964554250-149100942-20260507100654.mp3"/>
    <s v=""/>
    <s v="NAC-CEL"/>
    <s v="NACIONAL"/>
    <s v="PAIS-CELULAR"/>
    <n v="0"/>
    <n v="0"/>
    <n v="0"/>
    <n v="0"/>
    <s v="BL"/>
    <n v="3"/>
    <n v="388"/>
    <s v="NotSet"/>
    <n v="37"/>
    <n v="193"/>
    <n v="2357211"/>
    <s v=""/>
    <s v="|0||SIP/SERVICIOS_SIP-0000240d|1778159258.9247|16:Normal Clearing|16:PBX|13||-1|NotSet|"/>
    <s v=""/>
  </r>
  <r>
    <x v="3"/>
    <n v="2966224201"/>
    <x v="0"/>
    <x v="0"/>
    <x v="0"/>
    <x v="0"/>
    <x v="0"/>
    <x v="0"/>
    <s v="No"/>
    <n v="20260507"/>
    <n v="149100648"/>
    <s v="SERVICIOS_SIP"/>
    <s v="NEO1"/>
    <n v="0"/>
    <n v="0"/>
    <s v="CAMPAÑA"/>
    <n v="150"/>
    <s v="8160 - QUEVEDO, JOAHANA"/>
    <n v="26"/>
    <s v="ANSWER"/>
    <s v="AGENT"/>
    <d v="2026-05-07T09:54:26"/>
    <d v="2026-05-07T09:54:27"/>
    <d v="2026-05-07T09:55:53"/>
    <s v="01152741410"/>
    <s v="2966224201"/>
    <s v="ENTRANTE"/>
    <s v="FULL"/>
    <s v="2966224201-149100648-20260507095426.mp3"/>
    <s v=""/>
    <s v="NAC-CEL"/>
    <s v="NACIONAL"/>
    <s v="PAIS-CELULAR"/>
    <n v="0"/>
    <n v="0"/>
    <n v="0"/>
    <n v="0"/>
    <s v="BL"/>
    <n v="3"/>
    <n v="87"/>
    <s v="NotSet"/>
    <n v="37"/>
    <n v="1"/>
    <n v="2490549"/>
    <s v=""/>
    <s v="|0||SIP/SERVICIOS_SIP-00002187|1778158509.8601|16:Normal Clearing|17:Network|22||-1|NotSet|"/>
    <s v=""/>
  </r>
  <r>
    <x v="3"/>
    <n v="1138761240"/>
    <x v="0"/>
    <x v="0"/>
    <x v="0"/>
    <x v="0"/>
    <x v="0"/>
    <x v="0"/>
    <s v="No"/>
    <n v="20260507"/>
    <n v="149100472"/>
    <s v="SERVICIOS_SIP"/>
    <s v="NEO1"/>
    <n v="0"/>
    <n v="0"/>
    <s v="CAMPAÑA"/>
    <n v="150"/>
    <s v="8861 - Caceres, Martina"/>
    <n v="26"/>
    <s v="ANSWER"/>
    <s v="AGENT"/>
    <d v="2026-05-07T09:48:11"/>
    <d v="2026-05-07T09:48:12"/>
    <d v="2026-05-07T10:06:35"/>
    <s v="01152741410"/>
    <s v="1138761240"/>
    <s v="ENTRANTE"/>
    <s v="FULL"/>
    <s v="1138761240-149100472-20260507094811.mp3"/>
    <s v=""/>
    <s v="LOC-FIJO"/>
    <s v="LOCAL-FIJO"/>
    <s v="LOCAL-FIJO"/>
    <n v="0"/>
    <n v="0"/>
    <n v="0"/>
    <n v="0"/>
    <s v="BL"/>
    <n v="3"/>
    <n v="1104"/>
    <s v="NotSet"/>
    <n v="37"/>
    <n v="201"/>
    <n v="2489807"/>
    <s v=""/>
    <s v="|0||SIP/SERVICIOS_SIP-00002014|1778158134.8230|16:Normal Clearing|16:PBX|19|SIP/GQ106-00002021|-1|NotSet|"/>
    <s v=""/>
  </r>
  <r>
    <x v="3"/>
    <n v="3517389670"/>
    <x v="0"/>
    <x v="0"/>
    <x v="0"/>
    <x v="0"/>
    <x v="0"/>
    <x v="0"/>
    <s v="No"/>
    <n v="20260507"/>
    <n v="149100001"/>
    <s v="SERVICIOS_SIP"/>
    <s v="NEO1"/>
    <n v="0"/>
    <n v="0"/>
    <s v="CAMPAÑA"/>
    <n v="150"/>
    <s v="8861 - Caceres, Martina"/>
    <n v="26"/>
    <s v="ANSWER"/>
    <s v="AGENT"/>
    <d v="2026-05-07T09:34:03"/>
    <d v="2026-05-07T09:34:03"/>
    <d v="2026-05-07T09:34:21"/>
    <s v="01152741410"/>
    <s v="3517389670"/>
    <s v="ENTRANTE"/>
    <s v="FULL"/>
    <s v="3517389670-149100001-20260507093402.mp3"/>
    <s v=""/>
    <s v="NAC-FIJO"/>
    <s v="CORDOBA"/>
    <s v="CORDOBA"/>
    <n v="0"/>
    <n v="0"/>
    <n v="0"/>
    <n v="0"/>
    <s v="BL"/>
    <n v="3"/>
    <n v="19"/>
    <s v="NotSet"/>
    <n v="37"/>
    <n v="0"/>
    <n v="0"/>
    <s v=""/>
    <s v="|0||SIP/SERVICIOS_SIP-00001c50|1778157284.7266|16:Normal Clearing|17:Network|9||-1|NotSet|"/>
    <s v=""/>
  </r>
  <r>
    <x v="4"/>
    <n v="2266660929"/>
    <x v="0"/>
    <x v="0"/>
    <x v="0"/>
    <x v="0"/>
    <x v="1"/>
    <x v="3"/>
    <s v="No"/>
    <n v="20260508"/>
    <n v="149134002"/>
    <s v="SERVICIOS_SIP"/>
    <s v="NEO1"/>
    <n v="0"/>
    <n v="0"/>
    <s v="CAMPAÑA"/>
    <n v="150"/>
    <s v="8864 - González, Maitena"/>
    <n v="27"/>
    <s v="ANSWER"/>
    <s v="AGENT"/>
    <d v="2026-05-08T17:23:59"/>
    <d v="2026-05-08T17:23:59"/>
    <d v="2026-05-08T17:29:12"/>
    <s v="01152741410"/>
    <s v="2266660929"/>
    <s v="ENTRANTE"/>
    <s v="FULL"/>
    <s v="2266660929-149134002-20260508172358.mp3"/>
    <s v=""/>
    <s v="NAC-CEL"/>
    <s v="NACIONAL"/>
    <s v="PAIS-CELULAR"/>
    <n v="0"/>
    <n v="0"/>
    <n v="0"/>
    <n v="0"/>
    <s v="BL"/>
    <n v="3"/>
    <n v="314"/>
    <s v="NotSet"/>
    <n v="37"/>
    <n v="1"/>
    <n v="2492101"/>
    <s v=""/>
    <s v="|0||SIP/SERVICIOS_SIP-0003a67c|1778271881.239240|16:Normal Clearing|17:Network|16||-1|NotSet|"/>
    <s v=""/>
  </r>
  <r>
    <x v="4"/>
    <n v="3413013160"/>
    <x v="0"/>
    <x v="0"/>
    <x v="0"/>
    <x v="0"/>
    <x v="1"/>
    <x v="4"/>
    <s v="No"/>
    <n v="20260508"/>
    <n v="149132293"/>
    <s v="SERVICIOS_SIP"/>
    <s v="NEO1"/>
    <n v="0"/>
    <n v="0"/>
    <s v="CAMPAÑA"/>
    <n v="150"/>
    <s v="8864 - González, Maitena"/>
    <n v="27"/>
    <s v="ANSWER"/>
    <s v="AGENT"/>
    <d v="2026-05-08T16:17:16"/>
    <d v="2026-05-08T16:17:17"/>
    <d v="2026-05-08T16:21:29"/>
    <s v="01152741410"/>
    <s v="3413013160"/>
    <s v="ENTRANTE"/>
    <s v="FULL"/>
    <s v="3413013160-149132293-20260508161716.mp3"/>
    <s v=""/>
    <s v="NAC-CEL"/>
    <s v="NACIONAL"/>
    <s v="PAIS-CELULAR"/>
    <n v="0"/>
    <n v="0"/>
    <n v="0"/>
    <n v="0"/>
    <s v="BL"/>
    <n v="3"/>
    <n v="252"/>
    <s v="NotSet"/>
    <n v="37"/>
    <n v="201"/>
    <n v="2489865"/>
    <s v=""/>
    <s v="|0||SIP/SERVICIOS_SIP-00039797|1778267879.235427|16:Normal Clearing|17:Network|14||-1|NotSet|"/>
    <s v=""/>
  </r>
  <r>
    <x v="4"/>
    <n v="2914318340"/>
    <x v="0"/>
    <x v="0"/>
    <x v="0"/>
    <x v="0"/>
    <x v="1"/>
    <x v="5"/>
    <s v="No"/>
    <n v="20260508"/>
    <n v="149131541"/>
    <s v="SERVICIOS_SIP"/>
    <s v="NEO1"/>
    <n v="0"/>
    <n v="0"/>
    <s v="CAMPAÑA"/>
    <n v="150"/>
    <s v="8864 - González, Maitena"/>
    <n v="27"/>
    <s v="ANSWER"/>
    <s v="AGENT"/>
    <d v="2026-05-08T15:51:40"/>
    <d v="2026-05-08T15:51:40"/>
    <d v="2026-05-08T15:58:37"/>
    <s v="01152741410"/>
    <s v="2914318340"/>
    <s v="ENTRANTE"/>
    <s v="FULL"/>
    <s v="2914318340-149131541-20260508155139.mp3"/>
    <s v=""/>
    <s v="NAC-CEL"/>
    <s v="NACIONAL"/>
    <s v="PAIS-CELULAR"/>
    <n v="0"/>
    <n v="0"/>
    <n v="0"/>
    <n v="0"/>
    <s v="BL"/>
    <n v="3"/>
    <n v="418"/>
    <s v="NotSet"/>
    <n v="37"/>
    <n v="130"/>
    <n v="1091233"/>
    <s v=""/>
    <s v="|0||SIP/SERVICIOS_SIP-000391ea|1778266342.233974|16:Normal Clearing|17:Network|18||-1|NotSet|"/>
    <s v=""/>
  </r>
  <r>
    <x v="4"/>
    <n v="3731402489"/>
    <x v="0"/>
    <x v="0"/>
    <x v="0"/>
    <x v="0"/>
    <x v="1"/>
    <x v="5"/>
    <s v="No"/>
    <n v="20260508"/>
    <n v="149130681"/>
    <s v="SERVICIOS_SIP"/>
    <s v="NEO1"/>
    <n v="0"/>
    <n v="0"/>
    <s v="CAMPAÑA"/>
    <n v="150"/>
    <s v="8864 - González, Maitena"/>
    <n v="27"/>
    <s v="ANSWER"/>
    <s v="AGENT"/>
    <d v="2026-05-08T15:19:17"/>
    <d v="2026-05-08T15:19:17"/>
    <d v="2026-05-08T15:26:11"/>
    <s v="01152741410"/>
    <s v="3731402489"/>
    <s v="ENTRANTE"/>
    <s v="FULL"/>
    <s v="3731402489-149130681-20260508151917.mp3"/>
    <s v=""/>
    <s v="NAC-CEL"/>
    <s v="NACIONAL"/>
    <s v="PAIS-CELULAR"/>
    <n v="0"/>
    <n v="0"/>
    <n v="0"/>
    <n v="0"/>
    <s v="BL"/>
    <n v="3"/>
    <n v="415"/>
    <s v="NotSet"/>
    <n v="37"/>
    <n v="1"/>
    <n v="2491980"/>
    <s v=""/>
    <s v="|0||SIP/SERVICIOS_SIP-00038b5f|1778264400.232299|16:Normal Clearing|17:Network|2||-1|NotSet|"/>
    <s v=""/>
  </r>
  <r>
    <x v="4"/>
    <n v="1147783149"/>
    <x v="0"/>
    <x v="0"/>
    <x v="0"/>
    <x v="0"/>
    <x v="0"/>
    <x v="6"/>
    <s v="No"/>
    <n v="20260508"/>
    <n v="149130016"/>
    <s v="SERVICIOS_SIP"/>
    <s v="NEO1"/>
    <n v="0"/>
    <n v="0"/>
    <s v="CAMPAÑA"/>
    <n v="150"/>
    <s v="8861 - Caceres, Martina"/>
    <n v="26"/>
    <s v="ANSWER"/>
    <s v="AGENT"/>
    <d v="2026-05-08T14:45:36"/>
    <d v="2026-05-08T14:45:36"/>
    <d v="2026-05-08T14:54:34"/>
    <s v="01152741410"/>
    <s v="1147783149"/>
    <s v="ENTRANTE"/>
    <s v="FULL"/>
    <s v="1147783149-149130016-20260508144535.mp3"/>
    <s v=""/>
    <s v="LOC-FIJO"/>
    <s v="LOCAL-FIJO"/>
    <s v="LOCAL-FIJO"/>
    <n v="0"/>
    <n v="0"/>
    <n v="0"/>
    <n v="0"/>
    <s v="BL"/>
    <n v="3"/>
    <n v="538"/>
    <s v="NotSet"/>
    <n v="37"/>
    <n v="1"/>
    <n v="2491947"/>
    <s v=""/>
    <s v="|0||SIP/SERVICIOS_SIP-0003860b|1778262378.230934|16:Normal Clearing|16:PBX|15|SIP/GQ106-00038615|-1|NotSet|"/>
    <s v=""/>
  </r>
  <r>
    <x v="4"/>
    <n v="1150992454"/>
    <x v="0"/>
    <x v="0"/>
    <x v="0"/>
    <x v="0"/>
    <x v="0"/>
    <x v="6"/>
    <s v="No"/>
    <n v="20260508"/>
    <n v="149128910"/>
    <s v="SERVICIOS_SIP"/>
    <s v="NEO1"/>
    <n v="0"/>
    <n v="0"/>
    <s v="CAMPAÑA"/>
    <n v="150"/>
    <s v="8160 - QUEVEDO, JOAHANA"/>
    <n v="26"/>
    <s v="ANSWER"/>
    <s v="AGENT"/>
    <d v="2026-05-08T14:00:57"/>
    <d v="2026-05-08T14:00:57"/>
    <d v="2026-05-08T14:02:00"/>
    <s v="01152741410"/>
    <s v="1150992454"/>
    <s v="ENTRANTE"/>
    <s v="FULL"/>
    <s v="1150992454-149128910-20260508140056.mp3"/>
    <s v=""/>
    <s v="NAC-CEL"/>
    <s v="NACIONAL"/>
    <s v="PAIS-CELULAR"/>
    <n v="0"/>
    <n v="0"/>
    <n v="0"/>
    <n v="0"/>
    <s v="BL"/>
    <n v="3"/>
    <n v="64"/>
    <s v="NotSet"/>
    <n v="37"/>
    <n v="1"/>
    <n v="2483621"/>
    <s v="Apr 30 2026  6:56PM"/>
    <s v="|0||SIP/SERVICIOS_SIP-00037d8d|1778259699.228760|16:Normal Clearing|17:Network|6||-1|NotSet|"/>
    <s v=""/>
  </r>
  <r>
    <x v="4"/>
    <n v="1163095554"/>
    <x v="0"/>
    <x v="0"/>
    <x v="0"/>
    <x v="0"/>
    <x v="0"/>
    <x v="7"/>
    <s v="No"/>
    <n v="20260508"/>
    <n v="149128687"/>
    <s v="SERVICIOS_SIP"/>
    <s v="NEO1"/>
    <n v="0"/>
    <n v="0"/>
    <s v="CAMPAÑA"/>
    <n v="150"/>
    <s v="8927 - Lizarrondo, Candela"/>
    <n v="26"/>
    <s v="ANSWER"/>
    <s v="AGENT"/>
    <d v="2026-05-08T13:52:36"/>
    <d v="2026-05-08T13:52:36"/>
    <d v="2026-05-08T13:53:28"/>
    <s v="01152741410"/>
    <s v="1163095554"/>
    <s v="ENTRANTE"/>
    <s v="FULL"/>
    <s v="1163095554-149128687-20260508135235.mp3"/>
    <s v=""/>
    <s v="NAC-CEL"/>
    <s v="NACIONAL"/>
    <s v="PAIS-CELULAR"/>
    <n v="0"/>
    <n v="0"/>
    <n v="0"/>
    <n v="0"/>
    <s v="BL"/>
    <n v="3"/>
    <n v="53"/>
    <s v="NotSet"/>
    <n v="37"/>
    <n v="0"/>
    <n v="0"/>
    <s v=""/>
    <s v="|0||SIP/SERVICIOS_SIP-00037bdf|1778259199.228330|16:Normal Clearing|16:PBX|8||-1|NotSet|"/>
    <s v=""/>
  </r>
  <r>
    <x v="4"/>
    <n v="2984508106"/>
    <x v="0"/>
    <x v="0"/>
    <x v="0"/>
    <x v="0"/>
    <x v="0"/>
    <x v="7"/>
    <s v="No"/>
    <n v="20260508"/>
    <n v="149128679"/>
    <s v="SERVICIOS_SIP"/>
    <s v="NEO1"/>
    <n v="0"/>
    <n v="0"/>
    <s v="CAMPAÑA"/>
    <n v="150"/>
    <s v="8160 - QUEVEDO, JOAHANA"/>
    <n v="26"/>
    <s v="ANSWER"/>
    <s v="AGENT"/>
    <d v="2026-05-08T13:52:11"/>
    <d v="2026-05-08T13:52:11"/>
    <d v="2026-05-08T14:00:37"/>
    <s v="01152741410"/>
    <s v="2984508106"/>
    <s v="ENTRANTE"/>
    <s v="FULL"/>
    <s v="2984508106-149128679-20260508135211.mp3"/>
    <s v=""/>
    <s v="NAC-CEL"/>
    <s v="NACIONAL"/>
    <s v="PAIS-CELULAR"/>
    <n v="0"/>
    <n v="0"/>
    <n v="0"/>
    <n v="0"/>
    <s v="BL"/>
    <n v="3"/>
    <n v="507"/>
    <s v="NotSet"/>
    <n v="37"/>
    <n v="1"/>
    <n v="2491867"/>
    <s v=""/>
    <s v="|0||SIP/SERVICIOS_SIP-00037bca|1778259174.228309|16:Normal Clearing|17:Network|15||-1|NotSet|"/>
    <s v=""/>
  </r>
  <r>
    <x v="4"/>
    <n v="2241416864"/>
    <x v="0"/>
    <x v="0"/>
    <x v="0"/>
    <x v="0"/>
    <x v="0"/>
    <x v="7"/>
    <s v="No"/>
    <n v="20260508"/>
    <n v="149128330"/>
    <s v="SERVICIOS_SIP"/>
    <s v="NEO1"/>
    <n v="0"/>
    <n v="0"/>
    <s v="CAMPAÑA"/>
    <n v="150"/>
    <s v="8861 - Caceres, Martina"/>
    <n v="26"/>
    <s v="ANSWER"/>
    <s v="AGENT"/>
    <d v="2026-05-08T13:37:31"/>
    <d v="2026-05-08T13:37:31"/>
    <d v="2026-05-08T13:45:04"/>
    <s v="01152741410"/>
    <s v="2241416864"/>
    <s v="ENTRANTE"/>
    <s v="FULL"/>
    <s v="2241416864-149128330-20260508133730.mp3"/>
    <s v=""/>
    <s v="NAC-CEL"/>
    <s v="NACIONAL"/>
    <s v="PAIS-CELULAR"/>
    <n v="0"/>
    <n v="0"/>
    <n v="0"/>
    <n v="0"/>
    <s v="BL"/>
    <n v="3"/>
    <n v="453"/>
    <s v="NotSet"/>
    <n v="37"/>
    <n v="201"/>
    <n v="2491524"/>
    <s v=""/>
    <s v="|0||SIP/SERVICIOS_SIP-0003791c|1778258294.227623|16:Normal Clearing|17:Network|14||-1|NotSet|"/>
    <s v=""/>
  </r>
  <r>
    <x v="4"/>
    <n v="3884727881"/>
    <x v="0"/>
    <x v="0"/>
    <x v="0"/>
    <x v="0"/>
    <x v="0"/>
    <x v="7"/>
    <s v="No"/>
    <n v="20260508"/>
    <n v="149127416"/>
    <s v="SERVICIOS_SIP"/>
    <s v="NEO1"/>
    <n v="0"/>
    <n v="0"/>
    <s v="CAMPAÑA"/>
    <n v="150"/>
    <s v="8861 - Caceres, Martina"/>
    <n v="26"/>
    <s v="ANSWER"/>
    <s v="AGENT"/>
    <d v="2026-05-08T13:09:22"/>
    <d v="2026-05-08T13:09:22"/>
    <d v="2026-05-08T13:31:34"/>
    <s v="01152741410"/>
    <s v="3884727881"/>
    <s v="ENTRANTE"/>
    <s v="FULL"/>
    <s v="3884727881-149127416-20260508130921.mp3"/>
    <s v=""/>
    <s v="NAC-CEL"/>
    <s v="NACIONAL"/>
    <s v="PAIS-CELULAR"/>
    <n v="0"/>
    <n v="0"/>
    <n v="0"/>
    <n v="0"/>
    <s v="BL"/>
    <n v="3"/>
    <n v="1332"/>
    <s v="NotSet"/>
    <n v="37"/>
    <n v="196"/>
    <n v="2405107"/>
    <s v=""/>
    <s v="|0||SIP/SERVICIOS_SIP-00037280|1778256605.225931|16:Normal Clearing|16:PBX|20|SIP/GQ106-00037291|-1|NotSet|"/>
    <s v=""/>
  </r>
  <r>
    <x v="4"/>
    <n v="1130037028"/>
    <x v="0"/>
    <x v="0"/>
    <x v="0"/>
    <x v="0"/>
    <x v="0"/>
    <x v="8"/>
    <s v="No"/>
    <n v="20260508"/>
    <n v="149125470"/>
    <s v="SERVICIOS_SIP"/>
    <s v="NEO1"/>
    <n v="0"/>
    <n v="0"/>
    <s v="CAMPAÑA"/>
    <n v="150"/>
    <s v="8787 - Lescano, Eugenia"/>
    <n v="26"/>
    <s v="ANSWER"/>
    <s v="AGENT"/>
    <d v="2026-05-08T12:16:27"/>
    <d v="2026-05-08T12:16:27"/>
    <d v="2026-05-08T12:20:21"/>
    <s v="01152741410"/>
    <s v="1130037028"/>
    <s v="ENTRANTE"/>
    <s v="FULL"/>
    <s v="1130037028-149125470-20260508121627.mp3"/>
    <s v=""/>
    <s v="NAC-CEL"/>
    <s v="NACIONAL"/>
    <s v="PAIS-CELULAR"/>
    <n v="0"/>
    <n v="0"/>
    <n v="0"/>
    <n v="0"/>
    <s v="BL"/>
    <n v="3"/>
    <n v="234"/>
    <s v="NotSet"/>
    <n v="37"/>
    <n v="202"/>
    <n v="2491321"/>
    <s v=""/>
    <s v="|0||SIP/SERVICIOS_SIP-000364e2|1778253430.222443|16:Normal Clearing|17:Network|3||-1|NotSet|"/>
    <s v=""/>
  </r>
  <r>
    <x v="4"/>
    <n v="1165827952"/>
    <x v="0"/>
    <x v="0"/>
    <x v="0"/>
    <x v="0"/>
    <x v="0"/>
    <x v="8"/>
    <s v="No"/>
    <n v="20260508"/>
    <n v="149125229"/>
    <s v="SERVICIOS_SIP"/>
    <s v="NEO1"/>
    <n v="0"/>
    <n v="0"/>
    <s v="CAMPAÑA"/>
    <n v="150"/>
    <s v="8160 - QUEVEDO, JOAHANA"/>
    <n v="26"/>
    <s v="ANSWER"/>
    <s v="AGENT"/>
    <d v="2026-05-08T12:09:54"/>
    <d v="2026-05-08T12:09:54"/>
    <d v="2026-05-08T12:19:03"/>
    <s v="01152741410"/>
    <s v="1165827952"/>
    <s v="ENTRANTE"/>
    <s v="FULL"/>
    <s v="1165827952-149125229-20260508120954.mp3"/>
    <s v=""/>
    <s v="NAC-CEL"/>
    <s v="NACIONAL"/>
    <s v="PAIS-CELULAR"/>
    <n v="0"/>
    <n v="0"/>
    <n v="0"/>
    <n v="0"/>
    <s v="BL"/>
    <n v="3"/>
    <n v="550"/>
    <s v="NotSet"/>
    <n v="37"/>
    <n v="1"/>
    <n v="2491787"/>
    <s v=""/>
    <s v="|0||SIP/SERVICIOS_SIP-00036339|1778253037.222018|16:Normal Clearing|17:Network|26||-1|NotSet|"/>
    <s v=""/>
  </r>
  <r>
    <x v="4"/>
    <n v="2214348792"/>
    <x v="0"/>
    <x v="0"/>
    <x v="0"/>
    <x v="0"/>
    <x v="0"/>
    <x v="8"/>
    <s v="No"/>
    <n v="20260508"/>
    <n v="149125051"/>
    <s v="SERVICIOS_SIP"/>
    <s v="NEO1"/>
    <n v="0"/>
    <n v="0"/>
    <s v="CAMPAÑA"/>
    <n v="150"/>
    <s v="8160 - QUEVEDO, JOAHANA"/>
    <n v="26"/>
    <s v="ANSWER"/>
    <s v="AGENT"/>
    <d v="2026-05-08T12:06:10"/>
    <d v="2026-05-08T12:06:10"/>
    <d v="2026-05-08T12:07:29"/>
    <s v="01152741410"/>
    <s v="2214348792"/>
    <s v="ENTRANTE"/>
    <s v="FULL"/>
    <s v="2214348792-149125051-20260508120610.mp3"/>
    <s v=""/>
    <s v="NAC-CEL"/>
    <s v="NACIONAL"/>
    <s v="PAIS-CELULAR"/>
    <n v="0"/>
    <n v="0"/>
    <n v="0"/>
    <n v="0"/>
    <s v="BL"/>
    <n v="3"/>
    <n v="79"/>
    <s v="NotSet"/>
    <n v="37"/>
    <n v="201"/>
    <n v="2490986"/>
    <s v=""/>
    <s v="|0||SIP/SERVICIOS_SIP-00036203|1778252813.221708|16:Normal Clearing|16:PBX|19|SIP/GQ135-0003621d|-1|NotSet|"/>
    <s v=""/>
  </r>
  <r>
    <x v="4"/>
    <n v="1161681790"/>
    <x v="0"/>
    <x v="0"/>
    <x v="0"/>
    <x v="0"/>
    <x v="0"/>
    <x v="9"/>
    <s v="No"/>
    <n v="20260508"/>
    <n v="149124713"/>
    <s v="SERVICIOS_SIP"/>
    <s v="NEO1"/>
    <n v="0"/>
    <n v="0"/>
    <s v="CAMPAÑA"/>
    <n v="150"/>
    <s v="8861 - Caceres, Martina"/>
    <n v="26"/>
    <s v="ANSWER"/>
    <s v="AGENT"/>
    <d v="2026-05-08T11:59:37"/>
    <d v="2026-05-08T11:59:37"/>
    <d v="2026-05-08T12:08:12"/>
    <s v="01152741410"/>
    <s v="1161681790"/>
    <s v="ENTRANTE"/>
    <s v="FULL"/>
    <s v="1161681790-149124713-20260508115937.mp3"/>
    <s v=""/>
    <s v="NAC-CEL"/>
    <s v="NACIONAL"/>
    <s v="PAIS-CELULAR"/>
    <n v="0"/>
    <n v="0"/>
    <n v="0"/>
    <n v="0"/>
    <s v="BL"/>
    <n v="3"/>
    <n v="515"/>
    <s v="NotSet"/>
    <n v="37"/>
    <n v="191"/>
    <n v="2324730"/>
    <s v=""/>
    <s v="|0||SIP/SERVICIOS_SIP-00035fd0|1778252420.221145|16:Normal Clearing|17:Network|0||-1|NotSet|"/>
    <s v=""/>
  </r>
  <r>
    <x v="4"/>
    <n v="1169394280"/>
    <x v="0"/>
    <x v="0"/>
    <x v="0"/>
    <x v="0"/>
    <x v="3"/>
    <x v="10"/>
    <s v="No"/>
    <n v="20260508"/>
    <n v="149122342"/>
    <s v="SERVICIOS_SIP"/>
    <s v="NEO1"/>
    <n v="0"/>
    <n v="0"/>
    <s v="CAMPAÑA"/>
    <n v="150"/>
    <s v="8861 - Caceres, Martina"/>
    <n v="5"/>
    <s v="ANSWER"/>
    <s v="AGENT"/>
    <d v="2026-05-08T10:57:01"/>
    <d v="2026-05-08T10:57:01"/>
    <d v="2026-05-08T10:59:19"/>
    <s v="01152741410"/>
    <s v="1169394280"/>
    <s v="ENTRANTE"/>
    <s v="FULL"/>
    <s v="1169394280-149122342-20260508105700.mp3"/>
    <s v=""/>
    <s v="NAC-CEL"/>
    <s v="NACIONAL"/>
    <s v="PAIS-CELULAR"/>
    <n v="0"/>
    <n v="0"/>
    <n v="0"/>
    <n v="0"/>
    <s v="BL"/>
    <n v="3"/>
    <n v="139"/>
    <s v="NotSet"/>
    <n v="37"/>
    <n v="175"/>
    <n v="2465034"/>
    <s v=""/>
    <s v="|0||SIP/SERVICIOS_SIP-0003501b|1778248664.217120|16:Normal Clearing|16:PBX|22||-1|NotSet|"/>
    <s v=""/>
  </r>
  <r>
    <x v="4"/>
    <n v="1130795152"/>
    <x v="0"/>
    <x v="0"/>
    <x v="0"/>
    <x v="0"/>
    <x v="0"/>
    <x v="10"/>
    <s v="No"/>
    <n v="20260508"/>
    <n v="149121619"/>
    <s v="SERVICIOS_SIP"/>
    <s v="NEO1"/>
    <n v="0"/>
    <n v="0"/>
    <s v="CAMPAÑA"/>
    <n v="150"/>
    <s v="8861 - Caceres, Martina"/>
    <n v="26"/>
    <s v="ANSWER"/>
    <s v="AGENT"/>
    <d v="2026-05-08T10:46:05"/>
    <d v="2026-05-08T10:46:05"/>
    <d v="2026-05-08T10:46:34"/>
    <s v="01152741410"/>
    <s v="1130795152"/>
    <s v="ENTRANTE"/>
    <s v="FULL"/>
    <s v="1130795152-149121619-20260508104605.mp3"/>
    <s v=""/>
    <s v="NAC-CEL"/>
    <s v="NACIONAL"/>
    <s v="PAIS-CELULAR"/>
    <n v="0"/>
    <n v="0"/>
    <n v="0"/>
    <n v="0"/>
    <s v="BL"/>
    <n v="3"/>
    <n v="29"/>
    <s v="NotSet"/>
    <n v="37"/>
    <n v="1"/>
    <n v="2463927"/>
    <s v="Apr 13 2026  2:36PM"/>
    <s v="|0||SIP/SERVICIOS_SIP-00034bd8|1778248008.216028|16:Normal Clearing|17:Network|18||-1|NotSet|"/>
    <s v=""/>
  </r>
  <r>
    <x v="4"/>
    <n v="1159796411"/>
    <x v="0"/>
    <x v="0"/>
    <x v="0"/>
    <x v="0"/>
    <x v="0"/>
    <x v="10"/>
    <s v="No"/>
    <n v="20260508"/>
    <n v="149120491"/>
    <s v="SERVICIOS_SIP"/>
    <s v="NEO1"/>
    <n v="0"/>
    <n v="0"/>
    <s v="CAMPAÑA"/>
    <n v="150"/>
    <s v="8787 - Lescano, Eugenia"/>
    <n v="26"/>
    <s v="ANSWER"/>
    <s v="AGENT"/>
    <d v="2026-05-08T10:21:49"/>
    <d v="2026-05-08T10:21:50"/>
    <d v="2026-05-08T10:34:14"/>
    <s v="01152741410"/>
    <s v="1159796411"/>
    <s v="ENTRANTE"/>
    <s v="FULL"/>
    <s v="1159796411-149120491-20260508102149.mp3"/>
    <s v=""/>
    <s v="NAC-CEL"/>
    <s v="NACIONAL"/>
    <s v="PAIS-CELULAR"/>
    <n v="0"/>
    <n v="0"/>
    <n v="0"/>
    <n v="0"/>
    <s v="BL"/>
    <n v="3"/>
    <n v="745"/>
    <s v="NotSet"/>
    <n v="37"/>
    <n v="164"/>
    <n v="2491671"/>
    <s v=""/>
    <s v="|0||SIP/SERVICIOS_SIP-00034468|1778246552.214124|16:Normal Clearing|17:Network|3||-1|NotSet|"/>
    <s v=""/>
  </r>
  <r>
    <x v="4"/>
    <n v="3498450528"/>
    <x v="0"/>
    <x v="0"/>
    <x v="0"/>
    <x v="0"/>
    <x v="0"/>
    <x v="0"/>
    <s v="No"/>
    <n v="20260508"/>
    <n v="149119041"/>
    <s v="SERVICIOS_SIP"/>
    <s v="NEO1"/>
    <n v="0"/>
    <n v="0"/>
    <s v="CAMPAÑA"/>
    <n v="150"/>
    <s v="8927 - Lizarrondo, Candela"/>
    <n v="26"/>
    <s v="ANSWER"/>
    <s v="AGENT"/>
    <d v="2026-05-08T09:35:12"/>
    <d v="2026-05-08T09:35:12"/>
    <d v="2026-05-08T09:46:51"/>
    <s v="01152741410"/>
    <s v="3498450528"/>
    <s v="ENTRANTE"/>
    <s v="FULL"/>
    <s v="3498450528-149119041-20260508093512.mp3"/>
    <s v=""/>
    <s v="NAC-CEL"/>
    <s v="NACIONAL"/>
    <s v="PAIS-CELULAR"/>
    <n v="0"/>
    <n v="0"/>
    <n v="0"/>
    <n v="0"/>
    <s v="BL"/>
    <n v="3"/>
    <n v="699"/>
    <s v="NotSet"/>
    <n v="37"/>
    <n v="201"/>
    <n v="2491438"/>
    <s v=""/>
    <s v="|0||SIP/SERVICIOS_SIP-0002ec2b|1778243755.191535|16:Normal Clearing|17:Network|1||-1|NotSet|"/>
    <s v=""/>
  </r>
  <r>
    <x v="5"/>
    <n v="2342533722"/>
    <x v="0"/>
    <x v="0"/>
    <x v="0"/>
    <x v="0"/>
    <x v="1"/>
    <x v="11"/>
    <s v="No"/>
    <n v="20260511"/>
    <n v="149163677"/>
    <s v="SERVICIOS_SIP"/>
    <s v="NEO1"/>
    <n v="0"/>
    <n v="0"/>
    <s v="CAMPAÑA"/>
    <n v="150"/>
    <s v="8814 - Nievas, Jimena "/>
    <n v="27"/>
    <s v="ANSWER"/>
    <s v="AGENT"/>
    <d v="2026-05-11T20:34:26"/>
    <d v="2026-05-11T20:34:26"/>
    <d v="2026-05-11T20:43:33"/>
    <s v="01152741410"/>
    <s v="2342533722"/>
    <s v="ENTRANTE"/>
    <s v="FULL"/>
    <s v="2342533722-149163677-20260511203426.mp3"/>
    <s v=""/>
    <s v="NAC-CEL"/>
    <s v="NACIONAL"/>
    <s v="PAIS-CELULAR"/>
    <n v="0"/>
    <n v="0"/>
    <n v="0"/>
    <n v="0"/>
    <s v="BL"/>
    <n v="3"/>
    <n v="548"/>
    <s v="NotSet"/>
    <n v="37"/>
    <n v="191"/>
    <n v="2339079"/>
    <s v=""/>
    <s v="|0||SIP/SERVICIOS_SIP-00032e12|1778542516.208425|16:Normal Clearing|17:Network|19||-1|NotSet|"/>
    <s v=""/>
  </r>
  <r>
    <x v="5"/>
    <n v="3446368330"/>
    <x v="0"/>
    <x v="0"/>
    <x v="0"/>
    <x v="0"/>
    <x v="1"/>
    <x v="11"/>
    <s v="No"/>
    <n v="20260511"/>
    <n v="149163017"/>
    <s v="SERVICIOS_SIP"/>
    <s v="NEO1"/>
    <n v="0"/>
    <n v="0"/>
    <s v="CAMPAÑA"/>
    <n v="150"/>
    <s v="8957 - Bustos, Juan Ignacio"/>
    <n v="27"/>
    <s v="ANSWER"/>
    <s v="AGENT"/>
    <d v="2026-05-11T20:01:45"/>
    <d v="2026-05-11T20:01:45"/>
    <d v="2026-05-11T20:17:22"/>
    <s v="01152741410"/>
    <s v="3446368330"/>
    <s v="ENTRANTE"/>
    <s v="FULL"/>
    <s v="3446368330-149163017-20260511200144.mp3"/>
    <s v=""/>
    <s v="NAC-FIJO"/>
    <s v="ENTRE RIOS"/>
    <s v="GUALEGUAYCHU"/>
    <n v="0"/>
    <n v="0"/>
    <n v="0"/>
    <n v="0"/>
    <s v="BL"/>
    <n v="3"/>
    <n v="938"/>
    <s v="NotSet"/>
    <n v="37"/>
    <n v="201"/>
    <n v="2494367"/>
    <s v=""/>
    <s v="|0||SIP/SERVICIOS_SIP-000327e4|1778540554.206843|16:Normal Clearing|16:PBX|18|SIP/GQ114-000327f2|-1|NotSet|"/>
    <s v=""/>
  </r>
  <r>
    <x v="5"/>
    <n v="2804430381"/>
    <x v="0"/>
    <x v="0"/>
    <x v="0"/>
    <x v="0"/>
    <x v="1"/>
    <x v="11"/>
    <s v="No"/>
    <n v="20260511"/>
    <n v="149163002"/>
    <s v="SERVICIOS_SIP"/>
    <s v="NEO1"/>
    <n v="0"/>
    <n v="0"/>
    <s v="CAMPAÑA"/>
    <n v="150"/>
    <s v="8814 - Nievas, Jimena "/>
    <n v="27"/>
    <s v="ANSWER"/>
    <s v="AGENT"/>
    <d v="2026-05-11T20:01:05"/>
    <d v="2026-05-11T20:01:05"/>
    <d v="2026-05-11T20:08:07"/>
    <s v="01152741410"/>
    <s v="2804430381"/>
    <s v="ENTRANTE"/>
    <s v="FULL"/>
    <s v="2804430381-149163002-20260511200104.mp3"/>
    <s v=""/>
    <s v="NAC-FIJO"/>
    <s v="CHUBUT"/>
    <s v="TRELEW"/>
    <n v="0"/>
    <n v="0"/>
    <n v="0"/>
    <n v="0"/>
    <s v="BL"/>
    <n v="3"/>
    <n v="423"/>
    <s v="NotSet"/>
    <n v="37"/>
    <n v="1"/>
    <n v="2494375"/>
    <s v=""/>
    <s v="|0||SIP/SERVICIOS_SIP-000327c3|1778540515.206810|16:Normal Clearing|17:Network|0||-1|NotSet|"/>
    <s v=""/>
  </r>
  <r>
    <x v="5"/>
    <n v="1157232277"/>
    <x v="0"/>
    <x v="0"/>
    <x v="0"/>
    <x v="0"/>
    <x v="1"/>
    <x v="1"/>
    <s v="No"/>
    <n v="20260511"/>
    <n v="149162116"/>
    <s v="SERVICIOS_SIP"/>
    <s v="NEO1"/>
    <n v="0"/>
    <n v="0"/>
    <s v="CAMPAÑA"/>
    <n v="150"/>
    <s v="8814 - Nievas, Jimena "/>
    <n v="27"/>
    <s v="ANSWER"/>
    <s v="AGENT"/>
    <d v="2026-05-11T19:22:38"/>
    <d v="2026-05-11T19:22:38"/>
    <d v="2026-05-11T19:28:38"/>
    <s v="01152741410"/>
    <s v="1157232277"/>
    <s v="ENTRANTE"/>
    <s v="FULL"/>
    <s v="1157232277-149162116-20260511192237.mp3"/>
    <s v=""/>
    <s v="NAC-CEL"/>
    <s v="NACIONAL"/>
    <s v="PAIS-CELULAR"/>
    <n v="0"/>
    <n v="0"/>
    <n v="0"/>
    <n v="0"/>
    <s v="BL"/>
    <n v="3"/>
    <n v="360"/>
    <s v="NotSet"/>
    <n v="37"/>
    <n v="202"/>
    <n v="2493152"/>
    <s v=""/>
    <s v="|0||SIP/SERVICIOS_SIP-00031fa2|1778538207.204729|16:Normal Clearing|17:Network|8||-1|NotSet|"/>
    <s v=""/>
  </r>
  <r>
    <x v="5"/>
    <n v="1150228051"/>
    <x v="0"/>
    <x v="0"/>
    <x v="0"/>
    <x v="0"/>
    <x v="1"/>
    <x v="4"/>
    <s v="No"/>
    <n v="20260511"/>
    <n v="149158479"/>
    <s v="SERVICIOS_SIP"/>
    <s v="NEO1"/>
    <n v="0"/>
    <n v="0"/>
    <s v="CAMPAÑA"/>
    <n v="150"/>
    <s v="8814 - Nievas, Jimena "/>
    <n v="27"/>
    <s v="ANSWER"/>
    <s v="AGENT"/>
    <d v="2026-05-11T16:33:46"/>
    <d v="2026-05-11T16:33:46"/>
    <d v="2026-05-11T16:45:29"/>
    <s v="01152741410"/>
    <s v="1150228051"/>
    <s v="ENTRANTE"/>
    <s v="FULL"/>
    <s v="1150228051-149158479-20260511163345.mp3"/>
    <s v=""/>
    <s v="NAC-CEL"/>
    <s v="NACIONAL"/>
    <s v="PAIS-CELULAR"/>
    <n v="0"/>
    <n v="0"/>
    <n v="0"/>
    <n v="0"/>
    <s v="BL"/>
    <n v="3"/>
    <n v="704"/>
    <s v="NotSet"/>
    <n v="37"/>
    <n v="201"/>
    <n v="2492782"/>
    <s v=""/>
    <s v="|0||SIP/SERVICIOS_SIP-00030060|1778528075.196724|16:Normal Clearing|17:Network|17||-1|NotSet|"/>
    <s v=""/>
  </r>
  <r>
    <x v="5"/>
    <n v="1126860690"/>
    <x v="0"/>
    <x v="0"/>
    <x v="0"/>
    <x v="0"/>
    <x v="1"/>
    <x v="4"/>
    <s v="No"/>
    <n v="20260511"/>
    <n v="149158296"/>
    <s v="SERVICIOS_SIP"/>
    <s v="NEO1"/>
    <n v="0"/>
    <n v="0"/>
    <s v="CAMPAÑA"/>
    <n v="150"/>
    <s v="8872 - Pasetti, Gisela Lorena"/>
    <n v="27"/>
    <s v="ANSWER"/>
    <s v="AGENT"/>
    <d v="2026-05-11T16:26:31"/>
    <d v="2026-05-11T16:26:31"/>
    <d v="2026-05-11T16:45:32"/>
    <s v="01152741410"/>
    <s v="1126860690"/>
    <s v="ENTRANTE"/>
    <s v="FULL"/>
    <s v="1126860690-149158296-20260511162631.mp3"/>
    <s v=""/>
    <s v="LOC-FIJO"/>
    <s v="LOCAL-FIJO"/>
    <s v="LOCAL-FIJO"/>
    <n v="0"/>
    <n v="0"/>
    <n v="0"/>
    <n v="0"/>
    <s v="BL"/>
    <n v="3"/>
    <n v="1141"/>
    <s v="NotSet"/>
    <n v="37"/>
    <n v="183"/>
    <n v="2375049"/>
    <s v=""/>
    <s v="|0||SIP/SERVICIOS_SIP-0002fed4|1778527641.196327|16:Normal Clearing|17:Network|4||-1|NotSet|"/>
    <s v=""/>
  </r>
  <r>
    <x v="5"/>
    <n v="2954451000"/>
    <x v="0"/>
    <x v="0"/>
    <x v="0"/>
    <x v="0"/>
    <x v="1"/>
    <x v="4"/>
    <s v="No"/>
    <n v="20260511"/>
    <n v="149158274"/>
    <s v="SERVICIOS_SIP"/>
    <s v="NEO1"/>
    <n v="0"/>
    <n v="0"/>
    <s v="CAMPAÑA"/>
    <n v="150"/>
    <s v="8814 - Nievas, Jimena "/>
    <n v="27"/>
    <s v="ANSWER"/>
    <s v="AGENT"/>
    <d v="2026-05-11T16:25:45"/>
    <d v="2026-05-11T16:25:45"/>
    <d v="2026-05-11T16:26:25"/>
    <s v="01152741410"/>
    <s v="2954451000"/>
    <s v="ENTRANTE"/>
    <s v="FULL"/>
    <s v="2954451000-149158274-20260511162545.mp3"/>
    <s v=""/>
    <s v="NAC-FIJO"/>
    <s v="LA PAMPA"/>
    <s v="SANTA ROSA (PROV. LA PAMPA)"/>
    <n v="0"/>
    <n v="0"/>
    <n v="0"/>
    <n v="0"/>
    <s v="BL"/>
    <n v="3"/>
    <n v="41"/>
    <s v="NotSet"/>
    <n v="37"/>
    <n v="73"/>
    <n v="1087838"/>
    <s v="Jul 27 2023 12:30PM"/>
    <s v="|0||SIP/SERVICIOS_SIP-0002fe9e|1778527595.196273|16:Normal Clearing|17:Network|9||-1|NotSet|"/>
    <s v=""/>
  </r>
  <r>
    <x v="5"/>
    <n v="1136114285"/>
    <x v="0"/>
    <x v="0"/>
    <x v="0"/>
    <x v="0"/>
    <x v="1"/>
    <x v="4"/>
    <s v="No"/>
    <n v="20260511"/>
    <n v="149157966"/>
    <s v="SERVICIOS_SIP"/>
    <s v="NEO1"/>
    <n v="0"/>
    <n v="0"/>
    <s v="CAMPAÑA"/>
    <n v="150"/>
    <s v="8814 - Nievas, Jimena "/>
    <n v="27"/>
    <s v="ANSWER"/>
    <s v="AGENT"/>
    <d v="2026-05-11T16:12:43"/>
    <d v="2026-05-11T16:12:43"/>
    <d v="2026-05-11T16:14:15"/>
    <s v="01152741410"/>
    <s v="1136114285"/>
    <s v="ENTRANTE"/>
    <s v="FULL"/>
    <s v="1136114285-149157966-20260511161243.mp3"/>
    <s v=""/>
    <s v="NAC-CEL"/>
    <s v="NACIONAL"/>
    <s v="PAIS-CELULAR"/>
    <n v="0"/>
    <n v="0"/>
    <n v="0"/>
    <n v="0"/>
    <s v="BL"/>
    <n v="3"/>
    <n v="93"/>
    <s v="NotSet"/>
    <n v="37"/>
    <n v="1"/>
    <n v="2494175"/>
    <s v=""/>
    <s v="|0||SIP/SERVICIOS_SIP-0002fbf9|1778526813.195596|16:Normal Clearing|17:Network|10||-1|NotSet|"/>
    <s v=""/>
  </r>
  <r>
    <x v="5"/>
    <n v="1161299601"/>
    <x v="0"/>
    <x v="0"/>
    <x v="0"/>
    <x v="0"/>
    <x v="1"/>
    <x v="5"/>
    <s v="No"/>
    <n v="20260511"/>
    <n v="149157376"/>
    <s v="SERVICIOS_SIP"/>
    <s v="NEO1"/>
    <n v="0"/>
    <n v="0"/>
    <s v="CAMPAÑA"/>
    <n v="150"/>
    <s v="8814 - Nievas, Jimena "/>
    <n v="27"/>
    <s v="ANSWER"/>
    <s v="AGENT"/>
    <d v="2026-05-11T15:50:40"/>
    <d v="2026-05-11T15:50:40"/>
    <d v="2026-05-11T15:53:15"/>
    <s v="01152741410"/>
    <s v="1161299601"/>
    <s v="ENTRANTE"/>
    <s v="FULL"/>
    <s v="1161299601-149157376-20260511155040.mp3"/>
    <s v=""/>
    <s v="NAC-CEL"/>
    <s v="NACIONAL"/>
    <s v="PAIS-CELULAR"/>
    <n v="0"/>
    <n v="0"/>
    <n v="0"/>
    <n v="0"/>
    <s v="BL"/>
    <n v="3"/>
    <n v="155"/>
    <s v="NotSet"/>
    <n v="37"/>
    <n v="1"/>
    <n v="2494155"/>
    <s v=""/>
    <s v="|0||SIP/SERVICIOS_SIP-0002f74e|1778525490.194399|16:Normal Clearing|17:Network|0||-1|NotSet|"/>
    <s v=""/>
  </r>
  <r>
    <x v="5"/>
    <n v="1165644019"/>
    <x v="0"/>
    <x v="0"/>
    <x v="0"/>
    <x v="0"/>
    <x v="1"/>
    <x v="5"/>
    <s v="No"/>
    <n v="20260511"/>
    <n v="149156995"/>
    <s v="SERVICIOS_SIP"/>
    <s v="NEO1"/>
    <n v="0"/>
    <n v="0"/>
    <s v="CAMPAÑA"/>
    <n v="150"/>
    <s v="8957 - Bustos, Juan Ignacio"/>
    <n v="27"/>
    <s v="ANSWER"/>
    <s v="AGENT"/>
    <d v="2026-05-11T15:36:04"/>
    <d v="2026-05-11T15:36:05"/>
    <d v="2026-05-11T15:50:40"/>
    <s v="01152741410"/>
    <s v="1165644019"/>
    <s v="ENTRANTE"/>
    <s v="FULL"/>
    <s v="1165644019-149156995-20260511153604.mp3"/>
    <s v=""/>
    <s v="NAC-CEL"/>
    <s v="NACIONAL"/>
    <s v="PAIS-CELULAR"/>
    <n v="0"/>
    <n v="0"/>
    <n v="0"/>
    <n v="0"/>
    <s v="BL"/>
    <n v="3"/>
    <n v="876"/>
    <s v="NotSet"/>
    <n v="37"/>
    <n v="0"/>
    <n v="0"/>
    <s v=""/>
    <s v="|0||SIP/SERVICIOS_SIP-0002f41d|1778524614.193582|16:Normal Clearing|16:PBX|17|SIP/GQ114-0002f428|-1|NotSet|"/>
    <s v=""/>
  </r>
  <r>
    <x v="5"/>
    <n v="1163587662"/>
    <x v="0"/>
    <x v="0"/>
    <x v="0"/>
    <x v="0"/>
    <x v="0"/>
    <x v="6"/>
    <s v="No"/>
    <n v="20260511"/>
    <n v="149154606"/>
    <s v="SERVICIOS_SIP"/>
    <s v="NEO1"/>
    <n v="0"/>
    <n v="0"/>
    <s v="CAMPAÑA"/>
    <n v="150"/>
    <s v="8927 - Lizarrondo, Candela"/>
    <n v="26"/>
    <s v="ANSWER"/>
    <s v="AGENT"/>
    <d v="2026-05-11T14:11:39"/>
    <d v="2026-05-11T14:11:39"/>
    <d v="2026-05-11T14:18:28"/>
    <s v="01152741410"/>
    <s v="1163587662"/>
    <s v="ENTRANTE"/>
    <s v="FULL"/>
    <s v="1163587662-149154606-20260511141139.mp3"/>
    <s v=""/>
    <s v="NAC-CEL"/>
    <s v="NACIONAL"/>
    <s v="PAIS-CELULAR"/>
    <n v="0"/>
    <n v="0"/>
    <n v="0"/>
    <n v="0"/>
    <s v="BL"/>
    <n v="3"/>
    <n v="409"/>
    <s v="NotSet"/>
    <n v="37"/>
    <n v="202"/>
    <n v="2494066"/>
    <s v=""/>
    <s v="|0||SIP/SERVICIOS_SIP-0002e203|1778519549.188944|16:Normal Clearing|16:PBX|25|SIP/GQ108-0002e225|-1|NotSet|"/>
    <s v=""/>
  </r>
  <r>
    <x v="5"/>
    <n v="1164840372"/>
    <x v="0"/>
    <x v="0"/>
    <x v="0"/>
    <x v="0"/>
    <x v="0"/>
    <x v="6"/>
    <s v="No"/>
    <n v="20260511"/>
    <n v="149154302"/>
    <s v="SERVICIOS_SIP"/>
    <s v="NEO1"/>
    <n v="0"/>
    <n v="0"/>
    <s v="CAMPAÑA"/>
    <n v="150"/>
    <s v="8940 - Rodriguez, Maria Belén"/>
    <n v="26"/>
    <s v="ANSWER"/>
    <s v="AGENT"/>
    <d v="2026-05-11T14:05:59"/>
    <d v="2026-05-11T14:05:59"/>
    <d v="2026-05-11T14:15:17"/>
    <s v="01152741410"/>
    <s v="1164840372"/>
    <s v="ENTRANTE"/>
    <s v="FULL"/>
    <s v="1164840372-149154302-20260511140558.mp3"/>
    <s v=""/>
    <s v="NAC-CEL"/>
    <s v="NACIONAL"/>
    <s v="PAIS-CELULAR"/>
    <n v="0"/>
    <n v="0"/>
    <n v="0"/>
    <n v="0"/>
    <s v="BL"/>
    <n v="3"/>
    <n v="559"/>
    <s v="NotSet"/>
    <n v="37"/>
    <n v="0"/>
    <n v="0"/>
    <s v=""/>
    <s v="|0||SIP/SERVICIOS_SIP-0002e004|1778519209.188433|16:Normal Clearing|17:Network|15||-1|NotSet|"/>
    <s v=""/>
  </r>
  <r>
    <x v="5"/>
    <n v="1132657276"/>
    <x v="0"/>
    <x v="0"/>
    <x v="0"/>
    <x v="0"/>
    <x v="0"/>
    <x v="7"/>
    <s v="No"/>
    <n v="20260511"/>
    <n v="149153545"/>
    <s v="SERVICIOS_SIP"/>
    <s v="NEO1"/>
    <n v="0"/>
    <n v="0"/>
    <s v="CAMPAÑA"/>
    <n v="150"/>
    <s v="8940 - Rodriguez, Maria Belén"/>
    <n v="26"/>
    <s v="ANSWER"/>
    <s v="AGENT"/>
    <d v="2026-05-11T13:36:53"/>
    <d v="2026-05-11T13:36:53"/>
    <d v="2026-05-11T13:48:02"/>
    <s v="01152741410"/>
    <s v="1132657276"/>
    <s v="ENTRANTE"/>
    <s v="FULL"/>
    <s v="1132657276-149153545-20260511133653.mp3"/>
    <s v=""/>
    <s v="NAC-CEL"/>
    <s v="NACIONAL"/>
    <s v="PAIS-CELULAR"/>
    <n v="0"/>
    <n v="0"/>
    <n v="0"/>
    <n v="0"/>
    <s v="BL"/>
    <n v="3"/>
    <n v="669"/>
    <s v="NotSet"/>
    <n v="37"/>
    <n v="0"/>
    <n v="0"/>
    <s v=""/>
    <s v="|0||SIP/SERVICIOS_SIP-0002d9d0|1778517463.186845|16:Normal Clearing|17:Network|4||-1|NotSet|"/>
    <s v=""/>
  </r>
  <r>
    <x v="5"/>
    <n v="1164917299"/>
    <x v="0"/>
    <x v="0"/>
    <x v="0"/>
    <x v="0"/>
    <x v="0"/>
    <x v="7"/>
    <s v="No"/>
    <n v="20260511"/>
    <n v="149153273"/>
    <s v="SERVICIOS_SIP"/>
    <s v="NEO1"/>
    <n v="0"/>
    <n v="0"/>
    <s v="CAMPAÑA"/>
    <n v="150"/>
    <s v="8940 - Rodriguez, Maria Belén"/>
    <n v="26"/>
    <s v="ANSWER"/>
    <s v="AGENT"/>
    <d v="2026-05-11T13:28:43"/>
    <d v="2026-05-11T13:28:43"/>
    <d v="2026-05-11T13:31:14"/>
    <s v="01152741410"/>
    <s v="1164917299"/>
    <s v="ENTRANTE"/>
    <s v="FULL"/>
    <s v="1164917299-149153273-20260511132843.mp3"/>
    <s v=""/>
    <s v="NAC-CEL"/>
    <s v="NACIONAL"/>
    <s v="PAIS-CELULAR"/>
    <n v="0"/>
    <n v="0"/>
    <n v="0"/>
    <n v="0"/>
    <s v="BL"/>
    <n v="3"/>
    <n v="151"/>
    <s v="NotSet"/>
    <n v="37"/>
    <n v="201"/>
    <n v="2491213"/>
    <s v=""/>
    <s v="|0||SIP/SERVICIOS_SIP-0002d7c1|1778516973.186318|16:Normal Clearing|16:PBX|22|SIP/GQ117-0002d7da|-1|NotSet|"/>
    <s v=""/>
  </r>
  <r>
    <x v="5"/>
    <n v="1140931107"/>
    <x v="0"/>
    <x v="0"/>
    <x v="0"/>
    <x v="0"/>
    <x v="0"/>
    <x v="8"/>
    <s v="No"/>
    <n v="20260511"/>
    <n v="149152124"/>
    <s v="SERVICIOS_SIP"/>
    <s v="NEO1"/>
    <n v="0"/>
    <n v="0"/>
    <s v="CAMPAÑA"/>
    <n v="150"/>
    <s v="8861 - Caceres, Martina"/>
    <n v="26"/>
    <s v="ANSWER"/>
    <s v="AGENT"/>
    <d v="2026-05-11T12:45:23"/>
    <d v="2026-05-11T12:45:23"/>
    <d v="2026-05-11T12:56:06"/>
    <s v="01152741410"/>
    <s v="1140931107"/>
    <s v="ENTRANTE"/>
    <s v="FULL"/>
    <s v="1140931107-149152124-20260511124522.mp3"/>
    <s v=""/>
    <s v="NAC-CEL"/>
    <s v="NACIONAL"/>
    <s v="PAIS-CELULAR"/>
    <n v="0"/>
    <n v="0"/>
    <n v="0"/>
    <n v="0"/>
    <s v="BL"/>
    <n v="3"/>
    <n v="644"/>
    <s v="NotSet"/>
    <n v="37"/>
    <n v="1"/>
    <n v="2493958"/>
    <s v="May 11 2026 12:31PM"/>
    <s v="|0||SIP/SERVICIOS_SIP-0002ce8a|1778514373.183959|16:Normal Clearing|17:Network|1||-1|NotSet|"/>
    <s v=""/>
  </r>
  <r>
    <x v="5"/>
    <n v="3547509029"/>
    <x v="0"/>
    <x v="0"/>
    <x v="0"/>
    <x v="0"/>
    <x v="0"/>
    <x v="8"/>
    <s v="No"/>
    <n v="20260511"/>
    <n v="149150893"/>
    <s v="SERVICIOS_SIP"/>
    <s v="NEO1"/>
    <n v="0"/>
    <n v="0"/>
    <s v="CAMPAÑA"/>
    <n v="150"/>
    <s v="8160 - QUEVEDO, JOAHANA"/>
    <n v="26"/>
    <s v="ANSWER"/>
    <s v="AGENT"/>
    <d v="2026-05-11T12:12:58"/>
    <d v="2026-05-11T12:12:59"/>
    <d v="2026-05-11T12:15:13"/>
    <s v="01152741410"/>
    <s v="3547509029"/>
    <s v="ENTRANTE"/>
    <s v="FULL"/>
    <s v="3547509029-149150893-20260511121258.mp3"/>
    <s v=""/>
    <s v="NAC-CEL"/>
    <s v="NACIONAL"/>
    <s v="PAIS-CELULAR"/>
    <n v="0"/>
    <n v="0"/>
    <n v="0"/>
    <n v="0"/>
    <s v="BL"/>
    <n v="3"/>
    <n v="135"/>
    <s v="NotSet"/>
    <n v="37"/>
    <n v="202"/>
    <n v="2491169"/>
    <s v=""/>
    <s v="|0||SIP/SERVICIOS_SIP-0002c5db|1778512428.181736|16:Normal Clearing|16:PBX|29|SIP/GQ135-0002c600|-1|NotSet|"/>
    <s v=""/>
  </r>
  <r>
    <x v="5"/>
    <n v="1126083083"/>
    <x v="0"/>
    <x v="0"/>
    <x v="0"/>
    <x v="0"/>
    <x v="0"/>
    <x v="9"/>
    <s v="No"/>
    <n v="20260511"/>
    <n v="149148552"/>
    <s v="SERVICIOS_SIP"/>
    <s v="NEO1"/>
    <n v="0"/>
    <n v="0"/>
    <s v="CAMPAÑA"/>
    <n v="150"/>
    <s v="8861 - Caceres, Martina"/>
    <n v="26"/>
    <s v="ANSWER"/>
    <s v="AGENT"/>
    <d v="2026-05-11T11:26:21"/>
    <d v="2026-05-11T11:26:21"/>
    <d v="2026-05-11T11:38:57"/>
    <s v="01152741410"/>
    <s v="1126083083"/>
    <s v="ENTRANTE"/>
    <s v="FULL"/>
    <s v="1126083083-149148552-20260511112621.mp3"/>
    <s v=""/>
    <s v="LOC-FIJO"/>
    <s v="LOCAL-FIJO"/>
    <s v="LOCAL-FIJO"/>
    <n v="0"/>
    <n v="0"/>
    <n v="0"/>
    <n v="0"/>
    <s v="BL"/>
    <n v="3"/>
    <n v="757"/>
    <s v="NotSet"/>
    <n v="37"/>
    <n v="202"/>
    <n v="2493889"/>
    <s v=""/>
    <s v="|0||SIP/SERVICIOS_SIP-0002b60c|1778509631.177688|16:Normal Clearing|17:Network|31||-1|NotSet|"/>
    <s v=""/>
  </r>
  <r>
    <x v="5"/>
    <n v="3855078661"/>
    <x v="0"/>
    <x v="0"/>
    <x v="0"/>
    <x v="0"/>
    <x v="0"/>
    <x v="10"/>
    <s v="No"/>
    <n v="20260511"/>
    <n v="149147620"/>
    <s v="SERVICIOS_SIP"/>
    <s v="NEO1"/>
    <n v="0"/>
    <n v="0"/>
    <s v="CAMPAÑA"/>
    <n v="150"/>
    <s v="8861 - Caceres, Martina"/>
    <n v="26"/>
    <s v="ANSWER"/>
    <s v="AGENT"/>
    <d v="2026-05-11T10:58:26"/>
    <d v="2026-05-11T10:58:26"/>
    <d v="2026-05-11T11:06:12"/>
    <s v="01152741410"/>
    <s v="3855078661"/>
    <s v="ENTRANTE"/>
    <s v="FULL"/>
    <s v="3855078661-149147620-20260511105825.mp3"/>
    <s v=""/>
    <s v="NAC-CEL"/>
    <s v="NACIONAL"/>
    <s v="PAIS-CELULAR"/>
    <n v="0"/>
    <n v="0"/>
    <n v="0"/>
    <n v="0"/>
    <s v="BL"/>
    <n v="3"/>
    <n v="466"/>
    <s v="NotSet"/>
    <n v="37"/>
    <n v="1"/>
    <n v="2493860"/>
    <s v=""/>
    <s v="|0||SIP/SERVICIOS_SIP-0002af40|1778507956.175947|16:Normal Clearing|17:Network|25||-1|NotSet|"/>
    <s v=""/>
  </r>
  <r>
    <x v="5"/>
    <n v="1154662794"/>
    <x v="0"/>
    <x v="0"/>
    <x v="0"/>
    <x v="0"/>
    <x v="0"/>
    <x v="10"/>
    <s v="No"/>
    <n v="20260511"/>
    <n v="149147487"/>
    <s v="SERVICIOS_SIP"/>
    <s v="NEO1"/>
    <n v="0"/>
    <n v="0"/>
    <s v="CAMPAÑA"/>
    <n v="150"/>
    <s v="8160 - QUEVEDO, JOAHANA"/>
    <n v="26"/>
    <s v="ANSWER"/>
    <s v="AGENT"/>
    <d v="2026-05-11T10:56:12"/>
    <d v="2026-05-11T10:56:12"/>
    <d v="2026-05-11T10:58:59"/>
    <s v="01152741410"/>
    <s v="1154662794"/>
    <s v="ENTRANTE"/>
    <s v="FULL"/>
    <s v="1154662794-149147487-20260511105611.mp3"/>
    <s v=""/>
    <s v="NAC-CEL"/>
    <s v="NACIONAL"/>
    <s v="PAIS-CELULAR"/>
    <n v="0"/>
    <n v="0"/>
    <n v="0"/>
    <n v="0"/>
    <s v="BL"/>
    <n v="3"/>
    <n v="168"/>
    <s v="NotSet"/>
    <n v="37"/>
    <n v="175"/>
    <n v="2305504"/>
    <s v=""/>
    <s v="|0||SIP/SERVICIOS_SIP-0002ae7c|1778507822.175751|16:Normal Clearing|16:PBX|26|SIP/GQ135-0002ae9f|-1|NotSet|"/>
    <s v=""/>
  </r>
  <r>
    <x v="5"/>
    <n v="2932533562"/>
    <x v="0"/>
    <x v="0"/>
    <x v="0"/>
    <x v="0"/>
    <x v="0"/>
    <x v="10"/>
    <s v="No"/>
    <n v="20260511"/>
    <n v="149146489"/>
    <s v="SERVICIOS_SIP"/>
    <s v="NEO1"/>
    <n v="0"/>
    <n v="0"/>
    <s v="CAMPAÑA"/>
    <n v="150"/>
    <s v="8861 - Caceres, Martina"/>
    <n v="26"/>
    <s v="ANSWER"/>
    <s v="AGENT"/>
    <d v="2026-05-11T10:32:28"/>
    <d v="2026-05-11T10:32:28"/>
    <d v="2026-05-11T10:42:37"/>
    <s v="01152741410"/>
    <s v="2932533562"/>
    <s v="ENTRANTE"/>
    <s v="FULL"/>
    <s v="2932533562-149146489-20260511103227.mp3"/>
    <s v=""/>
    <s v="NAC-CEL"/>
    <s v="NACIONAL"/>
    <s v="PAIS-CELULAR"/>
    <n v="0"/>
    <n v="0"/>
    <n v="0"/>
    <n v="0"/>
    <s v="BL"/>
    <n v="3"/>
    <n v="610"/>
    <s v="NotSet"/>
    <n v="37"/>
    <n v="1"/>
    <n v="1809820"/>
    <s v="Feb 28 2025  6:24PM"/>
    <s v="|0||SIP/SERVICIOS_SIP-0002a7be|1778506398.174025|16:Normal Clearing|17:Network|27||-1|NotSet|"/>
    <s v=""/>
  </r>
  <r>
    <x v="5"/>
    <n v="1153405953"/>
    <x v="0"/>
    <x v="0"/>
    <x v="0"/>
    <x v="0"/>
    <x v="0"/>
    <x v="10"/>
    <s v="No"/>
    <n v="20260511"/>
    <n v="149146017"/>
    <s v="SERVICIOS_SIP"/>
    <s v="NEO1"/>
    <n v="0"/>
    <n v="0"/>
    <s v="CAMPAÑA"/>
    <n v="150"/>
    <s v="8861 - Caceres, Martina"/>
    <n v="26"/>
    <s v="ANSWER"/>
    <s v="AGENT"/>
    <d v="2026-05-11T10:18:10"/>
    <d v="2026-05-11T10:18:10"/>
    <d v="2026-05-11T10:20:41"/>
    <s v="01152741410"/>
    <s v="1153405953"/>
    <s v="ENTRANTE"/>
    <s v="FULL"/>
    <s v="1153405953-149146017-20260511101809.mp3"/>
    <s v=""/>
    <s v="NAC-CEL"/>
    <s v="NACIONAL"/>
    <s v="PAIS-CELULAR"/>
    <n v="0"/>
    <n v="0"/>
    <n v="0"/>
    <n v="0"/>
    <s v="BL"/>
    <n v="3"/>
    <n v="152"/>
    <s v="NotSet"/>
    <n v="37"/>
    <n v="1"/>
    <n v="1511200"/>
    <s v="Jul 29 2024  1:36PM"/>
    <s v="|0||SIP/SERVICIOS_SIP-0002a460|1778505540.173163|16:Normal Clearing|17:Network|7||-1|NotSet|"/>
    <s v=""/>
  </r>
  <r>
    <x v="5"/>
    <n v="2974330207"/>
    <x v="0"/>
    <x v="0"/>
    <x v="0"/>
    <x v="0"/>
    <x v="0"/>
    <x v="10"/>
    <s v="No"/>
    <n v="20260511"/>
    <n v="149145648"/>
    <s v="SERVICIOS_SIP"/>
    <s v="NEO1"/>
    <n v="0"/>
    <n v="0"/>
    <s v="CAMPAÑA"/>
    <n v="150"/>
    <s v="8160 - QUEVEDO, JOAHANA"/>
    <n v="26"/>
    <s v="ANSWER"/>
    <s v="AGENT"/>
    <d v="2026-05-11T10:06:18"/>
    <d v="2026-05-11T10:06:18"/>
    <d v="2026-05-11T10:13:31"/>
    <s v="01152741410"/>
    <s v="2974330207"/>
    <s v="ENTRANTE"/>
    <s v="FULL"/>
    <s v="2974330207-149145648-20260511100618.mp3"/>
    <s v=""/>
    <s v="NAC-CEL"/>
    <s v="NACIONAL"/>
    <s v="PAIS-CELULAR"/>
    <n v="0"/>
    <n v="0"/>
    <n v="0"/>
    <n v="0"/>
    <s v="BL"/>
    <n v="3"/>
    <n v="433"/>
    <s v="NotSet"/>
    <n v="37"/>
    <n v="201"/>
    <n v="2493452"/>
    <s v=""/>
    <s v="|0||SIP/SERVICIOS_SIP-0002a1bf|1778504828.172490|16:Normal Clearing|17:Network|13||-1|NotSet|"/>
    <s v=""/>
  </r>
  <r>
    <x v="5"/>
    <n v="3586013671"/>
    <x v="0"/>
    <x v="0"/>
    <x v="0"/>
    <x v="0"/>
    <x v="0"/>
    <x v="0"/>
    <s v="No"/>
    <n v="20260511"/>
    <n v="149144974"/>
    <s v="SERVICIOS_SIP"/>
    <s v="NEO1"/>
    <n v="0"/>
    <n v="0"/>
    <s v="CAMPAÑA"/>
    <n v="150"/>
    <s v="8861 - Caceres, Martina"/>
    <n v="26"/>
    <s v="ANSWER"/>
    <s v="AGENT"/>
    <d v="2026-05-11T09:41:22"/>
    <d v="2026-05-11T09:41:22"/>
    <d v="2026-05-11T09:42:31"/>
    <s v="01152741410"/>
    <s v="3586013671"/>
    <s v="ENTRANTE"/>
    <s v="FULL"/>
    <s v="3586013671-149144974-20260511094121.mp3"/>
    <s v=""/>
    <s v="NAC-CEL"/>
    <s v="NACIONAL"/>
    <s v="PAIS-CELULAR"/>
    <n v="0"/>
    <n v="0"/>
    <n v="0"/>
    <n v="0"/>
    <s v="BL"/>
    <n v="3"/>
    <n v="70"/>
    <s v="NotSet"/>
    <n v="37"/>
    <n v="201"/>
    <n v="2492495"/>
    <s v=""/>
    <s v="|0||SIP/SERVICIOS_SIP-00029c26|1778503332.171057|16:Normal Clearing|17:Network|20||-1|NotSet|"/>
    <s v=""/>
  </r>
  <r>
    <x v="5"/>
    <n v="1169416910"/>
    <x v="0"/>
    <x v="0"/>
    <x v="0"/>
    <x v="0"/>
    <x v="0"/>
    <x v="0"/>
    <s v="No"/>
    <n v="20260511"/>
    <n v="149144365"/>
    <s v="SERVICIOS_SIP"/>
    <s v="NEO1"/>
    <n v="0"/>
    <n v="0"/>
    <s v="CAMPAÑA"/>
    <n v="150"/>
    <s v="8861 - Caceres, Martina"/>
    <n v="26"/>
    <s v="ANSWER"/>
    <s v="AGENT"/>
    <d v="2026-05-11T09:14:17"/>
    <d v="2026-05-11T09:14:17"/>
    <d v="2026-05-11T09:17:47"/>
    <s v="01152741410"/>
    <s v="1169416910"/>
    <s v="ENTRANTE"/>
    <s v="FULL"/>
    <s v="1169416910-149144365-20260511091416.mp3"/>
    <s v=""/>
    <s v="NAC-CEL"/>
    <s v="NACIONAL"/>
    <s v="PAIS-CELULAR"/>
    <n v="0"/>
    <n v="0"/>
    <n v="0"/>
    <n v="0"/>
    <s v="BL"/>
    <n v="3"/>
    <n v="211"/>
    <s v="NotSet"/>
    <n v="37"/>
    <n v="1"/>
    <n v="2493743"/>
    <s v=""/>
    <s v="|0||SIP/SERVICIOS_SIP-00029739|1778501707.169795|16:Normal Clearing|17:Network|15||-1|NotSet|"/>
    <s v=""/>
  </r>
  <r>
    <x v="6"/>
    <n v="1151817270"/>
    <x v="0"/>
    <x v="0"/>
    <x v="0"/>
    <x v="0"/>
    <x v="1"/>
    <x v="11"/>
    <s v="No"/>
    <n v="20260512"/>
    <n v="149182730"/>
    <s v="SERVICIOS_SIP"/>
    <s v="NEO1"/>
    <n v="0"/>
    <n v="0"/>
    <s v="CAMPAÑA"/>
    <n v="150"/>
    <s v="8814 - Nievas, Jimena "/>
    <n v="27"/>
    <s v="ANSWER"/>
    <s v="AGENT"/>
    <d v="2026-05-12T20:20:48"/>
    <d v="2026-05-12T20:20:48"/>
    <d v="2026-05-12T20:24:54"/>
    <s v="01152741410"/>
    <s v="1151817270"/>
    <s v="ENTRANTE"/>
    <s v="FULL"/>
    <s v="1151817270-149182730-20260512202047.mp3"/>
    <s v=""/>
    <s v="NAC-CEL"/>
    <s v="NACIONAL"/>
    <s v="PAIS-CELULAR"/>
    <n v="0"/>
    <n v="0"/>
    <n v="0"/>
    <n v="0"/>
    <s v="BL"/>
    <n v="3"/>
    <n v="247"/>
    <s v="NotSet"/>
    <n v="37"/>
    <n v="201"/>
    <n v="2494621"/>
    <s v=""/>
    <s v="|0||SIP/SERVICIOS_SIP-0001c6b5|1778628100.116427|16:Normal Clearing|17:Network|20||-1|NotSet|"/>
    <s v=""/>
  </r>
  <r>
    <x v="6"/>
    <n v="2994388062"/>
    <x v="0"/>
    <x v="0"/>
    <x v="0"/>
    <x v="0"/>
    <x v="1"/>
    <x v="1"/>
    <s v="No"/>
    <n v="20260512"/>
    <n v="149181535"/>
    <s v="SERVICIOS_SIP"/>
    <s v="NEO1"/>
    <n v="0"/>
    <n v="0"/>
    <s v="CAMPAÑA"/>
    <n v="150"/>
    <s v="8864 - González, Maitena"/>
    <n v="27"/>
    <s v="ANSWER"/>
    <s v="AGENT"/>
    <d v="2026-05-12T19:32:23"/>
    <d v="2026-05-12T19:32:23"/>
    <d v="2026-05-12T19:34:13"/>
    <s v="01152741410"/>
    <s v="2994388062"/>
    <s v="ENTRANTE"/>
    <s v="FULL"/>
    <s v="2994388062-149181535-20260512193223.mp3"/>
    <s v=""/>
    <s v="NAC-CEL"/>
    <s v="NACIONAL"/>
    <s v="PAIS-CELULAR"/>
    <n v="0"/>
    <n v="0"/>
    <n v="0"/>
    <n v="0"/>
    <s v="BL"/>
    <n v="3"/>
    <n v="110"/>
    <s v="NotSet"/>
    <n v="37"/>
    <n v="175"/>
    <n v="2287477"/>
    <s v=""/>
    <s v="|0||SIP/SERVICIOS_SIP-0001bc14|1778625195.113706|0:Unknown|17:Network|7||-1|NotSet|"/>
    <s v=""/>
  </r>
  <r>
    <x v="6"/>
    <n v="1141295200"/>
    <x v="0"/>
    <x v="0"/>
    <x v="0"/>
    <x v="0"/>
    <x v="1"/>
    <x v="1"/>
    <s v="No"/>
    <n v="20260512"/>
    <n v="149181348"/>
    <s v="SERVICIOS_SIP"/>
    <s v="NEO1"/>
    <n v="0"/>
    <n v="0"/>
    <s v="CAMPAÑA"/>
    <n v="150"/>
    <s v="8872 - Pasetti, Gisela Lorena"/>
    <n v="27"/>
    <s v="ANSWER"/>
    <s v="AGENT"/>
    <d v="2026-05-12T19:24:54"/>
    <d v="2026-05-12T19:24:54"/>
    <d v="2026-05-12T19:30:55"/>
    <s v="01152741410"/>
    <s v="1141295200"/>
    <s v="ENTRANTE"/>
    <s v="FULL"/>
    <s v="1141295200-149181348-20260512192453.mp3"/>
    <s v=""/>
    <s v="LOC-FIJO"/>
    <s v="LOCAL-FIJO"/>
    <s v="LOCAL-FIJO"/>
    <n v="0"/>
    <n v="0"/>
    <n v="0"/>
    <n v="0"/>
    <s v="BL"/>
    <n v="3"/>
    <n v="362"/>
    <s v="NotSet"/>
    <n v="37"/>
    <n v="0"/>
    <n v="0"/>
    <s v=""/>
    <s v="|0||SIP/SERVICIOS_SIP-0001ba4d|1778624746.113248|16:Normal Clearing|17:Network|12||-1|NotSet|"/>
    <s v=""/>
  </r>
  <r>
    <x v="6"/>
    <n v="1125639450"/>
    <x v="0"/>
    <x v="0"/>
    <x v="0"/>
    <x v="0"/>
    <x v="1"/>
    <x v="1"/>
    <s v="No"/>
    <n v="20260512"/>
    <n v="149181283"/>
    <s v="SERVICIOS_SIP"/>
    <s v="NEO1"/>
    <n v="0"/>
    <n v="0"/>
    <s v="CAMPAÑA"/>
    <n v="150"/>
    <s v="8814 - Nievas, Jimena "/>
    <n v="27"/>
    <s v="ANSWER"/>
    <s v="AGENT"/>
    <d v="2026-05-12T19:21:49"/>
    <d v="2026-05-12T19:21:49"/>
    <d v="2026-05-12T19:29:09"/>
    <s v="01152741410"/>
    <s v="1125639450"/>
    <s v="ENTRANTE"/>
    <s v="FULL"/>
    <s v="1125639450-149181283-20260512192148.mp3"/>
    <s v=""/>
    <s v="LOC-FIJO"/>
    <s v="LOCAL-FIJO"/>
    <s v="LOCAL-FIJO"/>
    <n v="0"/>
    <n v="0"/>
    <n v="0"/>
    <n v="0"/>
    <s v="BL"/>
    <n v="3"/>
    <n v="441"/>
    <s v="NotSet"/>
    <n v="37"/>
    <n v="201"/>
    <n v="2494891"/>
    <s v=""/>
    <s v="|0||SIP/SERVICIOS_SIP-0001b9c5|1778624561.113112|16:Normal Clearing|17:Network|18||-1|NotSet|"/>
    <s v=""/>
  </r>
  <r>
    <x v="6"/>
    <n v="1125770660"/>
    <x v="0"/>
    <x v="0"/>
    <x v="0"/>
    <x v="0"/>
    <x v="1"/>
    <x v="2"/>
    <s v="No"/>
    <n v="20260512"/>
    <n v="149179840"/>
    <s v="SERVICIOS_SIP"/>
    <s v="NEO1"/>
    <n v="0"/>
    <n v="0"/>
    <s v="CAMPAÑA"/>
    <n v="150"/>
    <s v="8814 - Nievas, Jimena "/>
    <n v="27"/>
    <s v="ANSWER"/>
    <s v="AGENT"/>
    <d v="2026-05-12T18:13:54"/>
    <d v="2026-05-12T18:13:54"/>
    <d v="2026-05-12T18:19:10"/>
    <s v="01152741410"/>
    <s v="1125770660"/>
    <s v="ENTRANTE"/>
    <s v="FULL"/>
    <s v="1125770660-149179840-20260512181354.mp3"/>
    <s v=""/>
    <s v="LOC-FIJO"/>
    <s v="LOCAL-FIJO"/>
    <s v="LOCAL-FIJO"/>
    <n v="0"/>
    <n v="0"/>
    <n v="0"/>
    <n v="0"/>
    <s v="BL"/>
    <n v="3"/>
    <n v="316"/>
    <s v="NotSet"/>
    <n v="37"/>
    <n v="202"/>
    <n v="2491301"/>
    <s v=""/>
    <s v="|0||SIP/SERVICIOS_SIP-00011457|1778620486.70760|16:Normal Clearing|17:Network|0||-1|NotSet|"/>
    <s v=""/>
  </r>
  <r>
    <x v="6"/>
    <n v="1151176205"/>
    <x v="0"/>
    <x v="0"/>
    <x v="0"/>
    <x v="0"/>
    <x v="4"/>
    <x v="3"/>
    <s v="No"/>
    <n v="20260512"/>
    <n v="149179090"/>
    <s v="SERVICIOS_SIP"/>
    <s v="NEO1"/>
    <n v="0"/>
    <n v="0"/>
    <s v="CAMPAÑA"/>
    <n v="150"/>
    <s v=""/>
    <n v="18"/>
    <s v="ANSWER"/>
    <s v="QUEUED"/>
    <d v="2026-05-12T17:37:21"/>
    <d v="2026-05-12T17:37:21"/>
    <d v="2026-05-12T17:59:01"/>
    <s v="01152741410"/>
    <s v="1151176205"/>
    <s v="ENTRANTE"/>
    <s v="FULL"/>
    <s v="1151176205-149179090-20260512173720.mp3"/>
    <s v=""/>
    <s v="NAC-CEL"/>
    <s v="NACIONAL"/>
    <s v="PAIS-CELULAR"/>
    <n v="0"/>
    <n v="0"/>
    <n v="0"/>
    <n v="0"/>
    <s v="BL"/>
    <n v="3"/>
    <n v="1301"/>
    <s v="NotSet"/>
    <n v="37"/>
    <n v="1"/>
    <n v="2495170"/>
    <s v="May 12 2026  5:38PM"/>
    <s v="|0||SIP/SERVICIOS_SIP-00010d20|1778618293.68913|0:Unknown|17:Network|20|SIP/GQ111-00010d2c|-1|NotSet|"/>
    <s v=""/>
  </r>
  <r>
    <x v="6"/>
    <n v="1153197080"/>
    <x v="0"/>
    <x v="0"/>
    <x v="0"/>
    <x v="0"/>
    <x v="1"/>
    <x v="4"/>
    <s v="No"/>
    <n v="20260512"/>
    <n v="149178221"/>
    <s v="SERVICIOS_SIP"/>
    <s v="NEO1"/>
    <n v="0"/>
    <n v="0"/>
    <s v="CAMPAÑA"/>
    <n v="150"/>
    <s v="8864 - González, Maitena"/>
    <n v="27"/>
    <s v="ANSWER"/>
    <s v="AGENT"/>
    <d v="2026-05-12T16:49:17"/>
    <d v="2026-05-12T16:49:17"/>
    <d v="2026-05-12T16:56:10"/>
    <s v="01152741410"/>
    <s v="1153197080"/>
    <s v="ENTRANTE"/>
    <s v="FULL"/>
    <s v="1153197080-149178221-20260512164916.mp3"/>
    <s v=""/>
    <s v="NAC-CEL"/>
    <s v="NACIONAL"/>
    <s v="PAIS-CELULAR"/>
    <n v="0"/>
    <n v="0"/>
    <n v="0"/>
    <n v="0"/>
    <s v="BL"/>
    <n v="3"/>
    <n v="414"/>
    <s v="NotSet"/>
    <n v="37"/>
    <n v="1"/>
    <n v="2495137"/>
    <s v=""/>
    <s v="|0||SIP/SERVICIOS_SIP-000105c3|1778615409.67027|16:Normal Clearing|16:PBX|13||-1|NotSet|"/>
    <s v=""/>
  </r>
  <r>
    <x v="6"/>
    <n v="1122722593"/>
    <x v="0"/>
    <x v="0"/>
    <x v="0"/>
    <x v="0"/>
    <x v="1"/>
    <x v="4"/>
    <s v="No"/>
    <n v="20260512"/>
    <n v="149177951"/>
    <s v="SERVICIOS_SIP"/>
    <s v="NEO1"/>
    <n v="0"/>
    <n v="0"/>
    <s v="CAMPAÑA"/>
    <n v="150"/>
    <s v="8864 - González, Maitena"/>
    <n v="27"/>
    <s v="ANSWER"/>
    <s v="AGENT"/>
    <d v="2026-05-12T16:38:35"/>
    <d v="2026-05-12T16:38:35"/>
    <d v="2026-05-12T16:41:01"/>
    <s v="01152741410"/>
    <s v="1122722593"/>
    <s v="ENTRANTE"/>
    <s v="FULL"/>
    <s v="1122722593-149177951-20260512163835.mp3"/>
    <s v=""/>
    <s v="LOC-FIJO"/>
    <s v="LOCAL-FIJO"/>
    <s v="LOCAL-FIJO"/>
    <n v="0"/>
    <n v="0"/>
    <n v="0"/>
    <n v="0"/>
    <s v="BL"/>
    <n v="3"/>
    <n v="146"/>
    <s v="NotSet"/>
    <n v="37"/>
    <n v="201"/>
    <n v="2495116"/>
    <s v=""/>
    <s v="|0||SIP/SERVICIOS_SIP-000103b0|1778614768.66496|16:Normal Clearing|17:Network|15||-1|NotSet|"/>
    <s v=""/>
  </r>
  <r>
    <x v="6"/>
    <n v="1168350740"/>
    <x v="0"/>
    <x v="0"/>
    <x v="0"/>
    <x v="0"/>
    <x v="1"/>
    <x v="5"/>
    <s v="No"/>
    <n v="20260512"/>
    <n v="149176640"/>
    <s v="SERVICIOS_SIP"/>
    <s v="NEO1"/>
    <n v="0"/>
    <n v="0"/>
    <s v="CAMPAÑA"/>
    <n v="150"/>
    <s v="8814 - Nievas, Jimena "/>
    <n v="27"/>
    <s v="ANSWER"/>
    <s v="AGENT"/>
    <d v="2026-05-12T15:59:41"/>
    <d v="2026-05-12T15:59:41"/>
    <d v="2026-05-12T16:03:22"/>
    <s v="01152741410"/>
    <s v="1168350740"/>
    <s v="ENTRANTE"/>
    <s v="FULL"/>
    <s v="1168350740-149176640-20260512155940.mp3"/>
    <s v=""/>
    <s v="NAC-CEL"/>
    <s v="NACIONAL"/>
    <s v="PAIS-CELULAR"/>
    <n v="0"/>
    <n v="0"/>
    <n v="0"/>
    <n v="0"/>
    <s v="BL"/>
    <n v="3"/>
    <n v="222"/>
    <s v="NotSet"/>
    <n v="37"/>
    <n v="129"/>
    <n v="908081"/>
    <s v=""/>
    <s v="|0||SIP/SERVICIOS_SIP-0000fa64|1778612433.64116|16:Normal Clearing|16:PBX|26|SIP/Z8814-0000fa77|-1|NotSet|"/>
    <s v=""/>
  </r>
  <r>
    <x v="6"/>
    <n v="1168996053"/>
    <x v="0"/>
    <x v="0"/>
    <x v="0"/>
    <x v="0"/>
    <x v="1"/>
    <x v="5"/>
    <s v="No"/>
    <n v="20260512"/>
    <n v="149175994"/>
    <s v="SERVICIOS_SIP"/>
    <s v="NEO1"/>
    <n v="0"/>
    <n v="0"/>
    <s v="CAMPAÑA"/>
    <n v="150"/>
    <s v="8938 - Spertino, Exequiel"/>
    <n v="27"/>
    <s v="ANSWER"/>
    <s v="AGENT"/>
    <d v="2026-05-12T15:43:22"/>
    <d v="2026-05-12T15:43:22"/>
    <d v="2026-05-12T15:46:39"/>
    <s v="01152741410"/>
    <s v="1168996053"/>
    <s v="ENTRANTE"/>
    <s v="FULL"/>
    <s v="1168996053-149175994-20260512154322.mp3"/>
    <s v=""/>
    <s v="NAC-CEL"/>
    <s v="NACIONAL"/>
    <s v="PAIS-CELULAR"/>
    <n v="0"/>
    <n v="0"/>
    <n v="0"/>
    <n v="0"/>
    <s v="BL"/>
    <n v="3"/>
    <n v="197"/>
    <s v="NotSet"/>
    <n v="37"/>
    <n v="199"/>
    <n v="2479349"/>
    <s v=""/>
    <s v="|0||SIP/SERVICIOS_SIP-0000f5d8|1778611455.62952|16:Normal Clearing|16:PBX|6|SIP/GQ113-0000f5f1|-1|NotSet|"/>
    <s v=""/>
  </r>
  <r>
    <x v="6"/>
    <n v="1134661330"/>
    <x v="0"/>
    <x v="0"/>
    <x v="0"/>
    <x v="0"/>
    <x v="1"/>
    <x v="5"/>
    <s v="No"/>
    <n v="20260512"/>
    <n v="149175954"/>
    <s v="SERVICIOS_SIP"/>
    <s v="NEO1"/>
    <n v="0"/>
    <n v="0"/>
    <s v="CAMPAÑA"/>
    <n v="150"/>
    <s v="8814 - Nievas, Jimena "/>
    <n v="27"/>
    <s v="ANSWER"/>
    <s v="AGENT"/>
    <d v="2026-05-12T15:42:41"/>
    <d v="2026-05-12T15:42:41"/>
    <d v="2026-05-12T15:49:30"/>
    <s v="01152741410"/>
    <s v="1134661330"/>
    <s v="ENTRANTE"/>
    <s v="FULL"/>
    <s v="1134661330-149175954-20260512154240.mp3"/>
    <s v=""/>
    <s v="LOC-FIJO"/>
    <s v="LOCAL-FIJO"/>
    <s v="LOCAL-FIJO"/>
    <n v="0"/>
    <n v="0"/>
    <n v="0"/>
    <n v="0"/>
    <s v="BL"/>
    <n v="3"/>
    <n v="410"/>
    <s v="NotSet"/>
    <n v="37"/>
    <n v="1"/>
    <n v="2495079"/>
    <s v=""/>
    <s v="|0||SIP/SERVICIOS_SIP-0000f595|1778611413.62885|16:Normal Clearing|17:Network|22||-1|NotSet|"/>
    <s v=""/>
  </r>
  <r>
    <x v="6"/>
    <n v="1130526103"/>
    <x v="0"/>
    <x v="0"/>
    <x v="0"/>
    <x v="0"/>
    <x v="1"/>
    <x v="5"/>
    <s v="No"/>
    <n v="20260512"/>
    <n v="149175181"/>
    <s v="SERVICIOS_SIP"/>
    <s v="NEO1"/>
    <n v="0"/>
    <n v="0"/>
    <s v="CAMPAÑA"/>
    <n v="150"/>
    <s v="8814 - Nievas, Jimena "/>
    <n v="27"/>
    <s v="ANSWER"/>
    <s v="AGENT"/>
    <d v="2026-05-12T15:19:44"/>
    <d v="2026-05-12T15:19:44"/>
    <d v="2026-05-12T15:28:25"/>
    <s v="01152741410"/>
    <s v="1130526103"/>
    <s v="ENTRANTE"/>
    <s v="FULL"/>
    <s v="1130526103-149175181-20260512151944.mp3"/>
    <s v=""/>
    <s v="NAC-CEL"/>
    <s v="NACIONAL"/>
    <s v="PAIS-CELULAR"/>
    <n v="0"/>
    <n v="0"/>
    <n v="0"/>
    <n v="0"/>
    <s v="BL"/>
    <n v="3"/>
    <n v="521"/>
    <s v="NotSet"/>
    <n v="37"/>
    <n v="1"/>
    <n v="2495054"/>
    <s v=""/>
    <s v="|0||SIP/SERVICIOS_SIP-0000f056|1778610037.61542|16:Normal Clearing|17:Network|19||-1|NotSet|"/>
    <s v=""/>
  </r>
  <r>
    <x v="6"/>
    <n v="1162739320"/>
    <x v="0"/>
    <x v="0"/>
    <x v="0"/>
    <x v="0"/>
    <x v="0"/>
    <x v="6"/>
    <s v="No"/>
    <n v="20260512"/>
    <n v="149172324"/>
    <s v="SERVICIOS_SIP"/>
    <s v="NEO1"/>
    <n v="0"/>
    <n v="0"/>
    <s v="CAMPAÑA"/>
    <n v="150"/>
    <s v="8861 - Caceres, Martina"/>
    <n v="26"/>
    <s v="ANSWER"/>
    <s v="AGENT"/>
    <d v="2026-05-12T14:07:34"/>
    <d v="2026-05-12T14:07:34"/>
    <d v="2026-05-12T14:23:03"/>
    <s v="01152741410"/>
    <s v="1162739320"/>
    <s v="ENTRANTE"/>
    <s v="FULL"/>
    <s v="1162739320-149172324-20260512140734.mp3"/>
    <s v=""/>
    <s v="NAC-CEL"/>
    <s v="NACIONAL"/>
    <s v="PAIS-CELULAR"/>
    <n v="0"/>
    <n v="0"/>
    <n v="0"/>
    <n v="0"/>
    <s v="BL"/>
    <n v="3"/>
    <n v="929"/>
    <s v="NotSet"/>
    <n v="37"/>
    <n v="1"/>
    <n v="2494989"/>
    <s v=""/>
    <s v="|0||SIP/SERVICIOS_SIP-0000dd07|1778605707.56595|16:Normal Clearing|16:PBX|31|SIP/GQ106-0000dd1c|-1|NotSet|"/>
    <s v=""/>
  </r>
  <r>
    <x v="6"/>
    <n v="1137604699"/>
    <x v="0"/>
    <x v="0"/>
    <x v="0"/>
    <x v="0"/>
    <x v="2"/>
    <x v="7"/>
    <s v="No"/>
    <n v="20260512"/>
    <n v="149171834"/>
    <s v="SERVICIOS_SIP"/>
    <s v="NEO1"/>
    <n v="0"/>
    <n v="0"/>
    <s v="CAMPAÑA"/>
    <n v="150"/>
    <s v="8861 - Caceres, Martina"/>
    <n v="0"/>
    <s v="ANSWER"/>
    <s v="AGENT"/>
    <d v="2026-05-12T13:51:33"/>
    <d v="2026-05-12T13:51:33"/>
    <d v="2026-05-12T14:01:26"/>
    <s v="01152741410"/>
    <s v="1137604699"/>
    <s v="ENTRANTE"/>
    <s v="FULL"/>
    <s v="1137604699-149171834-20260512135133.mp3"/>
    <s v=""/>
    <s v="NAC-CEL"/>
    <s v="NACIONAL"/>
    <s v="PAIS-CELULAR"/>
    <n v="0"/>
    <n v="0"/>
    <n v="0"/>
    <n v="0"/>
    <s v="BL"/>
    <n v="3"/>
    <n v="593"/>
    <s v="NotSet"/>
    <n v="37"/>
    <n v="1"/>
    <n v="2494960"/>
    <s v="May 12 2026  1:38PM"/>
    <s v="|0||SIP/SERVICIOS_SIP-0000d92e|1778604746.55610|16:Normal Clearing|16:PBX|17||-1|NotSet|"/>
    <s v=""/>
  </r>
  <r>
    <x v="6"/>
    <n v="3515122450"/>
    <x v="0"/>
    <x v="0"/>
    <x v="0"/>
    <x v="0"/>
    <x v="0"/>
    <x v="7"/>
    <s v="No"/>
    <n v="20260512"/>
    <n v="149171508"/>
    <s v="SERVICIOS_SIP"/>
    <s v="NEO1"/>
    <n v="0"/>
    <n v="0"/>
    <s v="CAMPAÑA"/>
    <n v="150"/>
    <s v="8823 - Olmedo  , Selene"/>
    <n v="26"/>
    <s v="ANSWER"/>
    <s v="AGENT"/>
    <d v="2026-05-12T13:40:07"/>
    <d v="2026-05-12T13:40:07"/>
    <d v="2026-05-12T13:43:34"/>
    <s v="01152741410"/>
    <s v="3515122450"/>
    <s v="ENTRANTE"/>
    <s v="FULL"/>
    <s v="3515122450-149171508-20260512134006.mp3"/>
    <s v=""/>
    <s v="NAC-CEL"/>
    <s v="NACIONAL"/>
    <s v="PAIS-CELULAR"/>
    <n v="0"/>
    <n v="0"/>
    <n v="0"/>
    <n v="0"/>
    <s v="BL"/>
    <n v="3"/>
    <n v="208"/>
    <s v="NotSet"/>
    <n v="37"/>
    <n v="1"/>
    <n v="2494958"/>
    <s v="May 12 2026  1:38PM"/>
    <s v="|0||SIP/SERVICIOS_SIP-0000d6ad|1778604059.54968|16:Normal Clearing|17:Network|27||-1|NotSet|"/>
    <s v=""/>
  </r>
  <r>
    <x v="6"/>
    <n v="1121788499"/>
    <x v="0"/>
    <x v="0"/>
    <x v="0"/>
    <x v="0"/>
    <x v="0"/>
    <x v="8"/>
    <s v="No"/>
    <n v="20260512"/>
    <n v="149168946"/>
    <s v="SERVICIOS_SIP"/>
    <s v="NEO1"/>
    <n v="0"/>
    <n v="0"/>
    <s v="CAMPAÑA"/>
    <n v="150"/>
    <s v="8647 - Molina, Rocio"/>
    <n v="26"/>
    <s v="ANSWER"/>
    <s v="AGENT"/>
    <d v="2026-05-12T12:18:47"/>
    <d v="2026-05-12T12:18:47"/>
    <d v="2026-05-12T12:31:40"/>
    <s v="01152741410"/>
    <s v="1121788499"/>
    <s v="ENTRANTE"/>
    <s v="FULL"/>
    <s v="1121788499-149168946-20260512121846.mp3"/>
    <s v=""/>
    <s v="NAC-CEL"/>
    <s v="NACIONAL"/>
    <s v="PAIS-CELULAR"/>
    <n v="0"/>
    <n v="0"/>
    <n v="0"/>
    <n v="0"/>
    <s v="BL"/>
    <n v="3"/>
    <n v="774"/>
    <s v="NotSet"/>
    <n v="37"/>
    <n v="201"/>
    <n v="2494866"/>
    <s v=""/>
    <s v="|0||SIP/SERVICIOS_SIP-0000c323|1778599179.49965|0:Unknown|17:Network|15||-1|NotSet|"/>
    <s v=""/>
  </r>
  <r>
    <x v="6"/>
    <n v="1127111458"/>
    <x v="0"/>
    <x v="0"/>
    <x v="0"/>
    <x v="0"/>
    <x v="2"/>
    <x v="8"/>
    <s v="No"/>
    <n v="20260512"/>
    <n v="149168825"/>
    <s v="SERVICIOS_SIP"/>
    <s v="NEO1"/>
    <n v="0"/>
    <n v="0"/>
    <s v="CAMPAÑA"/>
    <n v="150"/>
    <s v="8996 - Tolosa, Leslie"/>
    <n v="0"/>
    <s v="ANSWER"/>
    <s v="AGENT"/>
    <d v="2026-05-12T12:14:46"/>
    <d v="2026-05-12T12:14:46"/>
    <d v="2026-05-12T12:27:35"/>
    <s v="01152741410"/>
    <s v="1127111458"/>
    <s v="ENTRANTE"/>
    <s v="FULL"/>
    <s v="1127111458-149168825-20260512121446.mp3"/>
    <s v=""/>
    <s v="LOC-FIJO"/>
    <s v="LOCAL-FIJO"/>
    <s v="LOCAL-FIJO"/>
    <n v="0"/>
    <n v="0"/>
    <n v="0"/>
    <n v="0"/>
    <s v="BL"/>
    <n v="3"/>
    <n v="770"/>
    <s v="NotSet"/>
    <n v="37"/>
    <n v="0"/>
    <n v="0"/>
    <s v=""/>
    <s v="|0||SIP/SERVICIOS_SIP-0000c23d|1778598938.49735|16:Normal Clearing|16:PBX|13||-1|NotSet|"/>
    <s v=""/>
  </r>
  <r>
    <x v="6"/>
    <n v="1132011627"/>
    <x v="0"/>
    <x v="0"/>
    <x v="0"/>
    <x v="0"/>
    <x v="0"/>
    <x v="8"/>
    <s v="No"/>
    <n v="20260512"/>
    <n v="149168701"/>
    <s v="SERVICIOS_SIP"/>
    <s v="NEO1"/>
    <n v="0"/>
    <n v="0"/>
    <s v="CAMPAÑA"/>
    <n v="150"/>
    <s v="8647 - Molina, Rocio"/>
    <n v="26"/>
    <s v="ANSWER"/>
    <s v="AGENT"/>
    <d v="2026-05-12T12:11:11"/>
    <d v="2026-05-12T12:11:11"/>
    <d v="2026-05-12T12:19:41"/>
    <s v="01152741410"/>
    <s v="1132011627"/>
    <s v="ENTRANTE"/>
    <s v="FULL"/>
    <s v="1132011627-149168701-20260512121110.mp3"/>
    <s v=""/>
    <s v="NAC-CEL"/>
    <s v="NACIONAL"/>
    <s v="PAIS-CELULAR"/>
    <n v="0"/>
    <n v="0"/>
    <n v="0"/>
    <n v="0"/>
    <s v="BL"/>
    <n v="3"/>
    <n v="511"/>
    <s v="NotSet"/>
    <n v="37"/>
    <n v="1"/>
    <n v="2494875"/>
    <s v=""/>
    <s v="|0||SIP/SERVICIOS_SIP-0000c13d|1778598723.49479|16:Normal Clearing|17:Network|16||-1|NotSet|"/>
    <s v=""/>
  </r>
  <r>
    <x v="6"/>
    <n v="1134256592"/>
    <x v="0"/>
    <x v="0"/>
    <x v="0"/>
    <x v="0"/>
    <x v="0"/>
    <x v="9"/>
    <s v="No"/>
    <n v="20260512"/>
    <n v="149168159"/>
    <s v="SERVICIOS_SIP"/>
    <s v="NEO1"/>
    <n v="0"/>
    <n v="0"/>
    <s v="CAMPAÑA"/>
    <n v="150"/>
    <s v="8160 - QUEVEDO, JOAHANA"/>
    <n v="26"/>
    <s v="ANSWER"/>
    <s v="AGENT"/>
    <d v="2026-05-12T11:56:43"/>
    <d v="2026-05-12T11:56:43"/>
    <d v="2026-05-12T11:58:44"/>
    <s v="01152741410"/>
    <s v="1134256592"/>
    <s v="ENTRANTE"/>
    <s v="FULL"/>
    <s v="1134256592-149168159-20260512115642.mp3"/>
    <s v=""/>
    <s v="LOC-FIJO"/>
    <s v="LOCAL-FIJO"/>
    <s v="LOCAL-FIJO"/>
    <n v="0"/>
    <n v="0"/>
    <n v="0"/>
    <n v="0"/>
    <s v="BL"/>
    <n v="3"/>
    <n v="122"/>
    <s v="NotSet"/>
    <n v="37"/>
    <n v="0"/>
    <n v="0"/>
    <s v=""/>
    <s v="|0||SIP/SERVICIOS_SIP-0000bd5a|1778597855.48484|16:Normal Clearing|17:Network|3||-1|NotSet|"/>
    <s v=""/>
  </r>
  <r>
    <x v="6"/>
    <n v="1150628293"/>
    <x v="0"/>
    <x v="0"/>
    <x v="0"/>
    <x v="0"/>
    <x v="0"/>
    <x v="9"/>
    <s v="No"/>
    <n v="20260512"/>
    <n v="149168026"/>
    <s v="SERVICIOS_SIP"/>
    <s v="NEO1"/>
    <n v="0"/>
    <n v="0"/>
    <s v="CAMPAÑA"/>
    <n v="150"/>
    <s v="8160 - QUEVEDO, JOAHANA"/>
    <n v="26"/>
    <s v="ANSWER"/>
    <s v="AGENT"/>
    <d v="2026-05-12T11:52:48"/>
    <d v="2026-05-12T11:52:49"/>
    <d v="2026-05-12T11:54:39"/>
    <s v="01152741410"/>
    <s v="1150628293"/>
    <s v="ENTRANTE"/>
    <s v="FULL"/>
    <s v="1150628293-149168026-20260512115248.mp3"/>
    <s v=""/>
    <s v="NAC-CEL"/>
    <s v="NACIONAL"/>
    <s v="PAIS-CELULAR"/>
    <n v="0"/>
    <n v="0"/>
    <n v="0"/>
    <n v="0"/>
    <s v="BL"/>
    <n v="3"/>
    <n v="111"/>
    <s v="NotSet"/>
    <n v="37"/>
    <n v="122"/>
    <n v="860613"/>
    <s v=""/>
    <s v="|0||SIP/SERVICIOS_SIP-0000bc63|1778597621.48237|16:Normal Clearing|17:Network|9||-1|NotSet|"/>
    <s v=""/>
  </r>
  <r>
    <x v="6"/>
    <n v="1130821512"/>
    <x v="0"/>
    <x v="0"/>
    <x v="0"/>
    <x v="0"/>
    <x v="0"/>
    <x v="9"/>
    <s v="No"/>
    <n v="20260512"/>
    <n v="149166737"/>
    <s v="SERVICIOS_SIP"/>
    <s v="NEO1"/>
    <n v="0"/>
    <n v="0"/>
    <s v="CAMPAÑA"/>
    <n v="150"/>
    <s v="8160 - QUEVEDO, JOAHANA"/>
    <n v="26"/>
    <s v="ANSWER"/>
    <s v="AGENT"/>
    <d v="2026-05-12T11:15:51"/>
    <d v="2026-05-12T11:15:51"/>
    <d v="2026-05-12T11:25:10"/>
    <s v="01152741410"/>
    <s v="1130821512"/>
    <s v="ENTRANTE"/>
    <s v="FULL"/>
    <s v="1130821512-149166737-20260512111551.mp3"/>
    <s v=""/>
    <s v="NAC-CEL"/>
    <s v="NACIONAL"/>
    <s v="PAIS-CELULAR"/>
    <n v="0"/>
    <n v="0"/>
    <n v="0"/>
    <n v="0"/>
    <s v="BL"/>
    <n v="3"/>
    <n v="559"/>
    <s v="NotSet"/>
    <n v="37"/>
    <n v="158"/>
    <n v="1685113"/>
    <s v=""/>
    <s v="|0||SIP/SERVICIOS_SIP-0000b2ef|1778595404.45814|16:Normal Clearing|17:Network|0||-1|NotSet|"/>
    <s v=""/>
  </r>
  <r>
    <x v="6"/>
    <n v="1158570631"/>
    <x v="0"/>
    <x v="0"/>
    <x v="0"/>
    <x v="0"/>
    <x v="0"/>
    <x v="9"/>
    <s v="No"/>
    <n v="20260512"/>
    <n v="149166690"/>
    <s v="SERVICIOS_SIP"/>
    <s v="NEO1"/>
    <n v="0"/>
    <n v="0"/>
    <s v="CAMPAÑA"/>
    <n v="150"/>
    <s v="8855 - Nieva, Nadia"/>
    <n v="26"/>
    <s v="ANSWER"/>
    <s v="AGENT"/>
    <d v="2026-05-12T11:14:29"/>
    <d v="2026-05-12T11:14:29"/>
    <d v="2026-05-12T11:16:03"/>
    <s v="01152741410"/>
    <s v="1158570631"/>
    <s v="ENTRANTE"/>
    <s v="FULL"/>
    <s v="1158570631-149166690-20260512111428.mp3"/>
    <s v=""/>
    <s v="NAC-CEL"/>
    <s v="NACIONAL"/>
    <s v="PAIS-CELULAR"/>
    <n v="0"/>
    <n v="0"/>
    <n v="0"/>
    <n v="0"/>
    <s v="BL"/>
    <n v="3"/>
    <n v="95"/>
    <s v="NotSet"/>
    <n v="37"/>
    <n v="0"/>
    <n v="0"/>
    <s v=""/>
    <s v="|0||SIP/SERVICIOS_SIP-0000b29d|1778595321.45732|16:Normal Clearing|16:PBX|27|SIP/GQ192-0000b2b1|-1|NotSet|"/>
    <s v=""/>
  </r>
  <r>
    <x v="6"/>
    <n v="1130194545"/>
    <x v="0"/>
    <x v="0"/>
    <x v="0"/>
    <x v="0"/>
    <x v="3"/>
    <x v="0"/>
    <s v="No"/>
    <n v="20260512"/>
    <n v="149164618"/>
    <s v="SERVICIOS_SIP"/>
    <s v="NEO1"/>
    <n v="0"/>
    <n v="0"/>
    <s v="CAMPAÑA"/>
    <n v="150"/>
    <s v="8855 - Nieva, Nadia"/>
    <n v="5"/>
    <s v="ANSWER"/>
    <s v="AGENT"/>
    <d v="2026-05-12T09:39:51"/>
    <d v="2026-05-12T09:39:51"/>
    <d v="2026-05-12T09:42:18"/>
    <s v="01152741410"/>
    <s v="1130194545"/>
    <s v="ENTRANTE"/>
    <s v="FULL"/>
    <s v="1130194545-149164618-20260512093950.mp3"/>
    <s v=""/>
    <s v="NAC-CEL"/>
    <s v="NACIONAL"/>
    <s v="PAIS-CELULAR"/>
    <n v="0"/>
    <n v="0"/>
    <n v="0"/>
    <n v="0"/>
    <s v="BL"/>
    <n v="3"/>
    <n v="148"/>
    <s v="NotSet"/>
    <n v="37"/>
    <n v="0"/>
    <n v="0"/>
    <s v=""/>
    <s v="|0||SIP/SERVICIOS_SIP-0000a2d9|1778589643.41693|16:Normal Clearing|16:PBX|0|SIP/GQ192-0000a2e0|-1|NotSet|"/>
    <s v=""/>
  </r>
  <r>
    <x v="6"/>
    <n v="2396624298"/>
    <x v="0"/>
    <x v="0"/>
    <x v="0"/>
    <x v="0"/>
    <x v="0"/>
    <x v="0"/>
    <s v="No"/>
    <n v="20260512"/>
    <n v="149164449"/>
    <s v="SERVICIOS_SIP"/>
    <s v="NEO1"/>
    <n v="0"/>
    <n v="0"/>
    <s v="CAMPAÑA"/>
    <n v="150"/>
    <s v="8855 - Nieva, Nadia"/>
    <n v="26"/>
    <s v="ANSWER"/>
    <s v="AGENT"/>
    <d v="2026-05-12T09:14:46"/>
    <d v="2026-05-12T09:14:47"/>
    <d v="2026-05-12T09:21:36"/>
    <s v="01152741410"/>
    <s v="2396624298"/>
    <s v="ENTRANTE"/>
    <s v="FULL"/>
    <s v="2396624298-149164449-20260512091446.mp3"/>
    <s v=""/>
    <s v="NAC-CEL"/>
    <s v="NACIONAL"/>
    <s v="PAIS-CELULAR"/>
    <n v="0"/>
    <n v="0"/>
    <n v="0"/>
    <n v="0"/>
    <s v="BL"/>
    <n v="3"/>
    <n v="410"/>
    <s v="NotSet"/>
    <n v="37"/>
    <n v="0"/>
    <n v="0"/>
    <s v=""/>
    <s v="|0||SIP/SERVICIOS_SIP-0000a165|1778588139.41321|16:Normal Clearing|16:PBX|10|SIP/GQ192-0000a168|-1|NotSet|"/>
    <s v=""/>
  </r>
  <r>
    <x v="6"/>
    <n v="1144360378"/>
    <x v="0"/>
    <x v="0"/>
    <x v="0"/>
    <x v="0"/>
    <x v="0"/>
    <x v="8"/>
    <s v="No"/>
    <n v="20260512"/>
    <n v="149168761"/>
    <s v="SERVICIOS_SIP"/>
    <s v="NEO1"/>
    <n v="0"/>
    <n v="0"/>
    <s v="CAMPAÑA"/>
    <n v="150"/>
    <s v=""/>
    <n v="26"/>
    <s v="ANSWER"/>
    <s v="QUEUED"/>
    <d v="2026-05-12T12:13:02"/>
    <d v="2026-05-12T12:13:02"/>
    <d v="2026-05-12T12:13:23"/>
    <s v="01152741410"/>
    <s v="1144360378"/>
    <s v="ENTRANTE"/>
    <s v="NULL"/>
    <s v=""/>
    <s v=""/>
    <s v="NAC-CEL"/>
    <s v="NACIONAL"/>
    <s v="PAIS-CELULAR"/>
    <n v="0"/>
    <n v="0"/>
    <n v="0"/>
    <n v="0"/>
    <s v="BL"/>
    <n v="3"/>
    <n v="22"/>
    <s v="NotSet"/>
    <n v="37"/>
    <n v="0"/>
    <n v="0"/>
    <s v=""/>
    <s v="|0||SIP/SERVICIOS_SIP-0000c1c0|1778598834.49610|16:Normal Clearing|17:Network|1||-1|NotSet|"/>
    <s v=""/>
  </r>
  <r>
    <x v="7"/>
    <n v="3813578989"/>
    <x v="0"/>
    <x v="0"/>
    <x v="0"/>
    <x v="0"/>
    <x v="1"/>
    <x v="11"/>
    <s v="No"/>
    <n v="20260513"/>
    <n v="149200260"/>
    <s v="SERVICIOS_SIP"/>
    <s v="NEO1"/>
    <n v="0"/>
    <n v="0"/>
    <s v="CAMPAÑA"/>
    <n v="150"/>
    <s v="8864 - González, Maitena"/>
    <n v="27"/>
    <s v="ANSWER"/>
    <s v="AGENT"/>
    <d v="2026-05-13T20:27:20"/>
    <d v="2026-05-13T20:27:20"/>
    <d v="2026-05-13T20:30:08"/>
    <s v="01152741410"/>
    <s v="3813578989"/>
    <s v="ENTRANTE"/>
    <s v="FULL"/>
    <s v="3813578989-149200260-20260513202720.mp3"/>
    <s v=""/>
    <s v="NAC-FIJO"/>
    <s v="TUCUMAN"/>
    <s v="SAN MIGUEL DE TUCUMAN"/>
    <n v="0"/>
    <n v="0"/>
    <n v="0"/>
    <n v="0"/>
    <s v="BL"/>
    <n v="3"/>
    <n v="168"/>
    <s v="NotSet"/>
    <n v="37"/>
    <n v="1"/>
    <n v="2497014"/>
    <s v=""/>
    <s v="|0||SIP/SERVICIOS_SIP-0000a599|1778714896.42421|16:Normal Clearing|17:Network|12||-1|NotSet|"/>
    <s v=""/>
  </r>
  <r>
    <x v="7"/>
    <n v="3815989528"/>
    <x v="0"/>
    <x v="0"/>
    <x v="0"/>
    <x v="0"/>
    <x v="1"/>
    <x v="2"/>
    <s v="No"/>
    <n v="20260513"/>
    <n v="149197868"/>
    <s v="SERVICIOS_SIP"/>
    <s v="NEO1"/>
    <n v="0"/>
    <n v="0"/>
    <s v="CAMPAÑA"/>
    <n v="150"/>
    <s v="8864 - González, Maitena"/>
    <n v="27"/>
    <s v="ANSWER"/>
    <s v="AGENT"/>
    <d v="2026-05-13T18:47:25"/>
    <d v="2026-05-13T18:47:25"/>
    <d v="2026-05-13T18:57:05"/>
    <s v="01152741410"/>
    <s v="3815989528"/>
    <s v="ENTRANTE"/>
    <s v="FULL"/>
    <s v="3815989528-149197868-20260513184724.mp3"/>
    <s v=""/>
    <s v="NAC-CEL"/>
    <s v="NACIONAL"/>
    <s v="PAIS-CELULAR"/>
    <n v="0"/>
    <n v="0"/>
    <n v="0"/>
    <n v="0"/>
    <s v="BL"/>
    <n v="3"/>
    <n v="580"/>
    <s v="NotSet"/>
    <n v="37"/>
    <n v="201"/>
    <n v="2491099"/>
    <s v=""/>
    <s v="|0||SIP/SERVICIOS_SIP-00008fd8|1778708900.36847|16:Normal Clearing|17:Network|7||-1|NotSet|"/>
    <s v=""/>
  </r>
  <r>
    <x v="7"/>
    <n v="1153376856"/>
    <x v="0"/>
    <x v="0"/>
    <x v="0"/>
    <x v="0"/>
    <x v="1"/>
    <x v="2"/>
    <s v="No"/>
    <n v="20260513"/>
    <n v="149197307"/>
    <s v="SERVICIOS_SIP"/>
    <s v="NEO1"/>
    <n v="0"/>
    <n v="0"/>
    <s v="CAMPAÑA"/>
    <n v="150"/>
    <s v="8814 - Nievas, Jimena "/>
    <n v="27"/>
    <s v="ANSWER"/>
    <s v="AGENT"/>
    <d v="2026-05-13T18:25:15"/>
    <d v="2026-05-13T18:25:15"/>
    <d v="2026-05-13T18:32:26"/>
    <s v="01152741410"/>
    <s v="1153376856"/>
    <s v="ENTRANTE"/>
    <s v="FULL"/>
    <s v="1153376856-149197307-20260513182515.mp3"/>
    <s v=""/>
    <s v="NAC-CEL"/>
    <s v="NACIONAL"/>
    <s v="PAIS-CELULAR"/>
    <n v="0"/>
    <n v="0"/>
    <n v="0"/>
    <n v="0"/>
    <s v="BL"/>
    <n v="3"/>
    <n v="431"/>
    <s v="NotSet"/>
    <n v="37"/>
    <n v="181"/>
    <n v="2147313"/>
    <s v=""/>
    <s v="|0||SIP/SERVICIOS_SIP-00008b3e|1778707571.35669|16:Normal Clearing|17:Network|18||-1|NotSet|"/>
    <s v=""/>
  </r>
  <r>
    <x v="7"/>
    <n v="2323361089"/>
    <x v="0"/>
    <x v="0"/>
    <x v="0"/>
    <x v="0"/>
    <x v="1"/>
    <x v="2"/>
    <s v="No"/>
    <n v="20260513"/>
    <n v="149197179"/>
    <s v="SERVICIOS_SIP"/>
    <s v="NEO1"/>
    <n v="0"/>
    <n v="0"/>
    <s v="CAMPAÑA"/>
    <n v="150"/>
    <s v="8864 - González, Maitena"/>
    <n v="27"/>
    <s v="ANSWER"/>
    <s v="AGENT"/>
    <d v="2026-05-13T18:18:51"/>
    <d v="2026-05-13T18:18:51"/>
    <d v="2026-05-13T18:30:18"/>
    <s v="01152741410"/>
    <s v="2323361089"/>
    <s v="ENTRANTE"/>
    <s v="FULL"/>
    <s v="2323361089-149197179-20260513181851.mp3"/>
    <s v=""/>
    <s v="NAC-FIJO"/>
    <s v="BUENOS AIRES"/>
    <s v="LUJAN (PROV. BUENOS AIRES)"/>
    <n v="0"/>
    <n v="0"/>
    <n v="0"/>
    <n v="0"/>
    <s v="BL"/>
    <n v="3"/>
    <n v="687"/>
    <s v="NotSet"/>
    <n v="37"/>
    <n v="202"/>
    <n v="2496912"/>
    <s v=""/>
    <s v="|0||SIP/SERVICIOS_SIP-00008a31|1778707187.35400|16:Normal Clearing|16:PBX|13||-1|NotSet|"/>
    <s v=""/>
  </r>
  <r>
    <x v="7"/>
    <n v="3574455605"/>
    <x v="0"/>
    <x v="0"/>
    <x v="0"/>
    <x v="0"/>
    <x v="1"/>
    <x v="3"/>
    <s v="No"/>
    <n v="20260513"/>
    <n v="149196694"/>
    <s v="SERVICIOS_SIP"/>
    <s v="NEO1"/>
    <n v="0"/>
    <n v="0"/>
    <s v="CAMPAÑA"/>
    <n v="150"/>
    <s v="8864 - González, Maitena"/>
    <n v="27"/>
    <s v="ANSWER"/>
    <s v="AGENT"/>
    <d v="2026-05-13T17:56:25"/>
    <d v="2026-05-13T17:56:25"/>
    <d v="2026-05-13T18:05:05"/>
    <s v="01152741410"/>
    <s v="3574455605"/>
    <s v="ENTRANTE"/>
    <s v="FULL"/>
    <s v="3574455605-149196694-20260513175624.mp3"/>
    <s v=""/>
    <s v="NAC-CEL"/>
    <s v="NACIONAL"/>
    <s v="PAIS-CELULAR"/>
    <n v="0"/>
    <n v="0"/>
    <n v="0"/>
    <n v="0"/>
    <s v="BL"/>
    <n v="3"/>
    <n v="521"/>
    <s v="NotSet"/>
    <n v="37"/>
    <n v="201"/>
    <n v="2488692"/>
    <s v=""/>
    <s v="|0||SIP/SERVICIOS_SIP-00008647|1778705840.34398|16:Normal Clearing|16:PBX|12|SIP/GQ111-00008656|-1|NotSet|"/>
    <s v=""/>
  </r>
  <r>
    <x v="7"/>
    <n v="1140803176"/>
    <x v="0"/>
    <x v="0"/>
    <x v="0"/>
    <x v="0"/>
    <x v="1"/>
    <x v="3"/>
    <s v="No"/>
    <n v="20260513"/>
    <n v="149195882"/>
    <s v="SERVICIOS_SIP"/>
    <s v="NEO1"/>
    <n v="0"/>
    <n v="0"/>
    <s v="CAMPAÑA"/>
    <n v="150"/>
    <s v="8864 - González, Maitena"/>
    <n v="27"/>
    <s v="ANSWER"/>
    <s v="AGENT"/>
    <d v="2026-05-13T17:17:09"/>
    <d v="2026-05-13T17:17:09"/>
    <d v="2026-05-13T17:24:19"/>
    <s v="01152741410"/>
    <s v="1140803176"/>
    <s v="ENTRANTE"/>
    <s v="FULL"/>
    <s v="1140803176-149195882-20260513171709.mp3"/>
    <s v=""/>
    <s v="NAC-CEL"/>
    <s v="NACIONAL"/>
    <s v="PAIS-CELULAR"/>
    <n v="0"/>
    <n v="0"/>
    <n v="0"/>
    <n v="0"/>
    <s v="BL"/>
    <n v="3"/>
    <n v="430"/>
    <s v="NotSet"/>
    <n v="37"/>
    <n v="1"/>
    <n v="2496863"/>
    <s v=""/>
    <s v="|0||SIP/SERVICIOS_SIP-00007f72|1778703485.32649|16:Normal Clearing|16:PBX|17||-1|NotSet|"/>
    <s v=""/>
  </r>
  <r>
    <x v="7"/>
    <n v="1153478908"/>
    <x v="0"/>
    <x v="0"/>
    <x v="0"/>
    <x v="0"/>
    <x v="1"/>
    <x v="4"/>
    <s v="No"/>
    <n v="20260513"/>
    <n v="149194285"/>
    <s v="SERVICIOS_SIP"/>
    <s v="NEO1"/>
    <n v="0"/>
    <n v="0"/>
    <s v="CAMPAÑA"/>
    <n v="150"/>
    <s v="8864 - González, Maitena"/>
    <n v="27"/>
    <s v="ANSWER"/>
    <s v="AGENT"/>
    <d v="2026-05-13T16:26:07"/>
    <d v="2026-05-13T16:26:07"/>
    <d v="2026-05-13T16:33:53"/>
    <s v="01152741410"/>
    <s v="1153478908"/>
    <s v="ENTRANTE"/>
    <s v="FULL"/>
    <s v="1153478908-149194285-20260513162606.mp3"/>
    <s v=""/>
    <s v="NAC-CEL"/>
    <s v="NACIONAL"/>
    <s v="PAIS-CELULAR"/>
    <n v="0"/>
    <n v="0"/>
    <n v="0"/>
    <n v="0"/>
    <s v="BL"/>
    <n v="3"/>
    <n v="467"/>
    <s v="NotSet"/>
    <n v="37"/>
    <n v="1"/>
    <n v="184126"/>
    <s v=""/>
    <s v="|0||SIP/SERVICIOS_SIP-000070e7|1778700423.28920|16:Normal Clearing|16:PBX|8||-1|NotSet|"/>
    <s v=""/>
  </r>
  <r>
    <x v="7"/>
    <n v="1131547019"/>
    <x v="0"/>
    <x v="0"/>
    <x v="0"/>
    <x v="0"/>
    <x v="1"/>
    <x v="5"/>
    <s v="No"/>
    <n v="20260513"/>
    <n v="149192999"/>
    <s v="SERVICIOS_SIP"/>
    <s v="NEO1"/>
    <n v="0"/>
    <n v="0"/>
    <s v="CAMPAÑA"/>
    <n v="150"/>
    <s v="8957 - Bustos, Juan Ignacio"/>
    <n v="27"/>
    <s v="ANSWER"/>
    <s v="AGENT"/>
    <d v="2026-05-13T15:42:12"/>
    <d v="2026-05-13T15:42:12"/>
    <d v="2026-05-13T16:03:03"/>
    <s v="01152741410"/>
    <s v="1131547019"/>
    <s v="ENTRANTE"/>
    <s v="FULL"/>
    <s v="1131547019-149192999-20260513154211.mp3"/>
    <s v=""/>
    <s v="NAC-CEL"/>
    <s v="NACIONAL"/>
    <s v="PAIS-CELULAR"/>
    <n v="0"/>
    <n v="0"/>
    <n v="0"/>
    <n v="0"/>
    <s v="BL"/>
    <n v="3"/>
    <n v="1251"/>
    <s v="NotSet"/>
    <n v="37"/>
    <n v="73"/>
    <n v="1583359"/>
    <s v="Sep 13 2024  5:47PM"/>
    <s v="|0||SIP/SERVICIOS_SIP-00006570|1778697788.25985|16:Normal Clearing|16:PBX|21||-1|NotSet|"/>
    <s v=""/>
  </r>
  <r>
    <x v="7"/>
    <n v="1132567831"/>
    <x v="0"/>
    <x v="0"/>
    <x v="0"/>
    <x v="0"/>
    <x v="1"/>
    <x v="5"/>
    <s v="No"/>
    <n v="20260513"/>
    <n v="149192368"/>
    <s v="SERVICIOS_SIP"/>
    <s v="NEO1"/>
    <n v="0"/>
    <n v="0"/>
    <s v="CAMPAÑA"/>
    <n v="150"/>
    <s v="8814 - Nievas, Jimena "/>
    <n v="27"/>
    <s v="ANSWER"/>
    <s v="AGENT"/>
    <d v="2026-05-13T15:02:53"/>
    <d v="2026-05-13T15:02:53"/>
    <d v="2026-05-13T15:09:06"/>
    <s v="01152741410"/>
    <s v="1132567831"/>
    <s v="ENTRANTE"/>
    <s v="FULL"/>
    <s v="1132567831-149192368-20260513150253.mp3"/>
    <s v=""/>
    <s v="NAC-CEL"/>
    <s v="NACIONAL"/>
    <s v="PAIS-CELULAR"/>
    <n v="0"/>
    <n v="0"/>
    <n v="0"/>
    <n v="0"/>
    <s v="BL"/>
    <n v="3"/>
    <n v="373"/>
    <s v="NotSet"/>
    <n v="37"/>
    <n v="161"/>
    <n v="1852043"/>
    <s v=""/>
    <s v="|0||SIP/SERVICIOS_SIP-00005e9e|1778695429.24232|16:Normal Clearing|17:Network|0||-1|NotSet|"/>
    <s v=""/>
  </r>
  <r>
    <x v="7"/>
    <n v="1157075620"/>
    <x v="0"/>
    <x v="0"/>
    <x v="0"/>
    <x v="0"/>
    <x v="0"/>
    <x v="9"/>
    <s v="No"/>
    <n v="20260513"/>
    <n v="149187613"/>
    <s v="SERVICIOS_SIP"/>
    <s v="NEO1"/>
    <n v="0"/>
    <n v="0"/>
    <s v="CAMPAÑA"/>
    <n v="150"/>
    <s v="8160 - QUEVEDO, JOAHANA"/>
    <n v="26"/>
    <s v="ANSWER"/>
    <s v="AGENT"/>
    <d v="2026-05-13T11:46:20"/>
    <d v="2026-05-13T11:46:20"/>
    <d v="2026-05-13T11:55:20"/>
    <s v="01152741410"/>
    <s v="1157075620"/>
    <s v="ENTRANTE"/>
    <s v="FULL"/>
    <s v="1157075620-149187613-20260513114619.mp3"/>
    <s v=""/>
    <s v="NAC-CEL"/>
    <s v="NACIONAL"/>
    <s v="PAIS-CELULAR"/>
    <n v="0"/>
    <n v="0"/>
    <n v="0"/>
    <n v="0"/>
    <s v="BL"/>
    <n v="3"/>
    <n v="541"/>
    <s v="NotSet"/>
    <n v="37"/>
    <n v="1"/>
    <n v="2496548"/>
    <s v="May 13 2026 11:47AM"/>
    <s v="|0||SIP/SERVICIOS_SIP-00003240|1778683636.12868|16:Normal Clearing|17:Network|20||-1|NotSet|"/>
    <s v=""/>
  </r>
  <r>
    <x v="7"/>
    <n v="3834419629"/>
    <x v="0"/>
    <x v="0"/>
    <x v="0"/>
    <x v="0"/>
    <x v="0"/>
    <x v="9"/>
    <s v="No"/>
    <n v="20260513"/>
    <n v="149186364"/>
    <s v="SERVICIOS_SIP"/>
    <s v="NEO1"/>
    <n v="0"/>
    <n v="0"/>
    <s v="CAMPAÑA"/>
    <n v="150"/>
    <s v="8927 - Lizarrondo, Candela"/>
    <n v="26"/>
    <s v="ANSWER"/>
    <s v="AGENT"/>
    <d v="2026-05-13T11:04:46"/>
    <d v="2026-05-13T11:04:46"/>
    <d v="2026-05-13T11:08:58"/>
    <s v="01152741410"/>
    <s v="3834419629"/>
    <s v="ENTRANTE"/>
    <s v="FULL"/>
    <s v="3834419629-149186364-20260513110446.mp3"/>
    <s v=""/>
    <s v="NAC-CEL"/>
    <s v="NACIONAL"/>
    <s v="PAIS-CELULAR"/>
    <n v="0"/>
    <n v="0"/>
    <n v="0"/>
    <n v="0"/>
    <s v="BL"/>
    <n v="3"/>
    <n v="252"/>
    <s v="NotSet"/>
    <n v="37"/>
    <n v="116"/>
    <n v="1524915"/>
    <s v=""/>
    <s v="|0||SIP/SERVICIOS_SIP-00002777|1778681142.10107|16:Normal Clearing|17:Network|2||-1|NotSet|"/>
    <s v=""/>
  </r>
  <r>
    <x v="7"/>
    <n v="1132618555"/>
    <x v="0"/>
    <x v="0"/>
    <x v="0"/>
    <x v="0"/>
    <x v="0"/>
    <x v="10"/>
    <s v="No"/>
    <n v="20260513"/>
    <n v="149185876"/>
    <s v="SERVICIOS_SIP"/>
    <s v="NEO1"/>
    <n v="0"/>
    <n v="0"/>
    <s v="CAMPAÑA"/>
    <n v="150"/>
    <s v="8823 - Olmedo  , Selene"/>
    <n v="26"/>
    <s v="ANSWER"/>
    <s v="AGENT"/>
    <d v="2026-05-13T10:45:26"/>
    <d v="2026-05-13T10:45:26"/>
    <d v="2026-05-13T10:55:01"/>
    <s v="01152741410"/>
    <s v="1132618555"/>
    <s v="ENTRANTE"/>
    <s v="FULL"/>
    <s v="1132618555-149185876-20260513104526.mp3"/>
    <s v=""/>
    <s v="NAC-CEL"/>
    <s v="NACIONAL"/>
    <s v="PAIS-CELULAR"/>
    <n v="0"/>
    <n v="0"/>
    <n v="0"/>
    <n v="0"/>
    <s v="BL"/>
    <n v="3"/>
    <n v="576"/>
    <s v="NotSet"/>
    <n v="37"/>
    <n v="201"/>
    <n v="2496438"/>
    <s v=""/>
    <s v="|0||SIP/SERVICIOS_SIP-0000231e|1778679982.8993|16:Normal Clearing|17:Network|15||-1|NotSet|"/>
    <s v=""/>
  </r>
  <r>
    <x v="7"/>
    <n v="1125531887"/>
    <x v="0"/>
    <x v="0"/>
    <x v="0"/>
    <x v="0"/>
    <x v="0"/>
    <x v="10"/>
    <s v="No"/>
    <n v="20260513"/>
    <n v="149185704"/>
    <s v="SERVICIOS_SIP"/>
    <s v="NEO1"/>
    <n v="0"/>
    <n v="0"/>
    <s v="CAMPAÑA"/>
    <n v="150"/>
    <s v="8927 - Lizarrondo, Candela"/>
    <n v="26"/>
    <s v="ANSWER"/>
    <s v="AGENT"/>
    <d v="2026-05-13T10:41:21"/>
    <d v="2026-05-13T10:41:21"/>
    <d v="2026-05-13T10:51:37"/>
    <s v="01152741410"/>
    <s v="1125531887"/>
    <s v="ENTRANTE"/>
    <s v="FULL"/>
    <s v="1125531887-149185704-20260513104121.mp3"/>
    <s v=""/>
    <s v="LOC-FIJO"/>
    <s v="LOCAL-FIJO"/>
    <s v="LOCAL-FIJO"/>
    <n v="0"/>
    <n v="0"/>
    <n v="0"/>
    <n v="0"/>
    <s v="BL"/>
    <n v="3"/>
    <n v="616"/>
    <s v="NotSet"/>
    <n v="37"/>
    <n v="202"/>
    <n v="2495166"/>
    <s v=""/>
    <s v="|0||SIP/SERVICIOS_SIP-000021b2|1778679737.8628|16:Normal Clearing|17:Network|14||-1|NotSet|"/>
    <s v=""/>
  </r>
  <r>
    <x v="7"/>
    <n v="1180244955"/>
    <x v="0"/>
    <x v="0"/>
    <x v="0"/>
    <x v="0"/>
    <x v="0"/>
    <x v="10"/>
    <s v="No"/>
    <n v="20260513"/>
    <n v="149185594"/>
    <s v="SERVICIOS_SIP"/>
    <s v="NEO1"/>
    <n v="0"/>
    <n v="0"/>
    <s v="CAMPAÑA"/>
    <n v="150"/>
    <s v="8160 - QUEVEDO, JOAHANA"/>
    <n v="26"/>
    <s v="ANSWER"/>
    <s v="AGENT"/>
    <d v="2026-05-13T10:38:42"/>
    <d v="2026-05-13T10:38:42"/>
    <d v="2026-05-13T11:13:13"/>
    <s v="01152741410"/>
    <s v="1180244955"/>
    <s v="ENTRANTE"/>
    <s v="FULL"/>
    <s v="1180244955-149185594-20260513103841.mp3"/>
    <s v=""/>
    <s v="LOC-FIJO"/>
    <s v="LOCAL-FIJO"/>
    <s v="LOCAL-FIJO"/>
    <n v="0"/>
    <n v="0"/>
    <n v="0"/>
    <n v="0"/>
    <s v="BL"/>
    <n v="3"/>
    <n v="2072"/>
    <s v="NotSet"/>
    <n v="37"/>
    <n v="1"/>
    <n v="2496482"/>
    <s v=""/>
    <s v="|0||SIP/SERVICIOS_SIP-000020d0|1778679578.8402|16:Normal Clearing|17:Network|23||-1|NotSet|"/>
    <s v=""/>
  </r>
  <r>
    <x v="8"/>
    <n v="1172015701"/>
    <x v="0"/>
    <x v="0"/>
    <x v="0"/>
    <x v="0"/>
    <x v="1"/>
    <x v="11"/>
    <s v="No"/>
    <n v="20260514"/>
    <n v="149219432"/>
    <s v="SERVICIOS_SIP"/>
    <s v="NEO1"/>
    <n v="0"/>
    <n v="0"/>
    <s v="CAMPAÑA"/>
    <n v="150"/>
    <s v="8864 - González, Maitena"/>
    <n v="27"/>
    <s v="ANSWER"/>
    <s v="AGENT"/>
    <d v="2026-05-14T20:55:14"/>
    <d v="2026-05-14T20:55:14"/>
    <d v="2026-05-14T20:57:30"/>
    <s v="01152741410"/>
    <s v="1172015701"/>
    <s v="ENTRANTE"/>
    <s v="FULL"/>
    <s v="1172015701-149219432-20260514205513.mp3"/>
    <s v=""/>
    <s v="LOC-FIJO"/>
    <s v="LOCAL-FIJO"/>
    <s v="LOCAL-FIJO"/>
    <n v="0"/>
    <n v="0"/>
    <n v="0"/>
    <n v="0"/>
    <s v="BL"/>
    <n v="3"/>
    <n v="137"/>
    <s v="NotSet"/>
    <n v="37"/>
    <n v="202"/>
    <n v="2497831"/>
    <s v=""/>
    <s v="|0||SIP/SERVICIOS_SIP-00011b34|1778802971.72520|16:Normal Clearing|17:Network|10||-1|NotSet|"/>
    <s v=""/>
  </r>
  <r>
    <x v="8"/>
    <n v="3813045597"/>
    <x v="0"/>
    <x v="0"/>
    <x v="0"/>
    <x v="0"/>
    <x v="1"/>
    <x v="1"/>
    <s v="No"/>
    <n v="20260514"/>
    <n v="149216822"/>
    <s v="SERVICIOS_SIP"/>
    <s v="NEO1"/>
    <n v="0"/>
    <n v="0"/>
    <s v="CAMPAÑA"/>
    <n v="150"/>
    <s v="8864 - González, Maitena"/>
    <n v="27"/>
    <s v="ANSWER"/>
    <s v="AGENT"/>
    <d v="2026-05-14T19:33:58"/>
    <d v="2026-05-14T19:33:58"/>
    <d v="2026-05-14T19:52:12"/>
    <s v="01152741410"/>
    <s v="3813045597"/>
    <s v="ENTRANTE"/>
    <s v="FULL"/>
    <s v="3813045597-149216822-20260514193358.mp3"/>
    <s v=""/>
    <s v="NAC-CEL"/>
    <s v="NACIONAL"/>
    <s v="PAIS-CELULAR"/>
    <n v="0"/>
    <n v="0"/>
    <n v="0"/>
    <n v="0"/>
    <s v="BL"/>
    <n v="3"/>
    <n v="1094"/>
    <s v="NotSet"/>
    <n v="37"/>
    <n v="201"/>
    <n v="2497019"/>
    <s v=""/>
    <s v="|0||SIP/SERVICIOS_SIP-00010325|1778798095.66357|16:Normal Clearing|16:PBX|12|SIP/GQ111-0001033e|-1|NotSet|"/>
    <s v=""/>
  </r>
  <r>
    <x v="8"/>
    <n v="2994677292"/>
    <x v="0"/>
    <x v="0"/>
    <x v="0"/>
    <x v="0"/>
    <x v="1"/>
    <x v="4"/>
    <s v="No"/>
    <n v="20260514"/>
    <n v="149212541"/>
    <s v="SERVICIOS_SIP"/>
    <s v="NEO1"/>
    <n v="0"/>
    <n v="0"/>
    <s v="CAMPAÑA"/>
    <n v="150"/>
    <s v="8864 - González, Maitena"/>
    <n v="27"/>
    <s v="ANSWER"/>
    <s v="AGENT"/>
    <d v="2026-05-14T16:58:31"/>
    <d v="2026-05-14T16:58:31"/>
    <d v="2026-05-14T17:01:13"/>
    <s v="01152741410"/>
    <s v="2994677292"/>
    <s v="ENTRANTE"/>
    <s v="FULL"/>
    <s v="2994677292-149212541-20260514165830.mp3"/>
    <s v=""/>
    <s v="NAC-CEL"/>
    <s v="NACIONAL"/>
    <s v="PAIS-CELULAR"/>
    <n v="0"/>
    <n v="0"/>
    <n v="0"/>
    <n v="0"/>
    <s v="BL"/>
    <n v="3"/>
    <n v="163"/>
    <s v="NotSet"/>
    <n v="37"/>
    <n v="122"/>
    <n v="875866"/>
    <s v=""/>
    <s v="|0||SIP/SERVICIOS_SIP-00006ba4|1778788768.27566|16:Normal Clearing|16:PBX|3|SIP/GQ111-00006bb6|-1|NotSet|"/>
    <s v=""/>
  </r>
  <r>
    <x v="8"/>
    <n v="1161135751"/>
    <x v="0"/>
    <x v="0"/>
    <x v="0"/>
    <x v="0"/>
    <x v="1"/>
    <x v="4"/>
    <s v="No"/>
    <n v="20260514"/>
    <n v="149212231"/>
    <s v="SERVICIOS_SIP"/>
    <s v="NEO1"/>
    <n v="0"/>
    <n v="0"/>
    <s v="CAMPAÑA"/>
    <n v="150"/>
    <s v="8864 - González, Maitena"/>
    <n v="27"/>
    <s v="ANSWER"/>
    <s v="AGENT"/>
    <d v="2026-05-14T16:49:13"/>
    <d v="2026-05-14T16:49:13"/>
    <d v="2026-05-14T16:50:52"/>
    <s v="01152741410"/>
    <s v="1161135751"/>
    <s v="ENTRANTE"/>
    <s v="FULL"/>
    <s v="1161135751-149212231-20260514164913.mp3"/>
    <s v=""/>
    <s v="NAC-CEL"/>
    <s v="NACIONAL"/>
    <s v="PAIS-CELULAR"/>
    <n v="0"/>
    <n v="0"/>
    <n v="0"/>
    <n v="0"/>
    <s v="BL"/>
    <n v="3"/>
    <n v="100"/>
    <s v="NotSet"/>
    <n v="37"/>
    <n v="73"/>
    <n v="523816"/>
    <s v=""/>
    <s v="|0||SIP/SERVICIOS_SIP-00006946|1778788210.26960|0:Unknown|17:Network|6||-1|NotSet|"/>
    <s v=""/>
  </r>
  <r>
    <x v="8"/>
    <n v="3854829125"/>
    <x v="0"/>
    <x v="0"/>
    <x v="0"/>
    <x v="0"/>
    <x v="1"/>
    <x v="4"/>
    <s v="No"/>
    <n v="20260514"/>
    <n v="149211051"/>
    <s v="SERVICIOS_SIP"/>
    <s v="NEO1"/>
    <n v="0"/>
    <n v="0"/>
    <s v="CAMPAÑA"/>
    <n v="150"/>
    <s v="8814 - Nievas, Jimena "/>
    <n v="27"/>
    <s v="ANSWER"/>
    <s v="AGENT"/>
    <d v="2026-05-14T16:10:47"/>
    <d v="2026-05-14T16:10:47"/>
    <d v="2026-05-14T16:29:11"/>
    <s v="01152741410"/>
    <s v="3854829125"/>
    <s v="ENTRANTE"/>
    <s v="FULL"/>
    <s v="3854829125-149211051-20260514161046.mp3"/>
    <s v=""/>
    <s v="NAC-CEL"/>
    <s v="NACIONAL"/>
    <s v="PAIS-CELULAR"/>
    <n v="0"/>
    <n v="0"/>
    <n v="0"/>
    <n v="0"/>
    <s v="BL"/>
    <n v="3"/>
    <n v="1105"/>
    <s v="NotSet"/>
    <n v="37"/>
    <n v="155"/>
    <n v="1580130"/>
    <s v=""/>
    <s v="|0||SIP/SERVICIOS_SIP-00005ee1|1778785904.24299|16:Normal Clearing|17:Network|23||-1|NotSet|"/>
    <s v=""/>
  </r>
  <r>
    <x v="8"/>
    <n v="1132797338"/>
    <x v="0"/>
    <x v="0"/>
    <x v="0"/>
    <x v="0"/>
    <x v="0"/>
    <x v="6"/>
    <s v="No"/>
    <n v="20260514"/>
    <n v="149209325"/>
    <s v="SERVICIOS_SIP"/>
    <s v="NEO1"/>
    <n v="0"/>
    <n v="0"/>
    <s v="CAMPAÑA"/>
    <n v="150"/>
    <s v="8927 - Lizarrondo, Candela"/>
    <n v="26"/>
    <s v="ANSWER"/>
    <s v="AGENT"/>
    <d v="2026-05-14T14:57:34"/>
    <d v="2026-05-14T14:57:34"/>
    <d v="2026-05-14T15:04:51"/>
    <s v="01152741410"/>
    <s v="1132797338"/>
    <s v="ENTRANTE"/>
    <s v="FULL"/>
    <s v="1132797338-149209325-20260514145733.mp3"/>
    <s v=""/>
    <s v="NAC-CEL"/>
    <s v="NACIONAL"/>
    <s v="PAIS-CELULAR"/>
    <n v="0"/>
    <n v="0"/>
    <n v="0"/>
    <n v="0"/>
    <s v="BL"/>
    <n v="3"/>
    <n v="438"/>
    <s v="NotSet"/>
    <n v="37"/>
    <n v="1"/>
    <n v="2497554"/>
    <s v=""/>
    <s v="|0||SIP/SERVICIOS_SIP-0000507b|1778781511.20610|16:Normal Clearing|17:Network|14||-1|NotSet|"/>
    <s v=""/>
  </r>
  <r>
    <x v="8"/>
    <n v="3804555408"/>
    <x v="0"/>
    <x v="0"/>
    <x v="0"/>
    <x v="0"/>
    <x v="0"/>
    <x v="6"/>
    <s v="No"/>
    <n v="20260514"/>
    <n v="149208136"/>
    <s v="SERVICIOS_SIP"/>
    <s v="NEO1"/>
    <n v="0"/>
    <n v="0"/>
    <s v="CAMPAÑA"/>
    <n v="150"/>
    <s v="8160 - QUEVEDO, JOAHANA"/>
    <n v="26"/>
    <s v="ANSWER"/>
    <s v="AGENT"/>
    <d v="2026-05-14T14:10:00"/>
    <d v="2026-05-14T14:10:00"/>
    <d v="2026-05-14T14:27:02"/>
    <s v="01152741410"/>
    <s v="3804555408"/>
    <s v="ENTRANTE"/>
    <s v="FULL"/>
    <s v="3804555408-149208136-20260514141000.mp3"/>
    <s v=""/>
    <s v="NAC-CEL"/>
    <s v="NACIONAL"/>
    <s v="PAIS-CELULAR"/>
    <n v="0"/>
    <n v="0"/>
    <n v="0"/>
    <n v="0"/>
    <s v="BL"/>
    <n v="3"/>
    <n v="1022"/>
    <s v="NotSet"/>
    <n v="37"/>
    <n v="1"/>
    <n v="2497515"/>
    <s v=""/>
    <s v="|0||SIP/SERVICIOS_SIP-000046b2|1778778657.18104|16:Normal Clearing|16:PBX|5|SIP/GQ198-000046cc|-1|NotSet|"/>
    <s v=""/>
  </r>
  <r>
    <x v="8"/>
    <n v="2804393011"/>
    <x v="0"/>
    <x v="0"/>
    <x v="0"/>
    <x v="0"/>
    <x v="0"/>
    <x v="7"/>
    <s v="No"/>
    <n v="20260514"/>
    <n v="149206811"/>
    <s v="SERVICIOS_SIP"/>
    <s v="NEO1"/>
    <n v="0"/>
    <n v="0"/>
    <s v="CAMPAÑA"/>
    <n v="150"/>
    <s v="8823 - Olmedo  , Selene"/>
    <n v="26"/>
    <s v="ANSWER"/>
    <s v="AGENT"/>
    <d v="2026-05-14T13:17:31"/>
    <d v="2026-05-14T13:17:32"/>
    <d v="2026-05-14T13:26:56"/>
    <s v="01152741410"/>
    <s v="2804393011"/>
    <s v="ENTRANTE"/>
    <s v="FULL"/>
    <s v="2804393011-149206811-20260514131731.mp3"/>
    <s v=""/>
    <s v="NAC-CEL"/>
    <s v="NACIONAL"/>
    <s v="PAIS-CELULAR"/>
    <n v="0"/>
    <n v="0"/>
    <n v="0"/>
    <n v="0"/>
    <s v="BL"/>
    <n v="3"/>
    <n v="565"/>
    <s v="NotSet"/>
    <n v="37"/>
    <n v="184"/>
    <n v="2237324"/>
    <s v=""/>
    <s v="|0||SIP/SERVICIOS_SIP-00003bdb|1778775509.15328|16:Normal Clearing|17:Network|22||-1|NotSet|"/>
    <s v=""/>
  </r>
  <r>
    <x v="8"/>
    <n v="3513150205"/>
    <x v="0"/>
    <x v="0"/>
    <x v="0"/>
    <x v="0"/>
    <x v="0"/>
    <x v="7"/>
    <s v="No"/>
    <n v="20260514"/>
    <n v="149206798"/>
    <s v="SERVICIOS_SIP"/>
    <s v="NEO1"/>
    <n v="0"/>
    <n v="0"/>
    <s v="CAMPAÑA"/>
    <n v="150"/>
    <s v="8927 - Lizarrondo, Candela"/>
    <n v="26"/>
    <s v="ANSWER"/>
    <s v="AGENT"/>
    <d v="2026-05-14T13:17:17"/>
    <d v="2026-05-14T13:17:17"/>
    <d v="2026-05-14T13:24:24"/>
    <s v="01152741410"/>
    <s v="3513150205"/>
    <s v="ENTRANTE"/>
    <s v="FULL"/>
    <s v="3513150205-149206798-20260514131717.mp3"/>
    <s v=""/>
    <s v="NAC-CEL"/>
    <s v="NACIONAL"/>
    <s v="PAIS-CELULAR"/>
    <n v="0"/>
    <n v="0"/>
    <n v="0"/>
    <n v="0"/>
    <s v="BL"/>
    <n v="3"/>
    <n v="427"/>
    <s v="NotSet"/>
    <n v="37"/>
    <n v="201"/>
    <n v="2497484"/>
    <s v=""/>
    <s v="|0||SIP/SERVICIOS_SIP-00003bc2|1778775494.15303|16:Normal Clearing|16:PBX|21|SIP/GQ108-00003bc8|-1|NotSet|"/>
    <s v=""/>
  </r>
  <r>
    <x v="8"/>
    <n v="2976241593"/>
    <x v="0"/>
    <x v="0"/>
    <x v="0"/>
    <x v="0"/>
    <x v="0"/>
    <x v="7"/>
    <s v="No"/>
    <n v="20260514"/>
    <n v="149206512"/>
    <s v="SERVICIOS_SIP"/>
    <s v="NEO1"/>
    <n v="0"/>
    <n v="0"/>
    <s v="CAMPAÑA"/>
    <n v="150"/>
    <s v="8160 - QUEVEDO, JOAHANA"/>
    <n v="26"/>
    <s v="ANSWER"/>
    <s v="AGENT"/>
    <d v="2026-05-14T13:05:07"/>
    <d v="2026-05-14T13:05:07"/>
    <d v="2026-05-14T13:27:41"/>
    <s v="01152741410"/>
    <s v="2976241593"/>
    <s v="ENTRANTE"/>
    <s v="FULL"/>
    <s v="2976241593-149206512-20260514130506.mp3"/>
    <s v=""/>
    <s v="NAC-CEL"/>
    <s v="NACIONAL"/>
    <s v="PAIS-CELULAR"/>
    <n v="0"/>
    <n v="0"/>
    <n v="0"/>
    <n v="0"/>
    <s v="BL"/>
    <n v="3"/>
    <n v="1355"/>
    <s v="NotSet"/>
    <n v="37"/>
    <n v="201"/>
    <n v="2492528"/>
    <s v=""/>
    <s v="|0||SIP/SERVICIOS_SIP-00003962|1778774764.14695|16:Normal Clearing|17:Network|17||-1|NotSet|"/>
    <s v=""/>
  </r>
  <r>
    <x v="8"/>
    <n v="3873531448"/>
    <x v="0"/>
    <x v="0"/>
    <x v="0"/>
    <x v="0"/>
    <x v="3"/>
    <x v="10"/>
    <s v="No"/>
    <n v="20260514"/>
    <n v="149203549"/>
    <s v="SERVICIOS_SIP"/>
    <s v="NEO1"/>
    <n v="0"/>
    <n v="0"/>
    <s v="CAMPAÑA"/>
    <n v="150"/>
    <s v="8160 - QUEVEDO, JOAHANA"/>
    <n v="5"/>
    <s v="ANSWER"/>
    <s v="AGENT"/>
    <d v="2026-05-14T10:58:09"/>
    <d v="2026-05-14T10:58:09"/>
    <d v="2026-05-14T10:59:44"/>
    <s v="01152741410"/>
    <s v="3873531448"/>
    <s v="ENTRANTE"/>
    <s v="FULL"/>
    <s v="3873531448-149203549-20260514105808.mp3"/>
    <s v=""/>
    <s v="NAC-CEL"/>
    <s v="NACIONAL"/>
    <s v="PAIS-CELULAR"/>
    <n v="0"/>
    <n v="0"/>
    <n v="0"/>
    <n v="0"/>
    <s v="BL"/>
    <n v="3"/>
    <n v="96"/>
    <s v="NotSet"/>
    <n v="37"/>
    <n v="198"/>
    <n v="2472176"/>
    <s v=""/>
    <s v="|0||SIP/SERVICIOS_SIP-0000212f|1778767146.8498|16:Normal Clearing|17:Network|23||-1|NotSet|"/>
    <s v=""/>
  </r>
  <r>
    <x v="8"/>
    <n v="3513903341"/>
    <x v="0"/>
    <x v="0"/>
    <x v="0"/>
    <x v="0"/>
    <x v="0"/>
    <x v="10"/>
    <s v="No"/>
    <n v="20260514"/>
    <n v="149202878"/>
    <s v="SERVICIOS_SIP"/>
    <s v="NEO1"/>
    <n v="0"/>
    <n v="0"/>
    <s v="CAMPAÑA"/>
    <n v="150"/>
    <s v="8861 - Caceres, Martina"/>
    <n v="26"/>
    <s v="ANSWER"/>
    <s v="AGENT"/>
    <d v="2026-05-14T10:34:57"/>
    <d v="2026-05-14T10:34:57"/>
    <d v="2026-05-14T10:37:07"/>
    <s v="01152741410"/>
    <s v="3513903341"/>
    <s v="ENTRANTE"/>
    <s v="FULL"/>
    <s v="3513903341-149202878-20260514103456.mp3"/>
    <s v=""/>
    <s v="NAC-CEL"/>
    <s v="NACIONAL"/>
    <s v="PAIS-CELULAR"/>
    <n v="0"/>
    <n v="0"/>
    <n v="0"/>
    <n v="0"/>
    <s v="BL"/>
    <n v="3"/>
    <n v="131"/>
    <s v="NotSet"/>
    <n v="37"/>
    <n v="187"/>
    <n v="2248891"/>
    <s v=""/>
    <s v="|0||SIP/SERVICIOS_SIP-00001b8f|1778765754.7058|16:Normal Clearing|16:PBX|20|SIP/GQ106-00001b9e|-1|NotSet|"/>
    <s v=""/>
  </r>
  <r>
    <x v="8"/>
    <n v="3854060959"/>
    <x v="0"/>
    <x v="0"/>
    <x v="0"/>
    <x v="0"/>
    <x v="3"/>
    <x v="10"/>
    <s v="No"/>
    <n v="20260514"/>
    <n v="149202374"/>
    <s v="SERVICIOS_SIP"/>
    <s v="NEO1"/>
    <n v="0"/>
    <n v="0"/>
    <s v="CAMPAÑA"/>
    <n v="150"/>
    <s v="8160 - QUEVEDO, JOAHANA"/>
    <n v="5"/>
    <s v="ANSWER"/>
    <s v="AGENT"/>
    <d v="2026-05-14T10:13:52"/>
    <d v="2026-05-14T10:13:52"/>
    <d v="2026-05-14T10:22:58"/>
    <s v="01152741410"/>
    <s v="3854060959"/>
    <s v="ENTRANTE"/>
    <s v="FULL"/>
    <s v="3854060959-149202374-20260514101352.mp3"/>
    <s v=""/>
    <s v="NAC-CEL"/>
    <s v="NACIONAL"/>
    <s v="PAIS-CELULAR"/>
    <n v="0"/>
    <n v="0"/>
    <n v="0"/>
    <n v="0"/>
    <s v="BL"/>
    <n v="3"/>
    <n v="546"/>
    <s v="NotSet"/>
    <n v="37"/>
    <n v="0"/>
    <n v="0"/>
    <s v=""/>
    <s v="|0||SIP/SERVICIOS_SIP-000016ff|1778764489.5890|16:Normal Clearing|17:Network|20||-1|NotSet|"/>
    <s v=""/>
  </r>
  <r>
    <x v="8"/>
    <n v="3813926275"/>
    <x v="0"/>
    <x v="0"/>
    <x v="0"/>
    <x v="0"/>
    <x v="0"/>
    <x v="0"/>
    <s v="No"/>
    <n v="20260514"/>
    <n v="149201751"/>
    <s v="SERVICIOS_SIP"/>
    <s v="NEO1"/>
    <n v="0"/>
    <n v="0"/>
    <s v="CAMPAÑA"/>
    <n v="150"/>
    <s v="8861 - Caceres, Martina"/>
    <n v="26"/>
    <s v="ANSWER"/>
    <s v="AGENT"/>
    <d v="2026-05-14T09:47:29"/>
    <d v="2026-05-14T09:47:29"/>
    <d v="2026-05-14T09:54:08"/>
    <s v="01152741410"/>
    <s v="3813926275"/>
    <s v="ENTRANTE"/>
    <s v="FULL"/>
    <s v="3813926275-149201751-20260514094729.mp3"/>
    <s v=""/>
    <s v="NAC-FIJO"/>
    <s v="TUCUMAN"/>
    <s v="SAN MIGUEL DE TUCUMAN"/>
    <n v="0"/>
    <n v="0"/>
    <n v="0"/>
    <n v="0"/>
    <s v="BL"/>
    <n v="3"/>
    <n v="400"/>
    <s v="NotSet"/>
    <n v="37"/>
    <n v="202"/>
    <n v="2496870"/>
    <s v=""/>
    <s v="|0||SIP/SERVICIOS_SIP-0000110a|1778762906.4365|16:Normal Clearing|16:PBX|14|SIP/GQ106-0000111d|-1|NotSet|"/>
    <s v=""/>
  </r>
  <r>
    <x v="9"/>
    <n v="3812590552"/>
    <x v="0"/>
    <x v="0"/>
    <x v="0"/>
    <x v="0"/>
    <x v="1"/>
    <x v="1"/>
    <s v="No"/>
    <n v="20260515"/>
    <n v="149236656"/>
    <s v="SERVICIOS_SIP"/>
    <s v="NEO1"/>
    <n v="0"/>
    <n v="0"/>
    <s v="CAMPAÑA"/>
    <n v="150"/>
    <s v="8814 - Nievas, Jimena "/>
    <n v="27"/>
    <s v="ANSWER"/>
    <s v="AGENT"/>
    <d v="2026-05-15T19:52:56"/>
    <d v="2026-05-15T19:52:56"/>
    <d v="2026-05-15T19:55:10"/>
    <s v="01152741410"/>
    <s v="3812590552"/>
    <s v="ENTRANTE"/>
    <s v="FULL"/>
    <s v="3812590552-149236656-20260515195255.mp3"/>
    <s v=""/>
    <s v="NAC-FIJO"/>
    <s v="TUCUMAN"/>
    <s v="SAN MIGUEL DE TUCUMAN"/>
    <n v="0"/>
    <n v="0"/>
    <n v="0"/>
    <n v="0"/>
    <s v="BL"/>
    <n v="3"/>
    <n v="135"/>
    <s v="NotSet"/>
    <n v="37"/>
    <n v="0"/>
    <n v="0"/>
    <s v=""/>
    <s v="|0||SIP/SERVICIOS_SIP-0002910b|1778885635.168215|16:Normal Clearing|17:Network|5||-1|NotSet|"/>
    <s v=""/>
  </r>
  <r>
    <x v="9"/>
    <n v="1132101845"/>
    <x v="0"/>
    <x v="0"/>
    <x v="0"/>
    <x v="0"/>
    <x v="1"/>
    <x v="1"/>
    <s v="No"/>
    <n v="20260515"/>
    <n v="149236654"/>
    <s v="SERVICIOS_SIP"/>
    <s v="NEO1"/>
    <n v="0"/>
    <n v="0"/>
    <s v="CAMPAÑA"/>
    <n v="150"/>
    <s v="8864 - González, Maitena"/>
    <n v="27"/>
    <s v="ANSWER"/>
    <s v="AGENT"/>
    <d v="2026-05-15T19:51:48"/>
    <d v="2026-05-15T19:51:48"/>
    <d v="2026-05-15T19:54:36"/>
    <s v="01152741410"/>
    <s v="1132101845"/>
    <s v="ENTRANTE"/>
    <s v="FULL"/>
    <s v="1132101845-149236654-20260515195147.mp3"/>
    <s v=""/>
    <s v="NAC-CEL"/>
    <s v="NACIONAL"/>
    <s v="PAIS-CELULAR"/>
    <n v="0"/>
    <n v="0"/>
    <n v="0"/>
    <n v="0"/>
    <s v="BL"/>
    <n v="3"/>
    <n v="169"/>
    <s v="NotSet"/>
    <n v="37"/>
    <n v="1"/>
    <n v="2498498"/>
    <s v="May 15 2026  5:35PM"/>
    <s v="|0||SIP/SERVICIOS_SIP-00029103|1778885567.168207|16:Normal Clearing|17:Network|2||-1|NotSet|"/>
    <s v=""/>
  </r>
  <r>
    <x v="9"/>
    <n v="1165440773"/>
    <x v="0"/>
    <x v="0"/>
    <x v="0"/>
    <x v="0"/>
    <x v="1"/>
    <x v="1"/>
    <s v="No"/>
    <n v="20260515"/>
    <n v="149236374"/>
    <s v="SERVICIOS_SIP"/>
    <s v="NEO1"/>
    <n v="0"/>
    <n v="0"/>
    <s v="CAMPAÑA"/>
    <n v="150"/>
    <s v="8864 - González, Maitena"/>
    <n v="27"/>
    <s v="ANSWER"/>
    <s v="AGENT"/>
    <d v="2026-05-15T19:33:24"/>
    <d v="2026-05-15T19:33:24"/>
    <d v="2026-05-15T19:36:41"/>
    <s v="01152741410"/>
    <s v="1165440773"/>
    <s v="ENTRANTE"/>
    <s v="FULL"/>
    <s v="1165440773-149236374-20260515193323.mp3"/>
    <s v=""/>
    <s v="NAC-CEL"/>
    <s v="NACIONAL"/>
    <s v="PAIS-CELULAR"/>
    <n v="0"/>
    <n v="0"/>
    <n v="0"/>
    <n v="0"/>
    <s v="BL"/>
    <n v="3"/>
    <n v="197"/>
    <s v="NotSet"/>
    <n v="37"/>
    <n v="201"/>
    <n v="2494572"/>
    <s v=""/>
    <s v="|0||SIP/SERVICIOS_SIP-00028dce|1778884463.167386|16:Normal Clearing|17:Network|15||-1|NotSet|"/>
    <s v=""/>
  </r>
  <r>
    <x v="9"/>
    <n v="1132955083"/>
    <x v="0"/>
    <x v="0"/>
    <x v="0"/>
    <x v="0"/>
    <x v="1"/>
    <x v="1"/>
    <s v="No"/>
    <n v="20260515"/>
    <n v="149236153"/>
    <s v="SERVICIOS_SIP"/>
    <s v="NEO1"/>
    <n v="0"/>
    <n v="0"/>
    <s v="CAMPAÑA"/>
    <n v="150"/>
    <s v="8864 - González, Maitena"/>
    <n v="27"/>
    <s v="ANSWER"/>
    <s v="AGENT"/>
    <d v="2026-05-15T19:23:43"/>
    <d v="2026-05-15T19:23:43"/>
    <d v="2026-05-15T19:31:34"/>
    <s v="01152741410"/>
    <s v="1132955083"/>
    <s v="ENTRANTE"/>
    <s v="FULL"/>
    <s v="1132955083-149236153-20260515192343.mp3"/>
    <s v=""/>
    <s v="NAC-CEL"/>
    <s v="NACIONAL"/>
    <s v="PAIS-CELULAR"/>
    <n v="0"/>
    <n v="0"/>
    <n v="0"/>
    <n v="0"/>
    <s v="BL"/>
    <n v="3"/>
    <n v="471"/>
    <s v="NotSet"/>
    <n v="37"/>
    <n v="1"/>
    <n v="2498576"/>
    <s v=""/>
    <s v="|0||SIP/SERVICIOS_SIP-00028be4|1778883883.166896|16:Normal Clearing|16:PBX|3|SIP/GQ109-00028bfd|-1|NotSet|"/>
    <s v=""/>
  </r>
  <r>
    <x v="9"/>
    <n v="1161471726"/>
    <x v="0"/>
    <x v="0"/>
    <x v="0"/>
    <x v="0"/>
    <x v="1"/>
    <x v="3"/>
    <s v="No"/>
    <n v="20260515"/>
    <n v="149232633"/>
    <s v="SERVICIOS_SIP"/>
    <s v="NEO1"/>
    <n v="0"/>
    <n v="0"/>
    <s v="CAMPAÑA"/>
    <n v="150"/>
    <s v="8864 - González, Maitena"/>
    <n v="27"/>
    <s v="ANSWER"/>
    <s v="AGENT"/>
    <d v="2026-05-15T17:27:50"/>
    <d v="2026-05-15T17:27:50"/>
    <d v="2026-05-15T17:32:42"/>
    <s v="01152741410"/>
    <s v="1161471726"/>
    <s v="ENTRANTE"/>
    <s v="FULL"/>
    <s v="1161471726-149232633-20260515172750.mp3"/>
    <s v=""/>
    <s v="NAC-CEL"/>
    <s v="NACIONAL"/>
    <s v="PAIS-CELULAR"/>
    <n v="0"/>
    <n v="0"/>
    <n v="0"/>
    <n v="0"/>
    <s v="BL"/>
    <n v="3"/>
    <n v="292"/>
    <s v="NotSet"/>
    <n v="37"/>
    <n v="202"/>
    <n v="2498490"/>
    <s v=""/>
    <s v="|0||SIP/SERVICIOS_SIP-0001a6cf|1778876930.108251|16:Normal Clearing|16:PBX|4|SIP/GQ109-0001a6e3|-1|NotSet|"/>
    <s v=""/>
  </r>
  <r>
    <x v="9"/>
    <n v="3584909230"/>
    <x v="0"/>
    <x v="0"/>
    <x v="0"/>
    <x v="0"/>
    <x v="1"/>
    <x v="3"/>
    <s v="No"/>
    <n v="20260515"/>
    <n v="149232425"/>
    <s v="SERVICIOS_SIP"/>
    <s v="NEO1"/>
    <n v="0"/>
    <n v="0"/>
    <s v="CAMPAÑA"/>
    <n v="150"/>
    <s v="8864 - González, Maitena"/>
    <n v="27"/>
    <s v="ANSWER"/>
    <s v="AGENT"/>
    <d v="2026-05-15T17:19:05"/>
    <d v="2026-05-15T17:19:05"/>
    <d v="2026-05-15T17:22:59"/>
    <s v="01152741410"/>
    <s v="3584909230"/>
    <s v="ENTRANTE"/>
    <s v="FULL"/>
    <s v="3584909230-149232425-20260515171905.mp3"/>
    <s v=""/>
    <s v="NAC-CEL"/>
    <s v="NACIONAL"/>
    <s v="PAIS-CELULAR"/>
    <n v="0"/>
    <n v="0"/>
    <n v="0"/>
    <n v="0"/>
    <s v="BL"/>
    <n v="3"/>
    <n v="234"/>
    <s v="NotSet"/>
    <n v="37"/>
    <n v="0"/>
    <n v="0"/>
    <s v=""/>
    <s v="|0||SIP/SERVICIOS_SIP-0001a4d6|1778876405.107746|16:Normal Clearing|16:PBX|21|SIP/GQ109-0001a4e9|-1|NotSet|"/>
    <s v=""/>
  </r>
  <r>
    <x v="9"/>
    <n v="2241465236"/>
    <x v="0"/>
    <x v="0"/>
    <x v="0"/>
    <x v="0"/>
    <x v="1"/>
    <x v="3"/>
    <s v="No"/>
    <n v="20260515"/>
    <n v="149232173"/>
    <s v="SERVICIOS_SIP"/>
    <s v="NEO1"/>
    <n v="0"/>
    <n v="0"/>
    <s v="CAMPAÑA"/>
    <n v="150"/>
    <s v="8864 - González, Maitena"/>
    <n v="27"/>
    <s v="ANSWER"/>
    <s v="AGENT"/>
    <d v="2026-05-15T17:08:13"/>
    <d v="2026-05-15T17:08:14"/>
    <d v="2026-05-15T17:08:44"/>
    <s v="01152741410"/>
    <s v="2241465236"/>
    <s v="ENTRANTE"/>
    <s v="FULL"/>
    <s v="2241465236-149232173-20260515170813.mp3"/>
    <s v=""/>
    <s v="NAC-CEL"/>
    <s v="NACIONAL"/>
    <s v="PAIS-CELULAR"/>
    <n v="0"/>
    <n v="0"/>
    <n v="0"/>
    <n v="0"/>
    <s v="BL"/>
    <n v="3"/>
    <n v="31"/>
    <s v="NotSet"/>
    <n v="37"/>
    <n v="188"/>
    <n v="2263178"/>
    <s v=""/>
    <s v="|0||SIP/SERVICIOS_SIP-0001a29f|1778875753.107179|16:Normal Clearing|17:Network|11||-1|NotSet|"/>
    <s v=""/>
  </r>
  <r>
    <x v="9"/>
    <n v="1160056437"/>
    <x v="0"/>
    <x v="0"/>
    <x v="0"/>
    <x v="0"/>
    <x v="1"/>
    <x v="4"/>
    <s v="No"/>
    <n v="20260515"/>
    <n v="149231306"/>
    <s v="SERVICIOS_SIP"/>
    <s v="NEO1"/>
    <n v="0"/>
    <n v="0"/>
    <s v="CAMPAÑA"/>
    <n v="150"/>
    <s v="8864 - González, Maitena"/>
    <n v="27"/>
    <s v="ANSWER"/>
    <s v="AGENT"/>
    <d v="2026-05-15T16:31:12"/>
    <d v="2026-05-15T16:31:12"/>
    <d v="2026-05-15T16:32:57"/>
    <s v="01152741410"/>
    <s v="1160056437"/>
    <s v="ENTRANTE"/>
    <s v="FULL"/>
    <s v="1160056437-149231306-20260515163111.mp3"/>
    <s v=""/>
    <s v="NAC-CEL"/>
    <s v="NACIONAL"/>
    <s v="PAIS-CELULAR"/>
    <n v="0"/>
    <n v="0"/>
    <n v="0"/>
    <n v="0"/>
    <s v="BL"/>
    <n v="3"/>
    <n v="106"/>
    <s v="NotSet"/>
    <n v="37"/>
    <n v="1"/>
    <n v="2498442"/>
    <s v=""/>
    <s v="|0||SIP/SERVICIOS_SIP-00019b31|1778873531.105277|16:Normal Clearing|16:PBX|4|SIP/GQ109-00019b46|-1|NotSet|"/>
    <s v=""/>
  </r>
  <r>
    <x v="9"/>
    <n v="3816408806"/>
    <x v="0"/>
    <x v="0"/>
    <x v="0"/>
    <x v="0"/>
    <x v="1"/>
    <x v="4"/>
    <s v="No"/>
    <n v="20260515"/>
    <n v="149230541"/>
    <s v="SERVICIOS_SIP"/>
    <s v="NEO1"/>
    <n v="0"/>
    <n v="0"/>
    <s v="CAMPAÑA"/>
    <n v="150"/>
    <s v="8957 - Bustos, Juan Ignacio"/>
    <n v="27"/>
    <s v="ANSWER"/>
    <s v="AGENT"/>
    <d v="2026-05-15T16:05:46"/>
    <d v="2026-05-15T16:05:46"/>
    <d v="2026-05-15T16:06:28"/>
    <s v="01152741410"/>
    <s v="3816408806"/>
    <s v="ENTRANTE"/>
    <s v="FULL"/>
    <s v="3816408806-149230541-20260515160546.mp3"/>
    <s v=""/>
    <s v="NAC-CEL"/>
    <s v="NACIONAL"/>
    <s v="PAIS-CELULAR"/>
    <n v="0"/>
    <n v="0"/>
    <n v="0"/>
    <n v="0"/>
    <s v="BL"/>
    <n v="3"/>
    <n v="42"/>
    <s v="NotSet"/>
    <n v="37"/>
    <n v="201"/>
    <n v="2498120"/>
    <s v=""/>
    <s v="|0||SIP/SERVICIOS_SIP-000194d3|1778872006.103646|16:Normal Clearing|16:PBX|20|SIP/GQ115-000194de|-1|NotSet|"/>
    <s v=""/>
  </r>
  <r>
    <x v="9"/>
    <n v="3415816854"/>
    <x v="0"/>
    <x v="0"/>
    <x v="0"/>
    <x v="0"/>
    <x v="1"/>
    <x v="4"/>
    <s v="No"/>
    <n v="20260515"/>
    <n v="149230441"/>
    <s v="SERVICIOS_SIP"/>
    <s v="NEO1"/>
    <n v="0"/>
    <n v="0"/>
    <s v="CAMPAÑA"/>
    <n v="150"/>
    <s v="8814 - Nievas, Jimena "/>
    <n v="27"/>
    <s v="ANSWER"/>
    <s v="AGENT"/>
    <d v="2026-05-15T16:01:43"/>
    <d v="2026-05-15T16:01:43"/>
    <d v="2026-05-15T16:08:32"/>
    <s v="01152741410"/>
    <s v="3415816854"/>
    <s v="ENTRANTE"/>
    <s v="FULL"/>
    <s v="3415816854-149230441-20260515160143.mp3"/>
    <s v=""/>
    <s v="NAC-CEL"/>
    <s v="NACIONAL"/>
    <s v="PAIS-CELULAR"/>
    <n v="0"/>
    <n v="0"/>
    <n v="0"/>
    <n v="0"/>
    <s v="BL"/>
    <n v="3"/>
    <n v="410"/>
    <s v="NotSet"/>
    <n v="37"/>
    <n v="201"/>
    <n v="2491044"/>
    <s v=""/>
    <s v="|0||SIP/SERVICIOS_SIP-00019400|1778871762.103435|16:Normal Clearing|17:Network|3||-1|NotSet|"/>
    <s v=""/>
  </r>
  <r>
    <x v="9"/>
    <n v="3512550704"/>
    <x v="0"/>
    <x v="0"/>
    <x v="0"/>
    <x v="0"/>
    <x v="1"/>
    <x v="5"/>
    <s v="No"/>
    <n v="20260515"/>
    <n v="149230397"/>
    <s v="SERVICIOS_SIP"/>
    <s v="NEO1"/>
    <n v="0"/>
    <n v="0"/>
    <s v="CAMPAÑA"/>
    <n v="150"/>
    <s v="8864 - González, Maitena"/>
    <n v="27"/>
    <s v="ANSWER"/>
    <s v="AGENT"/>
    <d v="2026-05-15T15:59:37"/>
    <d v="2026-05-15T15:59:37"/>
    <d v="2026-05-15T16:06:51"/>
    <s v="01152741410"/>
    <s v="3512550704"/>
    <s v="ENTRANTE"/>
    <s v="FULL"/>
    <s v="3512550704-149230397-20260515155937.mp3"/>
    <s v=""/>
    <s v="NAC-FIJO"/>
    <s v="CORDOBA"/>
    <s v="CORDOBA"/>
    <n v="0"/>
    <n v="0"/>
    <n v="0"/>
    <n v="0"/>
    <s v="BL"/>
    <n v="3"/>
    <n v="434"/>
    <s v="NotSet"/>
    <n v="37"/>
    <n v="201"/>
    <n v="2488269"/>
    <s v=""/>
    <s v="|0||SIP/SERVICIOS_SIP-000193a7|1778871637.103346|16:Normal Clearing|16:PBX|22||-1|NotSet|"/>
    <s v=""/>
  </r>
  <r>
    <x v="9"/>
    <n v="1156334597"/>
    <x v="0"/>
    <x v="0"/>
    <x v="0"/>
    <x v="0"/>
    <x v="0"/>
    <x v="7"/>
    <s v="No"/>
    <n v="20260515"/>
    <n v="149227203"/>
    <s v="SERVICIOS_SIP"/>
    <s v="NEO1"/>
    <n v="0"/>
    <n v="0"/>
    <s v="CAMPAÑA"/>
    <n v="150"/>
    <s v="8823 - Olmedo  , Selene"/>
    <n v="26"/>
    <s v="ANSWER"/>
    <s v="AGENT"/>
    <d v="2026-05-15T13:42:12"/>
    <d v="2026-05-15T13:42:12"/>
    <d v="2026-05-15T13:45:25"/>
    <s v="01152741410"/>
    <s v="1156334597"/>
    <s v="ENTRANTE"/>
    <s v="FULL"/>
    <s v="1156334597-149227203-20260515134211.mp3"/>
    <s v=""/>
    <s v="NAC-CEL"/>
    <s v="NACIONAL"/>
    <s v="PAIS-CELULAR"/>
    <n v="0"/>
    <n v="0"/>
    <n v="0"/>
    <n v="0"/>
    <s v="BL"/>
    <n v="3"/>
    <n v="193"/>
    <s v="NotSet"/>
    <n v="37"/>
    <n v="198"/>
    <n v="2469530"/>
    <s v=""/>
    <s v="|0||SIP/SERVICIOS_SIP-00017986|1778863392.96656|16:Normal Clearing|17:Network|13||-1|NotSet|"/>
    <s v=""/>
  </r>
  <r>
    <x v="9"/>
    <n v="1139391994"/>
    <x v="0"/>
    <x v="0"/>
    <x v="0"/>
    <x v="0"/>
    <x v="0"/>
    <x v="7"/>
    <s v="No"/>
    <n v="20260515"/>
    <n v="149226946"/>
    <s v="SERVICIOS_SIP"/>
    <s v="NEO1"/>
    <n v="0"/>
    <n v="0"/>
    <s v="CAMPAÑA"/>
    <n v="150"/>
    <s v="8861 - Caceres, Martina"/>
    <n v="26"/>
    <s v="ANSWER"/>
    <s v="AGENT"/>
    <d v="2026-05-15T13:27:58"/>
    <d v="2026-05-15T13:27:58"/>
    <d v="2026-05-15T13:28:18"/>
    <s v="01152741410"/>
    <s v="1139391994"/>
    <s v="ENTRANTE"/>
    <s v="FULL"/>
    <s v="1139391994-149226946-20260515132757.mp3"/>
    <s v=""/>
    <s v="LOC-FIJO"/>
    <s v="LOCAL-FIJO"/>
    <s v="LOCAL-FIJO"/>
    <n v="0"/>
    <n v="0"/>
    <n v="0"/>
    <n v="0"/>
    <s v="BL"/>
    <n v="3"/>
    <n v="21"/>
    <s v="NotSet"/>
    <n v="37"/>
    <n v="0"/>
    <n v="0"/>
    <s v=""/>
    <s v="|0||SIP/SERVICIOS_SIP-00017751|1778862537.96090|16:Normal Clearing|17:Network|22||-1|NotSet|"/>
    <s v=""/>
  </r>
  <r>
    <x v="9"/>
    <n v="3825531216"/>
    <x v="0"/>
    <x v="0"/>
    <x v="0"/>
    <x v="0"/>
    <x v="0"/>
    <x v="8"/>
    <s v="No"/>
    <n v="20260515"/>
    <n v="149225558"/>
    <s v="SERVICIOS_SIP"/>
    <s v="NEO1"/>
    <n v="0"/>
    <n v="0"/>
    <s v="CAMPAÑA"/>
    <n v="150"/>
    <s v="8861 - Caceres, Martina"/>
    <n v="26"/>
    <s v="ANSWER"/>
    <s v="AGENT"/>
    <d v="2026-05-15T12:37:02"/>
    <d v="2026-05-15T12:37:02"/>
    <d v="2026-05-15T13:01:28"/>
    <s v="01152741410"/>
    <s v="3825531216"/>
    <s v="ENTRANTE"/>
    <s v="FULL"/>
    <s v="3825531216-149225558-20260515123702.mp3"/>
    <s v=""/>
    <s v="NAC-FIJO"/>
    <s v="LA RIOJA"/>
    <s v="CHILECITO"/>
    <n v="0"/>
    <n v="0"/>
    <n v="0"/>
    <n v="0"/>
    <s v="BL"/>
    <n v="3"/>
    <n v="1466"/>
    <s v="NotSet"/>
    <n v="37"/>
    <n v="201"/>
    <n v="2494840"/>
    <s v=""/>
    <s v="|0||SIP/SERVICIOS_SIP-00016cbc|1778859482.93379|16:Normal Clearing|17:Network|25||-1|NotSet|"/>
    <s v=""/>
  </r>
  <r>
    <x v="9"/>
    <n v="3836017730"/>
    <x v="0"/>
    <x v="0"/>
    <x v="0"/>
    <x v="0"/>
    <x v="0"/>
    <x v="8"/>
    <s v="No"/>
    <n v="20260515"/>
    <n v="149225225"/>
    <s v="SERVICIOS_SIP"/>
    <s v="NEO1"/>
    <n v="0"/>
    <n v="0"/>
    <s v="CAMPAÑA"/>
    <n v="150"/>
    <s v="8927 - Lizarrondo, Candela"/>
    <n v="26"/>
    <s v="ANSWER"/>
    <s v="AGENT"/>
    <d v="2026-05-15T12:30:23"/>
    <d v="2026-05-15T12:30:23"/>
    <d v="2026-05-15T12:32:22"/>
    <s v="01152741410"/>
    <s v="3836017730"/>
    <s v="ENTRANTE"/>
    <s v="FULL"/>
    <s v="3836017730-149225225-20260515123023.mp3"/>
    <s v=""/>
    <s v="NAC-FIJO"/>
    <s v="CATAMARCA"/>
    <s v="CATAMARCA"/>
    <n v="0"/>
    <n v="0"/>
    <n v="0"/>
    <n v="0"/>
    <s v="BL"/>
    <n v="3"/>
    <n v="119"/>
    <s v="NotSet"/>
    <n v="37"/>
    <n v="1"/>
    <n v="2498262"/>
    <s v=""/>
    <s v="|0||SIP/SERVICIOS_SIP-00016ab7|1778859083.92862|16:Normal Clearing|16:PBX|1||-1|NotSet|"/>
    <s v=""/>
  </r>
  <r>
    <x v="9"/>
    <n v="1161604288"/>
    <x v="0"/>
    <x v="0"/>
    <x v="0"/>
    <x v="0"/>
    <x v="0"/>
    <x v="8"/>
    <s v="No"/>
    <n v="20260515"/>
    <n v="149224900"/>
    <s v="SERVICIOS_SIP"/>
    <s v="NEO1"/>
    <n v="0"/>
    <n v="0"/>
    <s v="CAMPAÑA"/>
    <n v="150"/>
    <s v="8647 - Molina, Rocio"/>
    <n v="26"/>
    <s v="ANSWER"/>
    <s v="AGENT"/>
    <d v="2026-05-15T12:19:49"/>
    <d v="2026-05-15T12:19:49"/>
    <d v="2026-05-15T12:33:53"/>
    <s v="01152741410"/>
    <s v="1161604288"/>
    <s v="ENTRANTE"/>
    <s v="FULL"/>
    <s v="1161604288-149224900-20260515121949.mp3"/>
    <s v=""/>
    <s v="NAC-CEL"/>
    <s v="NACIONAL"/>
    <s v="PAIS-CELULAR"/>
    <n v="0"/>
    <n v="0"/>
    <n v="0"/>
    <n v="0"/>
    <s v="BL"/>
    <n v="3"/>
    <n v="844"/>
    <s v="NotSet"/>
    <n v="37"/>
    <n v="0"/>
    <n v="0"/>
    <s v=""/>
    <s v="|0||SIP/SERVICIOS_SIP-00016829|1778858449.92208|16:Normal Clearing|17:Network|16||-1|NotSet|"/>
    <s v=""/>
  </r>
  <r>
    <x v="9"/>
    <n v="1148278600"/>
    <x v="0"/>
    <x v="0"/>
    <x v="0"/>
    <x v="0"/>
    <x v="0"/>
    <x v="9"/>
    <s v="No"/>
    <n v="20260515"/>
    <n v="149223651"/>
    <s v="SERVICIOS_SIP"/>
    <s v="NEO1"/>
    <n v="0"/>
    <n v="0"/>
    <s v="CAMPAÑA"/>
    <n v="150"/>
    <s v="8861 - Caceres, Martina"/>
    <n v="26"/>
    <s v="ANSWER"/>
    <s v="AGENT"/>
    <d v="2026-05-15T11:31:17"/>
    <d v="2026-05-15T11:31:17"/>
    <d v="2026-05-15T11:41:28"/>
    <s v="01152741410"/>
    <s v="1148278600"/>
    <s v="ENTRANTE"/>
    <s v="FULL"/>
    <s v="1148278600-149223651-20260515113117.mp3"/>
    <s v=""/>
    <s v="LOC-FIJO"/>
    <s v="LOCAL-FIJO"/>
    <s v="LOCAL-FIJO"/>
    <n v="0"/>
    <n v="0"/>
    <n v="0"/>
    <n v="0"/>
    <s v="BL"/>
    <n v="3"/>
    <n v="611"/>
    <s v="NotSet"/>
    <n v="37"/>
    <n v="1"/>
    <n v="2498205"/>
    <s v=""/>
    <s v="|0||SIP/SERVICIOS_SIP-00015e0e|1778855537.89619|16:Normal Clearing|16:PBX|22|SIP/GQ106-00015e22|-1|NotSet|"/>
    <s v=""/>
  </r>
  <r>
    <x v="9"/>
    <n v="1123864913"/>
    <x v="0"/>
    <x v="0"/>
    <x v="0"/>
    <x v="0"/>
    <x v="0"/>
    <x v="9"/>
    <s v="No"/>
    <n v="20260515"/>
    <n v="149223597"/>
    <s v="SERVICIOS_SIP"/>
    <s v="NEO1"/>
    <n v="0"/>
    <n v="0"/>
    <s v="CAMPAÑA"/>
    <n v="150"/>
    <s v="8160 - QUEVEDO, JOAHANA"/>
    <n v="26"/>
    <s v="ANSWER"/>
    <s v="AGENT"/>
    <d v="2026-05-15T11:29:11"/>
    <d v="2026-05-15T11:29:11"/>
    <d v="2026-05-15T11:31:24"/>
    <s v="01152741410"/>
    <s v="1123864913"/>
    <s v="ENTRANTE"/>
    <s v="FULL"/>
    <s v="1123864913-149223597-20260515112910.mp3"/>
    <s v=""/>
    <s v="LOC-FIJO"/>
    <s v="LOCAL-FIJO"/>
    <s v="LOCAL-FIJO"/>
    <n v="0"/>
    <n v="0"/>
    <n v="0"/>
    <n v="0"/>
    <s v="BL"/>
    <n v="3"/>
    <n v="134"/>
    <s v="NotSet"/>
    <n v="37"/>
    <n v="0"/>
    <n v="0"/>
    <s v=""/>
    <s v="|0||SIP/SERVICIOS_SIP-00015d9c|1778855410.89505|16:Normal Clearing|17:Network|16||-1|NotSet|"/>
    <s v=""/>
  </r>
  <r>
    <x v="9"/>
    <n v="1125493701"/>
    <x v="0"/>
    <x v="0"/>
    <x v="0"/>
    <x v="0"/>
    <x v="0"/>
    <x v="9"/>
    <s v="No"/>
    <n v="20260515"/>
    <n v="149223236"/>
    <s v="SERVICIOS_SIP"/>
    <s v="NEO1"/>
    <n v="0"/>
    <n v="0"/>
    <s v="CAMPAÑA"/>
    <n v="150"/>
    <s v="8927 - Lizarrondo, Candela"/>
    <n v="26"/>
    <s v="ANSWER"/>
    <s v="AGENT"/>
    <d v="2026-05-15T11:17:45"/>
    <d v="2026-05-15T11:17:45"/>
    <d v="2026-05-15T11:20:05"/>
    <s v="01152741410"/>
    <s v="1125493701"/>
    <s v="ENTRANTE"/>
    <s v="FULL"/>
    <s v="1125493701-149223236-20260515111744.mp3"/>
    <s v=""/>
    <s v="LOC-FIJO"/>
    <s v="LOCAL-FIJO"/>
    <s v="LOCAL-FIJO"/>
    <n v="0"/>
    <n v="0"/>
    <n v="0"/>
    <n v="0"/>
    <s v="BL"/>
    <n v="3"/>
    <n v="141"/>
    <s v="NotSet"/>
    <n v="37"/>
    <n v="97"/>
    <n v="711092"/>
    <s v=""/>
    <s v="|0||SIP/SERVICIOS_SIP-00015ac0|1778854725.88773|16:Normal Clearing|17:Network|17||-1|NotSet|"/>
    <s v=""/>
  </r>
  <r>
    <x v="9"/>
    <n v="1144793093"/>
    <x v="0"/>
    <x v="0"/>
    <x v="0"/>
    <x v="0"/>
    <x v="3"/>
    <x v="10"/>
    <s v="No"/>
    <n v="20260515"/>
    <n v="149222680"/>
    <s v="SERVICIOS_SIP"/>
    <s v="NEO1"/>
    <n v="0"/>
    <n v="0"/>
    <s v="CAMPAÑA"/>
    <n v="150"/>
    <s v="8160 - QUEVEDO, JOAHANA"/>
    <n v="5"/>
    <s v="ANSWER"/>
    <s v="AGENT"/>
    <d v="2026-05-15T10:55:18"/>
    <d v="2026-05-15T10:55:18"/>
    <d v="2026-05-15T11:28:13"/>
    <s v="01152741410"/>
    <s v="1144793093"/>
    <s v="ENTRANTE"/>
    <s v="FULL"/>
    <s v="1144793093-149222680-20260515105517.mp3"/>
    <s v=""/>
    <s v="NAC-CEL"/>
    <s v="NACIONAL"/>
    <s v="PAIS-CELULAR"/>
    <n v="0"/>
    <n v="0"/>
    <n v="0"/>
    <n v="0"/>
    <s v="BL"/>
    <n v="3"/>
    <n v="1976"/>
    <s v="NotSet"/>
    <n v="37"/>
    <n v="1"/>
    <n v="2498164"/>
    <s v="May 15 2026 10:56AM"/>
    <s v="|0||SIP/SERVICIOS_SIP-0001563b|1778853377.87615|16:Normal Clearing|17:Network|18||-1|NotSet|"/>
    <s v=""/>
  </r>
  <r>
    <x v="9"/>
    <n v="2494373086"/>
    <x v="0"/>
    <x v="0"/>
    <x v="0"/>
    <x v="0"/>
    <x v="0"/>
    <x v="10"/>
    <s v="No"/>
    <n v="20260515"/>
    <n v="149222548"/>
    <s v="SERVICIOS_SIP"/>
    <s v="NEO1"/>
    <n v="0"/>
    <n v="0"/>
    <s v="CAMPAÑA"/>
    <n v="150"/>
    <s v="8160 - QUEVEDO, JOAHANA"/>
    <n v="26"/>
    <s v="ANSWER"/>
    <s v="AGENT"/>
    <d v="2026-05-15T10:50:59"/>
    <d v="2026-05-15T10:50:59"/>
    <d v="2026-05-15T10:51:55"/>
    <s v="01152741410"/>
    <s v="2494373086"/>
    <s v="ENTRANTE"/>
    <s v="FULL"/>
    <s v="2494373086-149222548-20260515105059.mp3"/>
    <s v=""/>
    <s v="NAC-FIJO"/>
    <s v="BUENOS AIRES"/>
    <s v="TANDIL"/>
    <n v="0"/>
    <n v="0"/>
    <n v="0"/>
    <n v="0"/>
    <s v="BL"/>
    <n v="3"/>
    <n v="57"/>
    <s v="NotSet"/>
    <n v="37"/>
    <n v="0"/>
    <n v="0"/>
    <s v=""/>
    <s v="|0||SIP/SERVICIOS_SIP-00015538|1778853119.87356|16:Normal Clearing|17:Network|25||-1|NotSet|"/>
    <s v=""/>
  </r>
  <r>
    <x v="10"/>
    <n v="1144128625"/>
    <x v="0"/>
    <x v="0"/>
    <x v="0"/>
    <x v="0"/>
    <x v="1"/>
    <x v="11"/>
    <s v="No"/>
    <n v="20260518"/>
    <n v="149266563"/>
    <s v="SERVICIOS_SIP"/>
    <s v="NEO1"/>
    <n v="0"/>
    <n v="0"/>
    <s v="CAMPAÑA"/>
    <n v="150"/>
    <s v="8864 - González, Maitena"/>
    <n v="27"/>
    <s v="ANSWER"/>
    <s v="AGENT"/>
    <d v="2026-05-18T20:36:18"/>
    <d v="2026-05-18T20:36:18"/>
    <d v="2026-05-18T20:38:18"/>
    <s v="01152741410"/>
    <s v="1144128625"/>
    <s v="ENTRANTE"/>
    <s v="FULL"/>
    <s v="1144128625-149266563-20260518203618.mp3"/>
    <s v=""/>
    <s v="NAC-CEL"/>
    <s v="NACIONAL"/>
    <s v="PAIS-CELULAR"/>
    <n v="0"/>
    <n v="0"/>
    <n v="0"/>
    <n v="0"/>
    <s v="BL"/>
    <n v="3"/>
    <n v="120"/>
    <s v="NotSet"/>
    <n v="37"/>
    <n v="198"/>
    <n v="2480533"/>
    <s v=""/>
    <s v="|0||SIP/SERVICIOS_SIP-0000ab6c|1779147445.43895|16:Normal Clearing|16:PBX|0|SIP/GQ135-0000ab89|-1|NotSet|"/>
    <s v=""/>
  </r>
  <r>
    <x v="10"/>
    <n v="1127472129"/>
    <x v="0"/>
    <x v="0"/>
    <x v="0"/>
    <x v="0"/>
    <x v="1"/>
    <x v="1"/>
    <s v="No"/>
    <n v="20260518"/>
    <n v="149263843"/>
    <s v="SERVICIOS_SIP"/>
    <s v="NEO1"/>
    <n v="0"/>
    <n v="0"/>
    <s v="CAMPAÑA"/>
    <n v="150"/>
    <s v="8938 - Spertino, Exequiel"/>
    <n v="27"/>
    <s v="ANSWER"/>
    <s v="AGENT"/>
    <d v="2026-05-18T19:41:09"/>
    <d v="2026-05-18T19:41:09"/>
    <d v="2026-05-18T19:48:02"/>
    <s v="01152741410"/>
    <s v="1127472129"/>
    <s v="ENTRANTE"/>
    <s v="FULL"/>
    <s v="1127472129-149263843-20260518194109.mp3"/>
    <s v=""/>
    <s v="LOC-FIJO"/>
    <s v="LOCAL-FIJO"/>
    <s v="LOCAL-FIJO"/>
    <n v="0"/>
    <n v="0"/>
    <n v="0"/>
    <n v="0"/>
    <s v="BL"/>
    <n v="3"/>
    <n v="413"/>
    <s v="NotSet"/>
    <n v="37"/>
    <n v="175"/>
    <n v="2451950"/>
    <s v=""/>
    <s v="|0||SIP/SERVICIOS_SIP-00009b5a|1779144136.39780|16:Normal Clearing|16:PBX|21|SIP/GQ117-00009b7c|-1|NotSet|"/>
    <s v=""/>
  </r>
  <r>
    <x v="10"/>
    <n v="3815193769"/>
    <x v="0"/>
    <x v="0"/>
    <x v="0"/>
    <x v="0"/>
    <x v="1"/>
    <x v="1"/>
    <s v="No"/>
    <n v="20260518"/>
    <n v="149263708"/>
    <s v="SERVICIOS_SIP"/>
    <s v="NEO1"/>
    <n v="0"/>
    <n v="0"/>
    <s v="CAMPAÑA"/>
    <n v="150"/>
    <s v="8957 - Bustos, Juan Ignacio"/>
    <n v="27"/>
    <s v="ANSWER"/>
    <s v="AGENT"/>
    <d v="2026-05-18T19:37:28"/>
    <d v="2026-05-18T19:37:28"/>
    <d v="2026-05-18T19:41:10"/>
    <s v="01152741410"/>
    <s v="3815193769"/>
    <s v="ENTRANTE"/>
    <s v="FULL"/>
    <s v="3815193769-149263708-20260518193727.mp3"/>
    <s v=""/>
    <s v="NAC-CEL"/>
    <s v="NACIONAL"/>
    <s v="PAIS-CELULAR"/>
    <n v="0"/>
    <n v="0"/>
    <n v="0"/>
    <n v="0"/>
    <s v="BL"/>
    <n v="3"/>
    <n v="223"/>
    <s v="NotSet"/>
    <n v="37"/>
    <n v="0"/>
    <n v="0"/>
    <s v=""/>
    <s v="|0||SIP/SERVICIOS_SIP-00009a8f|1779143914.39577|16:Normal Clearing|17:Network|28||-1|NotSet|"/>
    <s v=""/>
  </r>
  <r>
    <x v="10"/>
    <n v="2604689403"/>
    <x v="0"/>
    <x v="0"/>
    <x v="0"/>
    <x v="0"/>
    <x v="1"/>
    <x v="3"/>
    <s v="No"/>
    <n v="20260518"/>
    <n v="149257957"/>
    <s v="SERVICIOS_SIP"/>
    <s v="NEO1"/>
    <n v="0"/>
    <n v="0"/>
    <s v="CAMPAÑA"/>
    <n v="150"/>
    <s v="8957 - Bustos, Juan Ignacio"/>
    <n v="27"/>
    <s v="ANSWER"/>
    <s v="AGENT"/>
    <d v="2026-05-18T17:36:39"/>
    <d v="2026-05-18T17:36:39"/>
    <d v="2026-05-18T18:05:51"/>
    <s v="01152741410"/>
    <s v="2604689403"/>
    <s v="ENTRANTE"/>
    <s v="FULL"/>
    <s v="2604689403-149257957-20260518173639.mp3"/>
    <s v=""/>
    <s v="NAC-CEL"/>
    <s v="NACIONAL"/>
    <s v="PAIS-CELULAR"/>
    <n v="0"/>
    <n v="0"/>
    <n v="0"/>
    <n v="0"/>
    <s v="BL"/>
    <n v="3"/>
    <n v="1752"/>
    <s v="NotSet"/>
    <n v="37"/>
    <n v="0"/>
    <n v="0"/>
    <s v=""/>
    <s v="|0||SIP/SERVICIOS_SIP-000078ae|1779136666.30902|16:Normal Clearing|16:PBX|3|SIP/GQ114-000078c0|-1|NotSet|"/>
    <s v=""/>
  </r>
  <r>
    <x v="10"/>
    <n v="2954375174"/>
    <x v="0"/>
    <x v="0"/>
    <x v="0"/>
    <x v="0"/>
    <x v="1"/>
    <x v="3"/>
    <s v="No"/>
    <n v="20260518"/>
    <n v="149257836"/>
    <s v="SERVICIOS_SIP"/>
    <s v="NEO1"/>
    <n v="0"/>
    <n v="0"/>
    <s v="CAMPAÑA"/>
    <n v="150"/>
    <s v="8864 - González, Maitena"/>
    <n v="27"/>
    <s v="ANSWER"/>
    <s v="AGENT"/>
    <d v="2026-05-18T17:33:17"/>
    <d v="2026-05-18T17:33:17"/>
    <d v="2026-05-18T17:40:36"/>
    <s v="01152741410"/>
    <s v="2954375174"/>
    <s v="ENTRANTE"/>
    <s v="FULL"/>
    <s v="2954375174-149257836-20260518173317.mp3"/>
    <s v=""/>
    <s v="NAC-CEL"/>
    <s v="NACIONAL"/>
    <s v="PAIS-CELULAR"/>
    <n v="0"/>
    <n v="0"/>
    <n v="0"/>
    <n v="0"/>
    <s v="BL"/>
    <n v="3"/>
    <n v="439"/>
    <s v="NotSet"/>
    <n v="37"/>
    <n v="183"/>
    <n v="2372540"/>
    <s v=""/>
    <s v="|0||SIP/SERVICIOS_SIP-000077fa|1779136464.30722|16:Normal Clearing|17:Network|13||-1|NotSet|"/>
    <s v=""/>
  </r>
  <r>
    <x v="10"/>
    <n v="3405503061"/>
    <x v="0"/>
    <x v="0"/>
    <x v="0"/>
    <x v="0"/>
    <x v="1"/>
    <x v="3"/>
    <s v="No"/>
    <n v="20260518"/>
    <n v="149256644"/>
    <s v="SERVICIOS_SIP"/>
    <s v="NEO1"/>
    <n v="0"/>
    <n v="0"/>
    <s v="CAMPAÑA"/>
    <n v="150"/>
    <s v="8864 - González, Maitena"/>
    <n v="27"/>
    <s v="ANSWER"/>
    <s v="AGENT"/>
    <d v="2026-05-18T17:04:19"/>
    <d v="2026-05-18T17:04:19"/>
    <d v="2026-05-18T17:17:08"/>
    <s v="01152741410"/>
    <s v="3405503061"/>
    <s v="ENTRANTE"/>
    <s v="FULL"/>
    <s v="3405503061-149256644-20260518170418.mp3"/>
    <s v=""/>
    <s v="NAC-FIJO"/>
    <s v="SANTA FE"/>
    <s v="SAN JAVIER (PROV. SANTA FE)"/>
    <n v="0"/>
    <n v="0"/>
    <n v="0"/>
    <n v="0"/>
    <s v="BL"/>
    <n v="3"/>
    <n v="770"/>
    <s v="NotSet"/>
    <n v="37"/>
    <n v="1"/>
    <n v="506546"/>
    <s v=""/>
    <s v="|0||SIP/SERVICIOS_SIP-00007106|1779134725.28942|16:Normal Clearing|16:PBX|32|SIP/GQ135-00007110|-1|NotSet|"/>
    <s v=""/>
  </r>
  <r>
    <x v="10"/>
    <n v="2942529191"/>
    <x v="0"/>
    <x v="0"/>
    <x v="0"/>
    <x v="0"/>
    <x v="1"/>
    <x v="4"/>
    <s v="No"/>
    <n v="20260518"/>
    <n v="149255216"/>
    <s v="SERVICIOS_SIP"/>
    <s v="NEO1"/>
    <n v="0"/>
    <n v="0"/>
    <s v="CAMPAÑA"/>
    <n v="150"/>
    <s v="8864 - González, Maitena"/>
    <n v="27"/>
    <s v="ANSWER"/>
    <s v="AGENT"/>
    <d v="2026-05-18T16:33:45"/>
    <d v="2026-05-18T16:33:45"/>
    <d v="2026-05-18T16:39:34"/>
    <s v="01152741410"/>
    <s v="2942529191"/>
    <s v="ENTRANTE"/>
    <s v="FULL"/>
    <s v="2942529191-149255216-20260518163344.mp3"/>
    <s v=""/>
    <s v="NAC-CEL"/>
    <s v="NACIONAL"/>
    <s v="PAIS-CELULAR"/>
    <n v="0"/>
    <n v="0"/>
    <n v="0"/>
    <n v="0"/>
    <s v="BL"/>
    <n v="3"/>
    <n v="349"/>
    <s v="NotSet"/>
    <n v="37"/>
    <n v="1"/>
    <n v="2500400"/>
    <s v=""/>
    <s v="|0||SIP/SERVICIOS_SIP-0000688d|1779132892.26773|16:Normal Clearing|16:PBX|19|SIP/GQ135-000068a0|-1|NotSet|"/>
    <s v=""/>
  </r>
  <r>
    <x v="10"/>
    <n v="2964492912"/>
    <x v="0"/>
    <x v="0"/>
    <x v="0"/>
    <x v="0"/>
    <x v="1"/>
    <x v="5"/>
    <s v="No"/>
    <n v="20260518"/>
    <n v="149253415"/>
    <s v="SERVICIOS_SIP"/>
    <s v="NEO1"/>
    <n v="0"/>
    <n v="0"/>
    <s v="CAMPAÑA"/>
    <n v="150"/>
    <s v="8864 - González, Maitena"/>
    <n v="27"/>
    <s v="ANSWER"/>
    <s v="AGENT"/>
    <d v="2026-05-18T15:44:46"/>
    <d v="2026-05-18T15:44:46"/>
    <d v="2026-05-18T15:47:58"/>
    <s v="01152741410"/>
    <s v="2964492912"/>
    <s v="ENTRANTE"/>
    <s v="FULL"/>
    <s v="2964492912-149253415-20260518154445.mp3"/>
    <s v=""/>
    <s v="NAC-CEL"/>
    <s v="NACIONAL"/>
    <s v="PAIS-CELULAR"/>
    <n v="0"/>
    <n v="0"/>
    <n v="0"/>
    <n v="0"/>
    <s v="BL"/>
    <n v="3"/>
    <n v="193"/>
    <s v="NotSet"/>
    <n v="37"/>
    <n v="1"/>
    <n v="2500361"/>
    <s v=""/>
    <s v="|0||SIP/SERVICIOS_SIP-00005e2f|1779129952.24119|16:Normal Clearing|17:Network|0||-1|NotSet|"/>
    <s v=""/>
  </r>
  <r>
    <x v="10"/>
    <n v="1130836980"/>
    <x v="0"/>
    <x v="0"/>
    <x v="0"/>
    <x v="0"/>
    <x v="1"/>
    <x v="5"/>
    <s v="No"/>
    <n v="20260518"/>
    <n v="149252880"/>
    <s v="SERVICIOS_SIP"/>
    <s v="NEO1"/>
    <n v="0"/>
    <n v="0"/>
    <s v="CAMPAÑA"/>
    <n v="150"/>
    <s v="8864 - González, Maitena"/>
    <n v="27"/>
    <s v="ANSWER"/>
    <s v="AGENT"/>
    <d v="2026-05-18T15:29:09"/>
    <d v="2026-05-18T15:29:09"/>
    <d v="2026-05-18T15:33:47"/>
    <s v="01152741410"/>
    <s v="1130836980"/>
    <s v="ENTRANTE"/>
    <s v="FULL"/>
    <s v="1130836980-149252880-20260518152909.mp3"/>
    <s v=""/>
    <s v="NAC-CEL"/>
    <s v="NACIONAL"/>
    <s v="PAIS-CELULAR"/>
    <n v="0"/>
    <n v="0"/>
    <n v="0"/>
    <n v="0"/>
    <s v="BL"/>
    <n v="3"/>
    <n v="279"/>
    <s v="NotSet"/>
    <n v="37"/>
    <n v="1"/>
    <n v="2500347"/>
    <s v=""/>
    <s v="|0||SIP/SERVICIOS_SIP-00005ac0|1779129016.23240|16:Normal Clearing|17:Network|5||-1|NotSet|"/>
    <s v=""/>
  </r>
  <r>
    <x v="10"/>
    <n v="1151818574"/>
    <x v="0"/>
    <x v="0"/>
    <x v="0"/>
    <x v="0"/>
    <x v="0"/>
    <x v="6"/>
    <s v="No"/>
    <n v="20260518"/>
    <n v="149250837"/>
    <s v="SERVICIOS_SIP"/>
    <s v="NEO1"/>
    <n v="0"/>
    <n v="0"/>
    <s v="CAMPAÑA"/>
    <n v="150"/>
    <s v="8160 - QUEVEDO, JOAHANA"/>
    <n v="26"/>
    <s v="ANSWER"/>
    <s v="AGENT"/>
    <d v="2026-05-18T14:01:13"/>
    <d v="2026-05-18T14:01:14"/>
    <d v="2026-05-18T14:09:34"/>
    <s v="01152741410"/>
    <s v="1151818574"/>
    <s v="ENTRANTE"/>
    <s v="FULL"/>
    <s v="1151818574-149250837-20260518140113.mp3"/>
    <s v=""/>
    <s v="NAC-CEL"/>
    <s v="NACIONAL"/>
    <s v="PAIS-CELULAR"/>
    <n v="0"/>
    <n v="0"/>
    <n v="0"/>
    <n v="0"/>
    <s v="BL"/>
    <n v="3"/>
    <n v="501"/>
    <s v="NotSet"/>
    <n v="37"/>
    <n v="163"/>
    <n v="1892344"/>
    <s v=""/>
    <s v="|0||SIP/SERVICIOS_SIP-00004aa4|1779123740.19116|16:Normal Clearing|17:Network|9||-1|NotSet|"/>
    <s v=""/>
  </r>
  <r>
    <x v="10"/>
    <n v="1132679651"/>
    <x v="0"/>
    <x v="0"/>
    <x v="0"/>
    <x v="0"/>
    <x v="0"/>
    <x v="7"/>
    <s v="No"/>
    <n v="20260518"/>
    <n v="149250454"/>
    <s v="SERVICIOS_SIP"/>
    <s v="NEO1"/>
    <n v="0"/>
    <n v="0"/>
    <s v="CAMPAÑA"/>
    <n v="150"/>
    <s v="8861 - Caceres, Martina"/>
    <n v="26"/>
    <s v="ANSWER"/>
    <s v="AGENT"/>
    <d v="2026-05-18T13:47:15"/>
    <d v="2026-05-18T13:47:15"/>
    <d v="2026-05-18T13:50:02"/>
    <s v="01152741410"/>
    <s v="1132679651"/>
    <s v="ENTRANTE"/>
    <s v="FULL"/>
    <s v="1132679651-149250454-20260518134715.mp3"/>
    <s v=""/>
    <s v="NAC-CEL"/>
    <s v="NACIONAL"/>
    <s v="PAIS-CELULAR"/>
    <n v="0"/>
    <n v="0"/>
    <n v="0"/>
    <n v="0"/>
    <s v="BL"/>
    <n v="3"/>
    <n v="167"/>
    <s v="NotSet"/>
    <n v="37"/>
    <n v="1"/>
    <n v="2500252"/>
    <s v=""/>
    <s v="|0||SIP/SERVICIOS_SIP-000047b3|1779122902.18362|16:Normal Clearing|17:Network|13||-1|NotSet|"/>
    <s v=""/>
  </r>
  <r>
    <x v="10"/>
    <n v="2262306241"/>
    <x v="0"/>
    <x v="0"/>
    <x v="0"/>
    <x v="0"/>
    <x v="0"/>
    <x v="7"/>
    <s v="No"/>
    <n v="20260518"/>
    <n v="149249745"/>
    <s v="SERVICIOS_SIP"/>
    <s v="NEO1"/>
    <n v="0"/>
    <n v="0"/>
    <s v="CAMPAÑA"/>
    <n v="150"/>
    <s v="8160 - QUEVEDO, JOAHANA"/>
    <n v="26"/>
    <s v="ANSWER"/>
    <s v="AGENT"/>
    <d v="2026-05-18T13:22:17"/>
    <d v="2026-05-18T13:22:17"/>
    <d v="2026-05-18T13:30:09"/>
    <s v="01152741410"/>
    <s v="2262306241"/>
    <s v="ENTRANTE"/>
    <s v="FULL"/>
    <s v="2262306241-149249745-20260518132216.mp3"/>
    <s v=""/>
    <s v="NAC-FIJO"/>
    <s v="BUENOS AIRES"/>
    <s v="NECOCHEA"/>
    <n v="0"/>
    <n v="0"/>
    <n v="0"/>
    <n v="0"/>
    <s v="BL"/>
    <n v="3"/>
    <n v="473"/>
    <s v="NotSet"/>
    <n v="37"/>
    <n v="1"/>
    <n v="2500229"/>
    <s v="May 18 2026  1:24PM"/>
    <s v="|0||SIP/SERVICIOS_SIP-00004220|1779121403.16935|16:Normal Clearing|17:Network|9||-1|NotSet|"/>
    <s v=""/>
  </r>
  <r>
    <x v="10"/>
    <n v="2622527817"/>
    <x v="0"/>
    <x v="0"/>
    <x v="0"/>
    <x v="0"/>
    <x v="0"/>
    <x v="8"/>
    <s v="No"/>
    <n v="20260518"/>
    <n v="149248567"/>
    <s v="SERVICIOS_SIP"/>
    <s v="NEO1"/>
    <n v="0"/>
    <n v="0"/>
    <s v="CAMPAÑA"/>
    <n v="150"/>
    <s v="8160 - QUEVEDO, JOAHANA"/>
    <n v="26"/>
    <s v="ANSWER"/>
    <s v="AGENT"/>
    <d v="2026-05-18T12:42:34"/>
    <d v="2026-05-18T12:42:34"/>
    <d v="2026-05-18T12:50:50"/>
    <s v="01152741410"/>
    <s v="2622527817"/>
    <s v="ENTRANTE"/>
    <s v="FULL"/>
    <s v="2622527817-149248567-20260518124233.mp3"/>
    <s v=""/>
    <s v="NAC-CEL"/>
    <s v="NACIONAL"/>
    <s v="PAIS-CELULAR"/>
    <n v="0"/>
    <n v="0"/>
    <n v="0"/>
    <n v="0"/>
    <s v="BL"/>
    <n v="3"/>
    <n v="497"/>
    <s v="NotSet"/>
    <n v="37"/>
    <n v="1"/>
    <n v="97751"/>
    <s v=""/>
    <s v="|0||SIP/SERVICIOS_SIP-000038fa|1779119021.14592|16:Normal Clearing|17:Network|0||-1|NotSet|"/>
    <s v=""/>
  </r>
  <r>
    <x v="10"/>
    <n v="1163217721"/>
    <x v="0"/>
    <x v="0"/>
    <x v="0"/>
    <x v="0"/>
    <x v="0"/>
    <x v="8"/>
    <s v="No"/>
    <n v="20260518"/>
    <n v="149248374"/>
    <s v="SERVICIOS_SIP"/>
    <s v="NEO1"/>
    <n v="0"/>
    <n v="0"/>
    <s v="CAMPAÑA"/>
    <n v="150"/>
    <s v="8861 - Caceres, Martina"/>
    <n v="26"/>
    <s v="ANSWER"/>
    <s v="AGENT"/>
    <d v="2026-05-18T12:35:05"/>
    <d v="2026-05-18T12:35:05"/>
    <d v="2026-05-18T12:46:15"/>
    <s v="01152741410"/>
    <s v="1163217721"/>
    <s v="ENTRANTE"/>
    <s v="FULL"/>
    <s v="1163217721-149248374-20260518123505.mp3"/>
    <s v=""/>
    <s v="NAC-CEL"/>
    <s v="NACIONAL"/>
    <s v="PAIS-CELULAR"/>
    <n v="0"/>
    <n v="0"/>
    <n v="0"/>
    <n v="0"/>
    <s v="BL"/>
    <n v="3"/>
    <n v="670"/>
    <s v="NotSet"/>
    <n v="37"/>
    <n v="129"/>
    <n v="901479"/>
    <s v=""/>
    <s v="|0||SIP/SERVICIOS_SIP-00003780|1779118572.14214|16:Normal Clearing|16:PBX|4|SIP/GQ106-0000378f|-1|NotSet|"/>
    <s v=""/>
  </r>
  <r>
    <x v="10"/>
    <n v="1144022357"/>
    <x v="0"/>
    <x v="0"/>
    <x v="0"/>
    <x v="0"/>
    <x v="2"/>
    <x v="8"/>
    <s v="No"/>
    <n v="20260518"/>
    <n v="149248349"/>
    <s v="SERVICIOS_SIP"/>
    <s v="NEO1"/>
    <n v="0"/>
    <n v="0"/>
    <s v="CAMPAÑA"/>
    <n v="150"/>
    <s v="8790 - Adanto, Joaquin"/>
    <n v="0"/>
    <s v="ANSWER"/>
    <s v="AGENT"/>
    <d v="2026-05-18T12:34:15"/>
    <d v="2026-05-18T12:34:15"/>
    <d v="2026-05-18T12:50:02"/>
    <s v="01152741410"/>
    <s v="1144022357"/>
    <s v="ENTRANTE"/>
    <s v="FULL"/>
    <s v="1144022357-149248349-20260518123414.mp3"/>
    <s v=""/>
    <s v="NAC-CEL"/>
    <s v="NACIONAL"/>
    <s v="PAIS-CELULAR"/>
    <n v="0"/>
    <n v="0"/>
    <n v="0"/>
    <n v="0"/>
    <s v="BL"/>
    <n v="3"/>
    <n v="948"/>
    <s v="NotSet"/>
    <n v="37"/>
    <n v="1"/>
    <n v="1473507"/>
    <s v="Jul  2 2024 12:17PM"/>
    <s v="|0||SIP/SERVICIOS_SIP-00003750|1779118522.14166|16:Normal Clearing|17:Network|15||-1|NotSet|"/>
    <s v=""/>
  </r>
  <r>
    <x v="10"/>
    <n v="1135720194"/>
    <x v="0"/>
    <x v="0"/>
    <x v="0"/>
    <x v="0"/>
    <x v="0"/>
    <x v="8"/>
    <s v="No"/>
    <n v="20260518"/>
    <n v="149248165"/>
    <s v="SERVICIOS_SIP"/>
    <s v="NEO1"/>
    <n v="0"/>
    <n v="0"/>
    <s v="CAMPAÑA"/>
    <n v="150"/>
    <s v="8823 - Olmedo  , Selene"/>
    <n v="26"/>
    <s v="ANSWER"/>
    <s v="AGENT"/>
    <d v="2026-05-18T12:28:23"/>
    <d v="2026-05-18T12:28:23"/>
    <d v="2026-05-18T12:40:22"/>
    <s v="01152741410"/>
    <s v="1135720194"/>
    <s v="ENTRANTE"/>
    <s v="FULL"/>
    <s v="1135720194-149248165-20260518122822.mp3"/>
    <s v=""/>
    <s v="NAC-CEL"/>
    <s v="NACIONAL"/>
    <s v="PAIS-CELULAR"/>
    <n v="0"/>
    <n v="0"/>
    <n v="0"/>
    <n v="0"/>
    <s v="BL"/>
    <n v="3"/>
    <n v="719"/>
    <s v="NotSet"/>
    <n v="37"/>
    <n v="164"/>
    <n v="2500185"/>
    <s v=""/>
    <s v="|0||SIP/SERVICIOS_SIP-000035eb|1779118170.13809|16:Normal Clearing|17:Network|3||-1|NotSet|"/>
    <s v=""/>
  </r>
  <r>
    <x v="10"/>
    <n v="2235285417"/>
    <x v="0"/>
    <x v="0"/>
    <x v="0"/>
    <x v="0"/>
    <x v="0"/>
    <x v="8"/>
    <s v="No"/>
    <n v="20260518"/>
    <n v="149248065"/>
    <s v="SERVICIOS_SIP"/>
    <s v="NEO1"/>
    <n v="0"/>
    <n v="0"/>
    <s v="CAMPAÑA"/>
    <n v="150"/>
    <s v="8160 - QUEVEDO, JOAHANA"/>
    <n v="26"/>
    <s v="ANSWER"/>
    <s v="AGENT"/>
    <d v="2026-05-18T12:25:04"/>
    <d v="2026-05-18T12:25:04"/>
    <d v="2026-05-18T12:29:48"/>
    <s v="01152741410"/>
    <s v="2235285417"/>
    <s v="ENTRANTE"/>
    <s v="FULL"/>
    <s v="2235285417-149248065-20260518122504.mp3"/>
    <s v=""/>
    <s v="NAC-CEL"/>
    <s v="NACIONAL"/>
    <s v="PAIS-CELULAR"/>
    <n v="0"/>
    <n v="0"/>
    <n v="0"/>
    <n v="0"/>
    <s v="BL"/>
    <n v="3"/>
    <n v="284"/>
    <s v="NotSet"/>
    <n v="37"/>
    <n v="1"/>
    <n v="2500184"/>
    <s v=""/>
    <s v="|0||SIP/SERVICIOS_SIP-00003520|1779117971.13606|16:Normal Clearing|17:Network|6||-1|NotSet|"/>
    <s v=""/>
  </r>
  <r>
    <x v="10"/>
    <n v="3816822810"/>
    <x v="0"/>
    <x v="0"/>
    <x v="0"/>
    <x v="0"/>
    <x v="0"/>
    <x v="8"/>
    <s v="No"/>
    <n v="20260518"/>
    <n v="149247509"/>
    <s v="SERVICIOS_SIP"/>
    <s v="NEO1"/>
    <n v="0"/>
    <n v="0"/>
    <s v="CAMPAÑA"/>
    <n v="150"/>
    <s v="8861 - Caceres, Martina"/>
    <n v="26"/>
    <s v="ANSWER"/>
    <s v="AGENT"/>
    <d v="2026-05-18T12:00:36"/>
    <d v="2026-05-18T12:00:36"/>
    <d v="2026-05-18T12:01:56"/>
    <s v="01152741410"/>
    <s v="3816822810"/>
    <s v="ENTRANTE"/>
    <s v="FULL"/>
    <s v="3816822810-149247509-20260518120036.mp3"/>
    <s v=""/>
    <s v="NAC-CEL"/>
    <s v="NACIONAL"/>
    <s v="PAIS-CELULAR"/>
    <n v="0"/>
    <n v="0"/>
    <n v="0"/>
    <n v="0"/>
    <s v="BL"/>
    <n v="3"/>
    <n v="80"/>
    <s v="NotSet"/>
    <n v="37"/>
    <n v="175"/>
    <n v="2491885"/>
    <s v=""/>
    <s v="|0||SIP/SERVICIOS_SIP-000030db|1779116503.12511|16:Normal Clearing|16:PBX|16|SIP/GQ106-000030f0|-1|NotSet|"/>
    <s v=""/>
  </r>
  <r>
    <x v="10"/>
    <n v="2284300185"/>
    <x v="0"/>
    <x v="0"/>
    <x v="0"/>
    <x v="0"/>
    <x v="0"/>
    <x v="9"/>
    <s v="No"/>
    <n v="20260518"/>
    <n v="149247155"/>
    <s v="SERVICIOS_SIP"/>
    <s v="NEO1"/>
    <n v="0"/>
    <n v="0"/>
    <s v="CAMPAÑA"/>
    <n v="150"/>
    <s v="8927 - Lizarrondo, Candela"/>
    <n v="26"/>
    <s v="ANSWER"/>
    <s v="AGENT"/>
    <d v="2026-05-18T11:46:55"/>
    <d v="2026-05-18T11:46:55"/>
    <d v="2026-05-18T11:51:31"/>
    <s v="01152741410"/>
    <s v="2284300185"/>
    <s v="ENTRANTE"/>
    <s v="FULL"/>
    <s v="2284300185-149247155-20260518114654.mp3"/>
    <s v=""/>
    <s v="NAC-CEL"/>
    <s v="NACIONAL"/>
    <s v="PAIS-CELULAR"/>
    <n v="0"/>
    <n v="0"/>
    <n v="0"/>
    <n v="0"/>
    <s v="BL"/>
    <n v="3"/>
    <n v="276"/>
    <s v="NotSet"/>
    <n v="37"/>
    <n v="1"/>
    <n v="2500142"/>
    <s v=""/>
    <s v="|0||SIP/SERVICIOS_SIP-00002df6|1779115682.11770|16:Normal Clearing|17:Network|21||-1|NotSet|"/>
    <s v=""/>
  </r>
  <r>
    <x v="10"/>
    <n v="1135100321"/>
    <x v="0"/>
    <x v="0"/>
    <x v="0"/>
    <x v="0"/>
    <x v="0"/>
    <x v="9"/>
    <s v="No"/>
    <n v="20260518"/>
    <n v="149247154"/>
    <s v="SERVICIOS_SIP"/>
    <s v="NEO1"/>
    <n v="0"/>
    <n v="0"/>
    <s v="CAMPAÑA"/>
    <n v="150"/>
    <s v="8861 - Caceres, Martina"/>
    <n v="26"/>
    <s v="ANSWER"/>
    <s v="AGENT"/>
    <d v="2026-05-18T11:46:51"/>
    <d v="2026-05-18T11:46:51"/>
    <d v="2026-05-18T11:59:45"/>
    <s v="01152741410"/>
    <s v="1135100321"/>
    <s v="ENTRANTE"/>
    <s v="FULL"/>
    <s v="1135100321-149247154-20260518114650.mp3"/>
    <s v=""/>
    <s v="LOC-FIJO"/>
    <s v="LOCAL-FIJO"/>
    <s v="LOCAL-FIJO"/>
    <n v="0"/>
    <n v="0"/>
    <n v="0"/>
    <n v="0"/>
    <s v="BL"/>
    <n v="3"/>
    <n v="775"/>
    <s v="NotSet"/>
    <n v="37"/>
    <n v="175"/>
    <n v="2139240"/>
    <s v=""/>
    <s v="|0||SIP/SERVICIOS_SIP-00002df2|1779115678.11766|16:Normal Clearing|16:PBX|20|SIP/GQ106-00002e05|-1|NotSet|"/>
    <s v=""/>
  </r>
  <r>
    <x v="10"/>
    <n v="3517390507"/>
    <x v="0"/>
    <x v="0"/>
    <x v="0"/>
    <x v="0"/>
    <x v="0"/>
    <x v="9"/>
    <s v="No"/>
    <n v="20260518"/>
    <n v="149247012"/>
    <s v="SERVICIOS_SIP"/>
    <s v="NEO1"/>
    <n v="0"/>
    <n v="0"/>
    <s v="CAMPAÑA"/>
    <n v="150"/>
    <s v="8861 - Caceres, Martina"/>
    <n v="26"/>
    <s v="ANSWER"/>
    <s v="AGENT"/>
    <d v="2026-05-18T11:40:32"/>
    <d v="2026-05-18T11:40:32"/>
    <d v="2026-05-18T11:43:52"/>
    <s v="01152741410"/>
    <s v="3517390507"/>
    <s v="ENTRANTE"/>
    <s v="FULL"/>
    <s v="3517390507-149247012-20260518114031.mp3"/>
    <s v=""/>
    <s v="NAC-FIJO"/>
    <s v="CORDOBA"/>
    <s v="CORDOBA"/>
    <n v="0"/>
    <n v="0"/>
    <n v="0"/>
    <n v="0"/>
    <s v="BL"/>
    <n v="3"/>
    <n v="201"/>
    <s v="NotSet"/>
    <n v="37"/>
    <n v="157"/>
    <n v="1644790"/>
    <s v=""/>
    <s v="|0||SIP/SERVICIOS_SIP-00002cc2|1779115298.11462|16:Normal Clearing|16:PBX|0|SIP/GQ106-00002cc7|-1|NotSet|"/>
    <s v=""/>
  </r>
  <r>
    <x v="10"/>
    <n v="1165704342"/>
    <x v="0"/>
    <x v="0"/>
    <x v="0"/>
    <x v="0"/>
    <x v="0"/>
    <x v="9"/>
    <s v="No"/>
    <n v="20260518"/>
    <n v="149246998"/>
    <s v="SERVICIOS_SIP"/>
    <s v="NEO1"/>
    <n v="0"/>
    <n v="0"/>
    <s v="CAMPAÑA"/>
    <n v="150"/>
    <s v="8160 - QUEVEDO, JOAHANA"/>
    <n v="26"/>
    <s v="ANSWER"/>
    <s v="AGENT"/>
    <d v="2026-05-18T11:39:52"/>
    <d v="2026-05-18T11:39:52"/>
    <d v="2026-05-18T12:12:55"/>
    <s v="01152741410"/>
    <s v="1165704342"/>
    <s v="ENTRANTE"/>
    <s v="FULL"/>
    <s v="1165704342-149246998-20260518113951.mp3"/>
    <s v=""/>
    <s v="NAC-CEL"/>
    <s v="NACIONAL"/>
    <s v="PAIS-CELULAR"/>
    <n v="0"/>
    <n v="0"/>
    <n v="0"/>
    <n v="0"/>
    <s v="BL"/>
    <n v="3"/>
    <n v="1984"/>
    <s v="NotSet"/>
    <n v="37"/>
    <n v="202"/>
    <n v="2500085"/>
    <s v=""/>
    <s v="|0||SIP/SERVICIOS_SIP-00002ca7|1779115259.11435|16:Normal Clearing|17:Network|2||-1|NotSet|"/>
    <s v=""/>
  </r>
  <r>
    <x v="10"/>
    <n v="3878360566"/>
    <x v="0"/>
    <x v="0"/>
    <x v="0"/>
    <x v="0"/>
    <x v="2"/>
    <x v="9"/>
    <s v="No"/>
    <n v="20260518"/>
    <n v="149245963"/>
    <s v="SERVICIOS_SIP"/>
    <s v="NEO1"/>
    <n v="0"/>
    <n v="0"/>
    <s v="CAMPAÑA"/>
    <n v="150"/>
    <s v="8845 - Ledesma, Agustina "/>
    <n v="0"/>
    <s v="ANSWER"/>
    <s v="AGENT"/>
    <d v="2026-05-18T11:23:08"/>
    <d v="2026-05-18T11:23:08"/>
    <d v="2026-05-18T11:34:58"/>
    <s v="01152741410"/>
    <s v="3878360566"/>
    <s v="ENTRANTE"/>
    <s v="FULL"/>
    <s v="3878360566-149245963-20260518112308.mp3"/>
    <s v=""/>
    <s v="NAC-FIJO"/>
    <s v="SALTA"/>
    <s v="ORAN"/>
    <n v="0"/>
    <n v="0"/>
    <n v="0"/>
    <n v="0"/>
    <s v="BL"/>
    <n v="3"/>
    <n v="710"/>
    <s v="NotSet"/>
    <n v="37"/>
    <n v="202"/>
    <n v="2500052"/>
    <s v=""/>
    <s v="|0||SIP/SERVICIOS_SIP-0000271f|1779114255.10019|16:Normal Clearing|16:PBX|0||-1|NotSet|"/>
    <s v=""/>
  </r>
  <r>
    <x v="10"/>
    <n v="3472550638"/>
    <x v="0"/>
    <x v="0"/>
    <x v="0"/>
    <x v="0"/>
    <x v="0"/>
    <x v="10"/>
    <s v="No"/>
    <n v="20260518"/>
    <n v="149244114"/>
    <s v="SERVICIOS_SIP"/>
    <s v="NEO1"/>
    <n v="0"/>
    <n v="0"/>
    <s v="CAMPAÑA"/>
    <n v="150"/>
    <s v="8927 - Lizarrondo, Candela"/>
    <n v="26"/>
    <s v="ANSWER"/>
    <s v="AGENT"/>
    <d v="2026-05-18T10:41:56"/>
    <d v="2026-05-18T10:41:56"/>
    <d v="2026-05-18T10:48:41"/>
    <s v="01152741410"/>
    <s v="3472550638"/>
    <s v="ENTRANTE"/>
    <s v="FULL"/>
    <s v="3472550638-149244114-20260518104155.mp3"/>
    <s v=""/>
    <s v="NAC-CEL"/>
    <s v="NACIONAL"/>
    <s v="PAIS-CELULAR"/>
    <n v="0"/>
    <n v="0"/>
    <n v="0"/>
    <n v="0"/>
    <s v="BL"/>
    <n v="3"/>
    <n v="405"/>
    <s v="NotSet"/>
    <n v="37"/>
    <n v="1"/>
    <n v="2500076"/>
    <s v=""/>
    <s v="|0||SIP/SERVICIOS_SIP-00001ca5|1779111783.7336|16:Normal Clearing|17:Network|21||-1|NotSet|"/>
    <s v=""/>
  </r>
  <r>
    <x v="10"/>
    <n v="3535634564"/>
    <x v="0"/>
    <x v="0"/>
    <x v="0"/>
    <x v="0"/>
    <x v="3"/>
    <x v="10"/>
    <s v="No"/>
    <n v="20260518"/>
    <n v="149244033"/>
    <s v="SERVICIOS_SIP"/>
    <s v="NEO1"/>
    <n v="0"/>
    <n v="0"/>
    <s v="CAMPAÑA"/>
    <n v="150"/>
    <s v="8160 - QUEVEDO, JOAHANA"/>
    <n v="5"/>
    <s v="ANSWER"/>
    <s v="AGENT"/>
    <d v="2026-05-18T10:38:14"/>
    <d v="2026-05-18T10:38:15"/>
    <d v="2026-05-18T10:43:52"/>
    <s v="01152741410"/>
    <s v="3535634564"/>
    <s v="ENTRANTE"/>
    <s v="FULL"/>
    <s v="3535634564-149244033-20260518103814.mp3"/>
    <s v=""/>
    <s v="NAC-CEL"/>
    <s v="NACIONAL"/>
    <s v="PAIS-CELULAR"/>
    <n v="0"/>
    <n v="0"/>
    <n v="0"/>
    <n v="0"/>
    <s v="BL"/>
    <n v="3"/>
    <n v="338"/>
    <s v="NotSet"/>
    <n v="37"/>
    <n v="187"/>
    <n v="2255535"/>
    <s v=""/>
    <s v="|0||SIP/SERVICIOS_SIP-00001bec|1779111561.7151|16:Normal Clearing|17:Network|4||-1|NotSet|"/>
    <s v=""/>
  </r>
  <r>
    <x v="10"/>
    <n v="1169153569"/>
    <x v="0"/>
    <x v="0"/>
    <x v="0"/>
    <x v="0"/>
    <x v="0"/>
    <x v="10"/>
    <s v="No"/>
    <n v="20260518"/>
    <n v="149243995"/>
    <s v="SERVICIOS_SIP"/>
    <s v="NEO1"/>
    <n v="0"/>
    <n v="0"/>
    <s v="CAMPAÑA"/>
    <n v="150"/>
    <s v="8647 - Molina, Rocio"/>
    <n v="26"/>
    <s v="ANSWER"/>
    <s v="AGENT"/>
    <d v="2026-05-18T10:36:27"/>
    <d v="2026-05-18T10:36:27"/>
    <d v="2026-05-18T10:46:24"/>
    <s v="01152741410"/>
    <s v="1169153569"/>
    <s v="ENTRANTE"/>
    <s v="FULL"/>
    <s v="1169153569-149243995-20260518103627.mp3"/>
    <s v=""/>
    <s v="NAC-CEL"/>
    <s v="NACIONAL"/>
    <s v="PAIS-CELULAR"/>
    <n v="0"/>
    <n v="0"/>
    <n v="0"/>
    <n v="0"/>
    <s v="BL"/>
    <n v="3"/>
    <n v="597"/>
    <s v="NotSet"/>
    <n v="37"/>
    <n v="197"/>
    <n v="2427277"/>
    <s v=""/>
    <s v="|0||SIP/SERVICIOS_SIP-00001b9e|1779111454.7073|16:Normal Clearing|16:PBX|22|SIP/Z8647-00001ba8|-1|NotSet|"/>
    <s v=""/>
  </r>
  <r>
    <x v="10"/>
    <n v="3444444056"/>
    <x v="0"/>
    <x v="0"/>
    <x v="0"/>
    <x v="0"/>
    <x v="0"/>
    <x v="10"/>
    <s v="No"/>
    <n v="20260518"/>
    <n v="149243610"/>
    <s v="SERVICIOS_SIP"/>
    <s v="NEO1"/>
    <n v="0"/>
    <n v="0"/>
    <s v="CAMPAÑA"/>
    <n v="150"/>
    <s v="8160 - QUEVEDO, JOAHANA"/>
    <n v="26"/>
    <s v="ANSWER"/>
    <s v="AGENT"/>
    <d v="2026-05-18T10:15:09"/>
    <d v="2026-05-18T10:15:09"/>
    <d v="2026-05-18T10:37:06"/>
    <s v="01152741410"/>
    <s v="3444444056"/>
    <s v="ENTRANTE"/>
    <s v="FULL"/>
    <s v="3444444056-149243610-20260518101508.mp3"/>
    <s v=""/>
    <s v="NAC-CEL"/>
    <s v="NACIONAL"/>
    <s v="PAIS-CELULAR"/>
    <n v="0"/>
    <n v="0"/>
    <n v="0"/>
    <n v="0"/>
    <s v="BL"/>
    <n v="3"/>
    <n v="1318"/>
    <s v="NotSet"/>
    <n v="37"/>
    <n v="116"/>
    <n v="1314114"/>
    <s v=""/>
    <s v="|0||SIP/SERVICIOS_SIP-000018a8|1779110176.6315|16:Normal Clearing|17:Network|4||-1|NotSet|"/>
    <s v=""/>
  </r>
  <r>
    <x v="10"/>
    <n v="1144302799"/>
    <x v="0"/>
    <x v="0"/>
    <x v="0"/>
    <x v="0"/>
    <x v="3"/>
    <x v="0"/>
    <s v="No"/>
    <n v="20260518"/>
    <n v="149242738"/>
    <s v="SERVICIOS_SIP"/>
    <s v="NEO1"/>
    <n v="0"/>
    <n v="0"/>
    <s v="CAMPAÑA"/>
    <n v="150"/>
    <s v="8927 - Lizarrondo, Candela"/>
    <n v="5"/>
    <s v="ANSWER"/>
    <s v="AGENT"/>
    <d v="2026-05-18T09:32:13"/>
    <d v="2026-05-18T09:32:13"/>
    <d v="2026-05-18T09:33:13"/>
    <s v="01152741410"/>
    <s v="1144302799"/>
    <s v="ENTRANTE"/>
    <s v="FULL"/>
    <s v="1144302799-149242738-20260518093212.mp3"/>
    <s v=""/>
    <s v="NAC-CEL"/>
    <s v="NACIONAL"/>
    <s v="PAIS-CELULAR"/>
    <n v="0"/>
    <n v="0"/>
    <n v="0"/>
    <n v="0"/>
    <s v="BL"/>
    <n v="3"/>
    <n v="61"/>
    <s v="NotSet"/>
    <n v="37"/>
    <n v="0"/>
    <n v="0"/>
    <s v=""/>
    <s v="|0||SIP/SERVICIOS_SIP-00001198|1779107600.4507|16:Normal Clearing|17:Network|22||-1|NotSet|"/>
    <s v=""/>
  </r>
  <r>
    <x v="10"/>
    <n v="3816382634"/>
    <x v="0"/>
    <x v="0"/>
    <x v="0"/>
    <x v="0"/>
    <x v="0"/>
    <x v="0"/>
    <s v="No"/>
    <n v="20260518"/>
    <n v="149242611"/>
    <s v="SERVICIOS_SIP"/>
    <s v="NEO1"/>
    <n v="0"/>
    <n v="0"/>
    <s v="CAMPAÑA"/>
    <n v="150"/>
    <s v="8861 - Caceres, Martina"/>
    <n v="26"/>
    <s v="ANSWER"/>
    <s v="AGENT"/>
    <d v="2026-05-18T09:28:04"/>
    <d v="2026-05-18T09:28:04"/>
    <d v="2026-05-18T09:40:21"/>
    <s v="01152741410"/>
    <s v="3816382634"/>
    <s v="ENTRANTE"/>
    <s v="FULL"/>
    <s v="3816382634-149242611-20260518092804.mp3"/>
    <s v=""/>
    <s v="NAC-CEL"/>
    <s v="NACIONAL"/>
    <s v="PAIS-CELULAR"/>
    <n v="0"/>
    <n v="0"/>
    <n v="0"/>
    <n v="0"/>
    <s v="BL"/>
    <n v="3"/>
    <n v="737"/>
    <s v="NotSet"/>
    <n v="37"/>
    <n v="0"/>
    <n v="0"/>
    <s v=""/>
    <s v="|0||SIP/SERVICIOS_SIP-00001092|1779107351.4245|16:Normal Clearing|16:PBX|19|SIP/GQ106-000010a7|-1|NotSet|"/>
    <s v=""/>
  </r>
  <r>
    <x v="11"/>
    <n v="2974052532"/>
    <x v="0"/>
    <x v="0"/>
    <x v="0"/>
    <x v="0"/>
    <x v="1"/>
    <x v="1"/>
    <s v="No"/>
    <n v="20260519"/>
    <n v="149290206"/>
    <s v="SERVICIOS_SIP"/>
    <s v="NEO1"/>
    <n v="0"/>
    <n v="0"/>
    <s v="CAMPAÑA"/>
    <n v="150"/>
    <s v="8864 - González, Maitena"/>
    <n v="27"/>
    <s v="ANSWER"/>
    <s v="AGENT"/>
    <d v="2026-05-19T19:53:20"/>
    <d v="2026-05-19T19:53:20"/>
    <d v="2026-05-19T20:11:38"/>
    <s v="01152741410"/>
    <s v="2974052532"/>
    <s v="ENTRANTE"/>
    <s v="FULL"/>
    <s v="2974052532-149290206-20260519195319.mp3"/>
    <s v=""/>
    <s v="NAC-CEL"/>
    <s v="NACIONAL"/>
    <s v="PAIS-CELULAR"/>
    <n v="0"/>
    <n v="0"/>
    <n v="0"/>
    <n v="0"/>
    <s v="BL"/>
    <n v="3"/>
    <n v="1098"/>
    <s v="NotSet"/>
    <n v="37"/>
    <n v="201"/>
    <n v="2501430"/>
    <s v=""/>
    <s v="|0||SIP/SERVICIOS_SIP-00047fe8|1779231269.294897|16:Normal Clearing|17:Network|21||-1|NotSet|"/>
    <s v=""/>
  </r>
  <r>
    <x v="11"/>
    <n v="3518641628"/>
    <x v="0"/>
    <x v="0"/>
    <x v="0"/>
    <x v="0"/>
    <x v="1"/>
    <x v="2"/>
    <s v="No"/>
    <n v="20260519"/>
    <n v="149287513"/>
    <s v="SERVICIOS_SIP"/>
    <s v="NEO1"/>
    <n v="0"/>
    <n v="0"/>
    <s v="CAMPAÑA"/>
    <n v="150"/>
    <s v="8872 - Pasetti, Gisela Lorena"/>
    <n v="27"/>
    <s v="ANSWER"/>
    <s v="AGENT"/>
    <d v="2026-05-19T18:31:06"/>
    <d v="2026-05-19T18:31:06"/>
    <d v="2026-05-19T18:31:27"/>
    <s v="01152741410"/>
    <s v="3518641628"/>
    <s v="ENTRANTE"/>
    <s v="FULL"/>
    <s v=""/>
    <s v=""/>
    <s v="NAC-FIJO"/>
    <s v="CORDOBA"/>
    <s v="CORDOBA"/>
    <n v="0"/>
    <n v="0"/>
    <n v="0"/>
    <n v="0"/>
    <s v="BL"/>
    <n v="3"/>
    <n v="21"/>
    <s v="NotSet"/>
    <n v="37"/>
    <n v="0"/>
    <n v="0"/>
    <s v=""/>
    <s v="|0||SIP/SERVICIOS_SIP-00044167|1779226335.278893|16:Normal Clearing|16:PBX|19|SIP/GQ105-00044180|-1|NotSet|"/>
    <s v=""/>
  </r>
  <r>
    <x v="11"/>
    <n v="2995130423"/>
    <x v="0"/>
    <x v="0"/>
    <x v="0"/>
    <x v="0"/>
    <x v="1"/>
    <x v="2"/>
    <s v="No"/>
    <n v="20260519"/>
    <n v="149287395"/>
    <s v="SERVICIOS_SIP"/>
    <s v="NEO1"/>
    <n v="0"/>
    <n v="0"/>
    <s v="CAMPAÑA"/>
    <n v="150"/>
    <s v="8814 - Nievas, Jimena "/>
    <n v="27"/>
    <s v="ANSWER"/>
    <s v="AGENT"/>
    <d v="2026-05-19T18:25:48"/>
    <d v="2026-05-19T18:25:49"/>
    <d v="2026-05-19T18:34:49"/>
    <s v="01152741410"/>
    <s v="2995130423"/>
    <s v="ENTRANTE"/>
    <s v="FULL"/>
    <s v="2995130423-149287395-20260519182548.mp3"/>
    <s v=""/>
    <s v="NAC-CEL"/>
    <s v="NACIONAL"/>
    <s v="PAIS-CELULAR"/>
    <n v="0"/>
    <n v="0"/>
    <n v="0"/>
    <n v="0"/>
    <s v="BL"/>
    <n v="3"/>
    <n v="541"/>
    <s v="NotSet"/>
    <n v="37"/>
    <n v="1"/>
    <n v="852191"/>
    <s v="Apr 29 2023 10:29AM"/>
    <s v="|0||SIP/SERVICIOS_SIP-0004403c|1779226017.278594|16:Normal Clearing|17:Network|27||-1|NotSet|"/>
    <s v=""/>
  </r>
  <r>
    <x v="11"/>
    <n v="3547630445"/>
    <x v="0"/>
    <x v="0"/>
    <x v="0"/>
    <x v="0"/>
    <x v="1"/>
    <x v="2"/>
    <s v="No"/>
    <n v="20260519"/>
    <n v="149287042"/>
    <s v="SERVICIOS_SIP"/>
    <s v="NEO1"/>
    <n v="0"/>
    <n v="0"/>
    <s v="CAMPAÑA"/>
    <n v="150"/>
    <s v="8864 - González, Maitena"/>
    <n v="27"/>
    <s v="ANSWER"/>
    <s v="AGENT"/>
    <d v="2026-05-19T18:22:04"/>
    <d v="2026-05-19T18:22:05"/>
    <d v="2026-05-19T18:40:42"/>
    <s v="01152741410"/>
    <s v="3547630445"/>
    <s v="ENTRANTE"/>
    <s v="FULL"/>
    <s v="3547630445-149287042-20260519182204.mp3"/>
    <s v=""/>
    <s v="NAC-CEL"/>
    <s v="NACIONAL"/>
    <s v="PAIS-CELULAR"/>
    <n v="0"/>
    <n v="0"/>
    <n v="0"/>
    <n v="0"/>
    <s v="BL"/>
    <n v="3"/>
    <n v="1118"/>
    <s v="NotSet"/>
    <n v="37"/>
    <n v="201"/>
    <n v="2500997"/>
    <s v=""/>
    <s v="|0||SIP/SERVICIOS_SIP-00043e14|1779225793.278042|16:Normal Clearing|16:PBX|3|SIP/Z8864-00043e5a|-1|NotSet|"/>
    <s v=""/>
  </r>
  <r>
    <x v="11"/>
    <n v="2915273230"/>
    <x v="0"/>
    <x v="0"/>
    <x v="0"/>
    <x v="0"/>
    <x v="1"/>
    <x v="3"/>
    <s v="No"/>
    <n v="20260519"/>
    <n v="149285111"/>
    <s v="SERVICIOS_SIP"/>
    <s v="NEO1"/>
    <n v="0"/>
    <n v="0"/>
    <s v="CAMPAÑA"/>
    <n v="150"/>
    <s v="8864 - González, Maitena"/>
    <n v="27"/>
    <s v="ANSWER"/>
    <s v="AGENT"/>
    <d v="2026-05-19T17:56:42"/>
    <d v="2026-05-19T17:56:42"/>
    <d v="2026-05-19T17:59:00"/>
    <s v="01152741410"/>
    <s v="2915273230"/>
    <s v="ENTRANTE"/>
    <s v="FULL"/>
    <s v="2915273230-149285111-20260519175641.mp3"/>
    <s v=""/>
    <s v="NAC-FIJO"/>
    <s v="BUENOS AIRES"/>
    <s v="BAHIA BLANCA"/>
    <n v="0"/>
    <n v="0"/>
    <n v="0"/>
    <n v="0"/>
    <s v="BL"/>
    <n v="3"/>
    <n v="139"/>
    <s v="NotSet"/>
    <n v="37"/>
    <n v="73"/>
    <n v="1927147"/>
    <s v="Apr 24 2025  7:26PM"/>
    <s v="|0||SIP/SERVICIOS_SIP-000306a1|1779224271.198311|16:Normal Clearing|16:PBX|33||-1|NotSet|"/>
    <s v=""/>
  </r>
  <r>
    <x v="11"/>
    <n v="1140850630"/>
    <x v="0"/>
    <x v="0"/>
    <x v="0"/>
    <x v="0"/>
    <x v="1"/>
    <x v="3"/>
    <s v="No"/>
    <n v="20260519"/>
    <n v="149284452"/>
    <s v="SERVICIOS_SIP"/>
    <s v="NEO1"/>
    <n v="0"/>
    <n v="0"/>
    <s v="CAMPAÑA"/>
    <n v="150"/>
    <s v="8938 - Spertino, Exequiel"/>
    <n v="27"/>
    <s v="ANSWER"/>
    <s v="AGENT"/>
    <d v="2026-05-19T17:45:21"/>
    <d v="2026-05-19T17:45:21"/>
    <d v="2026-05-19T18:08:10"/>
    <s v="01152741410"/>
    <s v="1140850630"/>
    <s v="ENTRANTE"/>
    <s v="FULL"/>
    <s v="1140850630-149284452-20260519174521.mp3"/>
    <s v=""/>
    <s v="NAC-CEL"/>
    <s v="NACIONAL"/>
    <s v="PAIS-CELULAR"/>
    <n v="0"/>
    <n v="0"/>
    <n v="0"/>
    <n v="0"/>
    <s v="BL"/>
    <n v="3"/>
    <n v="1370"/>
    <s v="NotSet"/>
    <n v="37"/>
    <n v="164"/>
    <n v="2501357"/>
    <s v="May 19 2026  6:02PM"/>
    <s v="|0||SIP/SERVICIOS_SIP-0003025e|1779223590.197220|16:Normal Clearing|16:PBX|4|SIP/GQ113-000302b1|-1|NotSet|"/>
    <s v=""/>
  </r>
  <r>
    <x v="11"/>
    <n v="2616303418"/>
    <x v="0"/>
    <x v="0"/>
    <x v="0"/>
    <x v="0"/>
    <x v="1"/>
    <x v="3"/>
    <s v="No"/>
    <n v="20260519"/>
    <n v="149284200"/>
    <s v="SERVICIOS_SIP"/>
    <s v="NEO1"/>
    <n v="0"/>
    <n v="0"/>
    <s v="CAMPAÑA"/>
    <n v="150"/>
    <s v="8864 - González, Maitena"/>
    <n v="27"/>
    <s v="ANSWER"/>
    <s v="AGENT"/>
    <d v="2026-05-19T17:40:33"/>
    <d v="2026-05-19T17:40:33"/>
    <d v="2026-05-19T17:47:44"/>
    <s v="01152741410"/>
    <s v="2616303418"/>
    <s v="ENTRANTE"/>
    <s v="FULL"/>
    <s v="2616303418-149284200-20260519174032.mp3"/>
    <s v=""/>
    <s v="NAC-CEL"/>
    <s v="NACIONAL"/>
    <s v="PAIS-CELULAR"/>
    <n v="0"/>
    <n v="0"/>
    <n v="0"/>
    <n v="0"/>
    <s v="BL"/>
    <n v="3"/>
    <n v="432"/>
    <s v="NotSet"/>
    <n v="37"/>
    <n v="1"/>
    <n v="2501349"/>
    <s v=""/>
    <s v="|0||SIP/SERVICIOS_SIP-000300b6|1779223302.196796|16:Normal Clearing|17:Network|29||-1|NotSet|"/>
    <s v=""/>
  </r>
  <r>
    <x v="11"/>
    <n v="1170248700"/>
    <x v="0"/>
    <x v="0"/>
    <x v="0"/>
    <x v="0"/>
    <x v="1"/>
    <x v="3"/>
    <s v="No"/>
    <n v="20260519"/>
    <n v="149283251"/>
    <s v="SERVICIOS_SIP"/>
    <s v="NEO1"/>
    <n v="0"/>
    <n v="0"/>
    <s v="CAMPAÑA"/>
    <n v="150"/>
    <s v="8864 - González, Maitena"/>
    <n v="27"/>
    <s v="ANSWER"/>
    <s v="AGENT"/>
    <d v="2026-05-19T17:21:24"/>
    <d v="2026-05-19T17:21:24"/>
    <d v="2026-05-19T17:22:46"/>
    <s v="01152741410"/>
    <s v="1170248700"/>
    <s v="ENTRANTE"/>
    <s v="FULL"/>
    <s v="1170248700-149283251-20260519172124.mp3"/>
    <s v=""/>
    <s v="LOC-FIJO"/>
    <s v="LOCAL-FIJO"/>
    <s v="LOCAL-FIJO"/>
    <n v="0"/>
    <n v="0"/>
    <n v="0"/>
    <n v="0"/>
    <s v="BL"/>
    <n v="3"/>
    <n v="82"/>
    <s v="NotSet"/>
    <n v="37"/>
    <n v="1"/>
    <n v="2501326"/>
    <s v=""/>
    <s v="|0||SIP/SERVICIOS_SIP-0002fae5|1779222153.195307|16:Normal Clearing|16:PBX|6|SIP/Z8864-0002faf7|-1|NotSet|"/>
    <s v=""/>
  </r>
  <r>
    <x v="11"/>
    <n v="3548588929"/>
    <x v="0"/>
    <x v="0"/>
    <x v="0"/>
    <x v="0"/>
    <x v="1"/>
    <x v="4"/>
    <s v="No"/>
    <n v="20260519"/>
    <n v="149281905"/>
    <s v="SERVICIOS_SIP"/>
    <s v="NEO1"/>
    <n v="0"/>
    <n v="0"/>
    <s v="CAMPAÑA"/>
    <n v="150"/>
    <s v="8864 - González, Maitena"/>
    <n v="27"/>
    <s v="ANSWER"/>
    <s v="AGENT"/>
    <d v="2026-05-19T16:58:59"/>
    <d v="2026-05-19T16:58:59"/>
    <d v="2026-05-19T17:04:55"/>
    <s v="01152741410"/>
    <s v="3548588929"/>
    <s v="ENTRANTE"/>
    <s v="FULL"/>
    <s v="3548588929-149281905-20260519165859.mp3"/>
    <s v=""/>
    <s v="NAC-CEL"/>
    <s v="NACIONAL"/>
    <s v="PAIS-CELULAR"/>
    <n v="0"/>
    <n v="0"/>
    <n v="0"/>
    <n v="0"/>
    <s v="BL"/>
    <n v="3"/>
    <n v="356"/>
    <s v="NotSet"/>
    <n v="37"/>
    <n v="1"/>
    <n v="2501312"/>
    <s v=""/>
    <s v="|0||SIP/SERVICIOS_SIP-0002f2f7|1779220808.193276|16:Normal Clearing|16:PBX|15||-1|NotSet|"/>
    <s v=""/>
  </r>
  <r>
    <x v="11"/>
    <n v="1158492987"/>
    <x v="0"/>
    <x v="0"/>
    <x v="0"/>
    <x v="0"/>
    <x v="1"/>
    <x v="4"/>
    <s v="No"/>
    <n v="20260519"/>
    <n v="149281669"/>
    <s v="SERVICIOS_SIP"/>
    <s v="NEO1"/>
    <n v="0"/>
    <n v="0"/>
    <s v="CAMPAÑA"/>
    <n v="150"/>
    <s v="8814 - Nievas, Jimena "/>
    <n v="27"/>
    <s v="ANSWER"/>
    <s v="AGENT"/>
    <d v="2026-05-19T16:51:43"/>
    <d v="2026-05-19T16:51:44"/>
    <d v="2026-05-19T17:01:39"/>
    <s v="01152741410"/>
    <s v="1158492987"/>
    <s v="ENTRANTE"/>
    <s v="FULL"/>
    <s v="1158492987-149281669-20260519165143.mp3"/>
    <s v=""/>
    <s v="NAC-CEL"/>
    <s v="NACIONAL"/>
    <s v="PAIS-CELULAR"/>
    <n v="0"/>
    <n v="0"/>
    <n v="0"/>
    <n v="0"/>
    <s v="BL"/>
    <n v="3"/>
    <n v="596"/>
    <s v="NotSet"/>
    <n v="37"/>
    <n v="201"/>
    <n v="2499207"/>
    <s v=""/>
    <s v="|0||SIP/SERVICIOS_SIP-0002f16b|1779220372.192880|16:Normal Clearing|17:Network|0||-1|NotSet|"/>
    <s v=""/>
  </r>
  <r>
    <x v="11"/>
    <n v="1159537784"/>
    <x v="0"/>
    <x v="0"/>
    <x v="0"/>
    <x v="0"/>
    <x v="1"/>
    <x v="5"/>
    <s v="No"/>
    <n v="20260519"/>
    <n v="149280476"/>
    <s v="SERVICIOS_SIP"/>
    <s v="NEO1"/>
    <n v="0"/>
    <n v="0"/>
    <s v="CAMPAÑA"/>
    <n v="150"/>
    <s v="8814 - Nievas, Jimena "/>
    <n v="27"/>
    <s v="ANSWER"/>
    <s v="AGENT"/>
    <d v="2026-05-19T15:58:50"/>
    <d v="2026-05-19T15:58:50"/>
    <d v="2026-05-19T16:11:56"/>
    <s v="01152741410"/>
    <s v="1159537784"/>
    <s v="ENTRANTE"/>
    <s v="FULL"/>
    <s v="1159537784-149280476-20260519155849.mp3"/>
    <s v=""/>
    <s v="NAC-CEL"/>
    <s v="NACIONAL"/>
    <s v="PAIS-CELULAR"/>
    <n v="0"/>
    <n v="0"/>
    <n v="0"/>
    <n v="0"/>
    <s v="BL"/>
    <n v="3"/>
    <n v="786"/>
    <s v="NotSet"/>
    <n v="37"/>
    <n v="157"/>
    <n v="1658268"/>
    <s v=""/>
    <s v="|0||SIP/SERVICIOS_SIP-000299fc|1779217199.170496|16:Normal Clearing|17:Network|11||-1|NotSet|"/>
    <s v=""/>
  </r>
  <r>
    <x v="11"/>
    <n v="1135201656"/>
    <x v="0"/>
    <x v="0"/>
    <x v="0"/>
    <x v="0"/>
    <x v="1"/>
    <x v="5"/>
    <s v="No"/>
    <n v="20260519"/>
    <n v="149280310"/>
    <s v="SERVICIOS_SIP"/>
    <s v="NEO1"/>
    <n v="0"/>
    <n v="0"/>
    <s v="CAMPAÑA"/>
    <n v="150"/>
    <s v="8864 - González, Maitena"/>
    <n v="27"/>
    <s v="ANSWER"/>
    <s v="AGENT"/>
    <d v="2026-05-19T15:51:32"/>
    <d v="2026-05-19T15:51:32"/>
    <d v="2026-05-19T15:59:14"/>
    <s v="01152741410"/>
    <s v="1135201656"/>
    <s v="ENTRANTE"/>
    <s v="FULL"/>
    <s v="1135201656-149280310-20260519155131.mp3"/>
    <s v=""/>
    <s v="LOC-FIJO"/>
    <s v="LOCAL-FIJO"/>
    <s v="LOCAL-FIJO"/>
    <n v="0"/>
    <n v="0"/>
    <n v="0"/>
    <n v="0"/>
    <s v="BL"/>
    <n v="3"/>
    <n v="463"/>
    <s v="NotSet"/>
    <n v="37"/>
    <n v="1"/>
    <n v="2501242"/>
    <s v=""/>
    <s v="|0||SIP/SERVICIOS_SIP-000298a6|1779216761.170154|0:Unknown|17:Network|10||-1|NotSet|"/>
    <s v=""/>
  </r>
  <r>
    <x v="11"/>
    <n v="3462532582"/>
    <x v="0"/>
    <x v="0"/>
    <x v="0"/>
    <x v="0"/>
    <x v="1"/>
    <x v="5"/>
    <s v="No"/>
    <n v="20260519"/>
    <n v="149279672"/>
    <s v="SERVICIOS_SIP"/>
    <s v="NEO1"/>
    <n v="0"/>
    <n v="0"/>
    <s v="CAMPAÑA"/>
    <n v="150"/>
    <s v="8872 - Pasetti, Gisela Lorena"/>
    <n v="27"/>
    <s v="ANSWER"/>
    <s v="AGENT"/>
    <d v="2026-05-19T15:16:14"/>
    <d v="2026-05-19T15:16:14"/>
    <d v="2026-05-19T15:23:43"/>
    <s v="01152741410"/>
    <s v="3462532582"/>
    <s v="ENTRANTE"/>
    <s v="FULL"/>
    <s v="3462532582-149279672-20260519151614.mp3"/>
    <s v=""/>
    <s v="NAC-CEL"/>
    <s v="NACIONAL"/>
    <s v="PAIS-CELULAR"/>
    <n v="0"/>
    <n v="0"/>
    <n v="0"/>
    <n v="0"/>
    <s v="BL"/>
    <n v="3"/>
    <n v="449"/>
    <s v="NotSet"/>
    <n v="37"/>
    <n v="201"/>
    <n v="2492628"/>
    <s v=""/>
    <s v="|0||SIP/SERVICIOS_SIP-0002937d|1779214643.168833|16:Normal Clearing|17:Network|4||-1|NotSet|"/>
    <s v=""/>
  </r>
  <r>
    <x v="11"/>
    <n v="2291451544"/>
    <x v="0"/>
    <x v="0"/>
    <x v="0"/>
    <x v="0"/>
    <x v="1"/>
    <x v="5"/>
    <s v="No"/>
    <n v="20260519"/>
    <n v="149279602"/>
    <s v="SERVICIOS_SIP"/>
    <s v="NEO1"/>
    <n v="0"/>
    <n v="0"/>
    <s v="CAMPAÑA"/>
    <n v="150"/>
    <s v="8814 - Nievas, Jimena "/>
    <n v="27"/>
    <s v="ANSWER"/>
    <s v="AGENT"/>
    <d v="2026-05-19T15:12:58"/>
    <d v="2026-05-19T15:12:58"/>
    <d v="2026-05-19T15:18:33"/>
    <s v="01152741410"/>
    <s v="2291451544"/>
    <s v="ENTRANTE"/>
    <s v="FULL"/>
    <s v="2291451544-149279602-20260519151257.mp3"/>
    <s v=""/>
    <s v="NAC-CEL"/>
    <s v="NACIONAL"/>
    <s v="PAIS-CELULAR"/>
    <n v="0"/>
    <n v="0"/>
    <n v="0"/>
    <n v="0"/>
    <s v="BL"/>
    <n v="3"/>
    <n v="336"/>
    <s v="NotSet"/>
    <n v="37"/>
    <n v="1"/>
    <n v="2501198"/>
    <s v=""/>
    <s v="|0||SIP/SERVICIOS_SIP-000292ef|1779214447.168691|16:Normal Clearing|17:Network|13||-1|NotSet|"/>
    <s v=""/>
  </r>
  <r>
    <x v="11"/>
    <n v="3497403581"/>
    <x v="0"/>
    <x v="0"/>
    <x v="0"/>
    <x v="0"/>
    <x v="0"/>
    <x v="6"/>
    <s v="No"/>
    <n v="20260519"/>
    <n v="149279182"/>
    <s v="SERVICIOS_SIP"/>
    <s v="NEO1"/>
    <n v="0"/>
    <n v="0"/>
    <s v="CAMPAÑA"/>
    <n v="150"/>
    <s v="8861 - Caceres, Martina"/>
    <n v="26"/>
    <s v="ANSWER"/>
    <s v="AGENT"/>
    <d v="2026-05-19T14:48:35"/>
    <d v="2026-05-19T14:48:35"/>
    <d v="2026-05-19T14:51:01"/>
    <s v="01152741410"/>
    <s v="3497403581"/>
    <s v="ENTRANTE"/>
    <s v="FULL"/>
    <s v="3497403581-149279182-20260519144834.mp3"/>
    <s v=""/>
    <s v="NAC-CEL"/>
    <s v="NACIONAL"/>
    <s v="PAIS-CELULAR"/>
    <n v="0"/>
    <n v="0"/>
    <n v="0"/>
    <n v="0"/>
    <s v="BL"/>
    <n v="3"/>
    <n v="147"/>
    <s v="NotSet"/>
    <n v="37"/>
    <n v="201"/>
    <n v="2494493"/>
    <s v=""/>
    <s v="|0||SIP/SERVICIOS_SIP-00028f7b|1779212984.167806|16:Normal Clearing|17:Network|3||-1|NotSet|"/>
    <s v=""/>
  </r>
  <r>
    <x v="11"/>
    <n v="3625359678"/>
    <x v="0"/>
    <x v="0"/>
    <x v="0"/>
    <x v="0"/>
    <x v="0"/>
    <x v="6"/>
    <s v="No"/>
    <n v="20260519"/>
    <n v="149278191"/>
    <s v="SERVICIOS_SIP"/>
    <s v="NEO1"/>
    <n v="0"/>
    <n v="0"/>
    <s v="CAMPAÑA"/>
    <n v="150"/>
    <s v="8861 - Caceres, Martina"/>
    <n v="26"/>
    <s v="ANSWER"/>
    <s v="AGENT"/>
    <d v="2026-05-19T14:06:57"/>
    <d v="2026-05-19T14:06:57"/>
    <d v="2026-05-19T14:08:16"/>
    <s v="01152741410"/>
    <s v="3625359678"/>
    <s v="ENTRANTE"/>
    <s v="FULL"/>
    <s v="3625359678-149278191-20260519140656.mp3"/>
    <s v=""/>
    <s v="NAC-FIJO"/>
    <s v="CHACO"/>
    <s v="RESISTENCIA"/>
    <n v="0"/>
    <n v="0"/>
    <n v="0"/>
    <n v="0"/>
    <s v="BL"/>
    <n v="3"/>
    <n v="80"/>
    <s v="NotSet"/>
    <n v="37"/>
    <n v="0"/>
    <n v="0"/>
    <s v=""/>
    <s v="|0||SIP/SERVICIOS_SIP-0002889a|1779210486.166045|16:Normal Clearing|17:Network|16||-1|NotSet|"/>
    <s v=""/>
  </r>
  <r>
    <x v="11"/>
    <n v="1171177278"/>
    <x v="0"/>
    <x v="0"/>
    <x v="0"/>
    <x v="0"/>
    <x v="0"/>
    <x v="7"/>
    <s v="No"/>
    <n v="20260519"/>
    <n v="149277920"/>
    <s v="SERVICIOS_SIP"/>
    <s v="NEO1"/>
    <n v="0"/>
    <n v="0"/>
    <s v="CAMPAÑA"/>
    <n v="150"/>
    <s v="8927 - Lizarrondo, Candela"/>
    <n v="26"/>
    <s v="ANSWER"/>
    <s v="AGENT"/>
    <d v="2026-05-19T13:55:26"/>
    <d v="2026-05-19T13:55:26"/>
    <d v="2026-05-19T14:16:55"/>
    <s v="01152741410"/>
    <s v="1171177278"/>
    <s v="ENTRANTE"/>
    <s v="FULL"/>
    <s v="1171177278-149277920-20260519135526.mp3"/>
    <s v=""/>
    <s v="LOC-FIJO"/>
    <s v="LOCAL-FIJO"/>
    <s v="LOCAL-FIJO"/>
    <n v="0"/>
    <n v="0"/>
    <n v="0"/>
    <n v="0"/>
    <s v="BL"/>
    <n v="3"/>
    <n v="1290"/>
    <s v="NotSet"/>
    <n v="37"/>
    <n v="201"/>
    <n v="2501114"/>
    <s v=""/>
    <s v="|0||SIP/SERVICIOS_SIP-00028674|1779209795.165495|16:Normal Clearing|16:PBX|15|SIP/GQ108-00028683|-1|NotSet|"/>
    <s v=""/>
  </r>
  <r>
    <x v="11"/>
    <n v="2614610300"/>
    <x v="0"/>
    <x v="0"/>
    <x v="0"/>
    <x v="0"/>
    <x v="0"/>
    <x v="7"/>
    <s v="No"/>
    <n v="20260519"/>
    <n v="149277164"/>
    <s v="SERVICIOS_SIP"/>
    <s v="NEO1"/>
    <n v="0"/>
    <n v="0"/>
    <s v="CAMPAÑA"/>
    <n v="150"/>
    <s v="8861 - Caceres, Martina"/>
    <n v="26"/>
    <s v="ANSWER"/>
    <s v="AGENT"/>
    <d v="2026-05-19T13:23:40"/>
    <d v="2026-05-19T13:23:40"/>
    <d v="2026-05-19T13:34:14"/>
    <s v="01152741410"/>
    <s v="2614610300"/>
    <s v="ENTRANTE"/>
    <s v="FULL"/>
    <s v="2614610300-149277164-20260519132339.mp3"/>
    <s v=""/>
    <s v="NAC-FIJO"/>
    <s v="MENDOZA"/>
    <s v="MENDOZA"/>
    <n v="0"/>
    <n v="0"/>
    <n v="0"/>
    <n v="0"/>
    <s v="BL"/>
    <n v="3"/>
    <n v="635"/>
    <s v="NotSet"/>
    <n v="37"/>
    <n v="1"/>
    <n v="2501097"/>
    <s v=""/>
    <s v="|0||SIP/SERVICIOS_SIP-00028096|1779207889.163993|16:Normal Clearing|17:Network|19||-1|NotSet|"/>
    <s v=""/>
  </r>
  <r>
    <x v="11"/>
    <n v="1169597528"/>
    <x v="0"/>
    <x v="0"/>
    <x v="0"/>
    <x v="0"/>
    <x v="0"/>
    <x v="7"/>
    <s v="No"/>
    <n v="20260519"/>
    <n v="149277095"/>
    <s v="SERVICIOS_SIP"/>
    <s v="NEO1"/>
    <n v="0"/>
    <n v="0"/>
    <s v="CAMPAÑA"/>
    <n v="150"/>
    <s v="8160 - QUEVEDO, JOAHANA"/>
    <n v="26"/>
    <s v="ANSWER"/>
    <s v="AGENT"/>
    <d v="2026-05-19T13:21:12"/>
    <d v="2026-05-19T13:21:13"/>
    <d v="2026-05-19T13:47:19"/>
    <s v="01152741410"/>
    <s v="1169597528"/>
    <s v="ENTRANTE"/>
    <s v="FULL"/>
    <s v="1169597528-149277095-20260519132112.mp3"/>
    <s v=""/>
    <s v="NAC-CEL"/>
    <s v="NACIONAL"/>
    <s v="PAIS-CELULAR"/>
    <n v="0"/>
    <n v="0"/>
    <n v="0"/>
    <n v="0"/>
    <s v="BL"/>
    <n v="3"/>
    <n v="1567"/>
    <s v="NotSet"/>
    <n v="37"/>
    <n v="202"/>
    <n v="2500647"/>
    <s v=""/>
    <s v="|0||SIP/SERVICIOS_SIP-00028010|1779207742.163859|16:Normal Clearing|17:Network|16||-1|NotSet|"/>
    <s v=""/>
  </r>
  <r>
    <x v="11"/>
    <n v="1160001355"/>
    <x v="0"/>
    <x v="0"/>
    <x v="0"/>
    <x v="0"/>
    <x v="0"/>
    <x v="8"/>
    <s v="No"/>
    <n v="20260519"/>
    <n v="149276398"/>
    <s v="SERVICIOS_SIP"/>
    <s v="NEO1"/>
    <n v="0"/>
    <n v="0"/>
    <s v="CAMPAÑA"/>
    <n v="150"/>
    <s v="8160 - QUEVEDO, JOAHANA"/>
    <n v="26"/>
    <s v="ANSWER"/>
    <s v="AGENT"/>
    <d v="2026-05-19T12:47:26"/>
    <d v="2026-05-19T12:47:26"/>
    <d v="2026-05-19T12:54:53"/>
    <s v="01152741410"/>
    <s v="1160001355"/>
    <s v="ENTRANTE"/>
    <s v="FULL"/>
    <s v="1160001355-149276398-20260519124726.mp3"/>
    <s v=""/>
    <s v="NAC-CEL"/>
    <s v="NACIONAL"/>
    <s v="PAIS-CELULAR"/>
    <n v="0"/>
    <n v="0"/>
    <n v="0"/>
    <n v="0"/>
    <s v="BL"/>
    <n v="3"/>
    <n v="447"/>
    <s v="NotSet"/>
    <n v="37"/>
    <n v="202"/>
    <n v="2496524"/>
    <s v=""/>
    <s v="|0||SIP/SERVICIOS_SIP-00027a8b|1779205715.162446|16:Normal Clearing|17:Network|16||-1|NotSet|"/>
    <s v=""/>
  </r>
  <r>
    <x v="11"/>
    <n v="1142100095"/>
    <x v="0"/>
    <x v="0"/>
    <x v="0"/>
    <x v="0"/>
    <x v="0"/>
    <x v="8"/>
    <s v="No"/>
    <n v="20260519"/>
    <n v="149276058"/>
    <s v="SERVICIOS_SIP"/>
    <s v="NEO1"/>
    <n v="0"/>
    <n v="0"/>
    <s v="CAMPAÑA"/>
    <n v="150"/>
    <s v="8823 - Olmedo  , Selene"/>
    <n v="26"/>
    <s v="ANSWER"/>
    <s v="AGENT"/>
    <d v="2026-05-19T12:26:59"/>
    <d v="2026-05-19T12:26:59"/>
    <d v="2026-05-19T12:32:30"/>
    <s v="01152741410"/>
    <s v="1142100095"/>
    <s v="ENTRANTE"/>
    <s v="FULL"/>
    <s v="1142100095-149276058-20260519122658.mp3"/>
    <s v=""/>
    <s v="LOC-FIJO"/>
    <s v="LOCAL-FIJO"/>
    <s v="LOCAL-FIJO"/>
    <n v="0"/>
    <n v="0"/>
    <n v="0"/>
    <n v="0"/>
    <s v="BL"/>
    <n v="3"/>
    <n v="332"/>
    <s v="NotSet"/>
    <n v="37"/>
    <n v="164"/>
    <n v="2501057"/>
    <s v=""/>
    <s v="|0||SIP/SERVICIOS_SIP-000277d0|1779204488.161746|16:Normal Clearing|17:Network|20||-1|NotSet|"/>
    <s v=""/>
  </r>
  <r>
    <x v="11"/>
    <n v="1168079488"/>
    <x v="0"/>
    <x v="0"/>
    <x v="0"/>
    <x v="0"/>
    <x v="0"/>
    <x v="8"/>
    <s v="No"/>
    <n v="20260519"/>
    <n v="149275607"/>
    <s v="SERVICIOS_SIP"/>
    <s v="NEO1"/>
    <n v="0"/>
    <n v="0"/>
    <s v="CAMPAÑA"/>
    <n v="150"/>
    <s v="8160 - QUEVEDO, JOAHANA"/>
    <n v="26"/>
    <s v="ANSWER"/>
    <s v="AGENT"/>
    <d v="2026-05-19T12:06:23"/>
    <d v="2026-05-19T12:06:23"/>
    <d v="2026-05-19T12:12:12"/>
    <s v="01152741410"/>
    <s v="1168079488"/>
    <s v="ENTRANTE"/>
    <s v="FULL"/>
    <s v="1168079488-149275607-20260519120622.mp3"/>
    <s v=""/>
    <s v="NAC-CEL"/>
    <s v="NACIONAL"/>
    <s v="PAIS-CELULAR"/>
    <n v="0"/>
    <n v="0"/>
    <n v="0"/>
    <n v="0"/>
    <s v="BL"/>
    <n v="3"/>
    <n v="350"/>
    <s v="NotSet"/>
    <n v="37"/>
    <n v="202"/>
    <n v="2501021"/>
    <s v=""/>
    <s v="|0||SIP/SERVICIOS_SIP-0002744d|1779203252.160847|16:Normal Clearing|17:Network|12||-1|NotSet|"/>
    <s v=""/>
  </r>
  <r>
    <x v="11"/>
    <n v="1158060444"/>
    <x v="0"/>
    <x v="0"/>
    <x v="0"/>
    <x v="0"/>
    <x v="0"/>
    <x v="9"/>
    <s v="No"/>
    <n v="20260519"/>
    <n v="149273937"/>
    <s v="SERVICIOS_SIP"/>
    <s v="NEO1"/>
    <n v="0"/>
    <n v="0"/>
    <s v="CAMPAÑA"/>
    <n v="150"/>
    <s v="8861 - Caceres, Martina"/>
    <n v="26"/>
    <s v="ANSWER"/>
    <s v="AGENT"/>
    <d v="2026-05-19T11:07:34"/>
    <d v="2026-05-19T11:07:34"/>
    <d v="2026-05-19T11:14:45"/>
    <s v="01152741410"/>
    <s v="1158060444"/>
    <s v="ENTRANTE"/>
    <s v="FULL"/>
    <s v="1158060444-149273937-20260519110733.mp3"/>
    <s v=""/>
    <s v="NAC-CEL"/>
    <s v="NACIONAL"/>
    <s v="PAIS-CELULAR"/>
    <n v="0"/>
    <n v="0"/>
    <n v="0"/>
    <n v="0"/>
    <s v="BL"/>
    <n v="3"/>
    <n v="432"/>
    <s v="NotSet"/>
    <n v="37"/>
    <n v="151"/>
    <n v="1448857"/>
    <s v=""/>
    <s v="|0||SIP/SERVICIOS_SIP-000267b5|1779199723.157622|16:Normal Clearing|16:PBX|10|SIP/GQ106-000267c5|-1|NotSet|"/>
    <s v=""/>
  </r>
  <r>
    <x v="11"/>
    <n v="2974572876"/>
    <x v="0"/>
    <x v="0"/>
    <x v="0"/>
    <x v="0"/>
    <x v="0"/>
    <x v="9"/>
    <s v="No"/>
    <n v="20260519"/>
    <n v="149273741"/>
    <s v="SERVICIOS_SIP"/>
    <s v="NEO1"/>
    <n v="0"/>
    <n v="0"/>
    <s v="CAMPAÑA"/>
    <n v="150"/>
    <s v="8861 - Caceres, Martina"/>
    <n v="26"/>
    <s v="ANSWER"/>
    <s v="AGENT"/>
    <d v="2026-05-19T11:01:16"/>
    <d v="2026-05-19T11:01:16"/>
    <d v="2026-05-19T11:04:19"/>
    <s v="01152741410"/>
    <s v="2974572876"/>
    <s v="ENTRANTE"/>
    <s v="FULL"/>
    <s v="2974572876-149273741-20260519110115.mp3"/>
    <s v=""/>
    <s v="NAC-CEL"/>
    <s v="NACIONAL"/>
    <s v="PAIS-CELULAR"/>
    <n v="0"/>
    <n v="0"/>
    <n v="0"/>
    <n v="0"/>
    <s v="BL"/>
    <n v="3"/>
    <n v="184"/>
    <s v="NotSet"/>
    <n v="37"/>
    <n v="175"/>
    <n v="2149962"/>
    <s v=""/>
    <s v="|0||SIP/SERVICIOS_SIP-0002663d|1779199345.157246|16:Normal Clearing|16:PBX|2|SIP/GQ106-00026654|-1|NotSet|"/>
    <s v=""/>
  </r>
  <r>
    <x v="12"/>
    <n v="1135761660"/>
    <x v="0"/>
    <x v="0"/>
    <x v="0"/>
    <x v="0"/>
    <x v="1"/>
    <x v="11"/>
    <s v="No"/>
    <n v="20260520"/>
    <n v="149308958"/>
    <s v="SERVICIOS_SIP"/>
    <s v="NEO1"/>
    <n v="0"/>
    <n v="0"/>
    <s v="CAMPAÑA"/>
    <n v="150"/>
    <s v="8872 - Pasetti, Gisela Lorena"/>
    <n v="27"/>
    <s v="ANSWER"/>
    <s v="AGENT"/>
    <d v="2026-05-20T20:17:30"/>
    <d v="2026-05-20T20:17:30"/>
    <d v="2026-05-20T20:24:21"/>
    <s v="01152741410"/>
    <s v="1135761660"/>
    <s v="ENTRANTE"/>
    <s v="FULL"/>
    <s v="1135761660-149308958-20260520201730.mp3"/>
    <s v=""/>
    <s v="NAC-CEL"/>
    <s v="NACIONAL"/>
    <s v="PAIS-CELULAR"/>
    <n v="0"/>
    <n v="0"/>
    <n v="0"/>
    <n v="0"/>
    <s v="BL"/>
    <n v="3"/>
    <n v="412"/>
    <s v="NotSet"/>
    <n v="37"/>
    <n v="0"/>
    <n v="0"/>
    <s v=""/>
    <s v="|0||SIP/SERVICIOS_SIP-0000d7c7|1779319121.55264|16:Normal Clearing|17:Network|7||-1|NotSet|"/>
    <s v=""/>
  </r>
  <r>
    <x v="12"/>
    <n v="2964458719"/>
    <x v="0"/>
    <x v="0"/>
    <x v="0"/>
    <x v="0"/>
    <x v="1"/>
    <x v="11"/>
    <s v="No"/>
    <n v="20260520"/>
    <n v="149308791"/>
    <s v="SERVICIOS_SIP"/>
    <s v="NEO1"/>
    <n v="0"/>
    <n v="0"/>
    <s v="CAMPAÑA"/>
    <n v="150"/>
    <s v="8814 - Nievas, Jimena "/>
    <n v="27"/>
    <s v="ANSWER"/>
    <s v="AGENT"/>
    <d v="2026-05-20T20:10:49"/>
    <d v="2026-05-20T20:10:49"/>
    <d v="2026-05-20T20:30:01"/>
    <s v="01152741410"/>
    <s v="2964458719"/>
    <s v="ENTRANTE"/>
    <s v="FULL"/>
    <s v="2964458719-149308791-20260520201049.mp3"/>
    <s v=""/>
    <s v="NAC-CEL"/>
    <s v="NACIONAL"/>
    <s v="PAIS-CELULAR"/>
    <n v="0"/>
    <n v="0"/>
    <n v="0"/>
    <n v="0"/>
    <s v="BL"/>
    <n v="3"/>
    <n v="1152"/>
    <s v="NotSet"/>
    <n v="37"/>
    <n v="201"/>
    <n v="2499709"/>
    <s v=""/>
    <s v="|0||SIP/SERVICIOS_SIP-0000d657|1779318720.54895|16:Normal Clearing|17:Network|16||-1|NotSet|"/>
    <s v=""/>
  </r>
  <r>
    <x v="12"/>
    <n v="3876667497"/>
    <x v="0"/>
    <x v="0"/>
    <x v="0"/>
    <x v="0"/>
    <x v="1"/>
    <x v="1"/>
    <s v="No"/>
    <n v="20260520"/>
    <n v="149308286"/>
    <s v="SERVICIOS_SIP"/>
    <s v="NEO1"/>
    <n v="0"/>
    <n v="0"/>
    <s v="CAMPAÑA"/>
    <n v="150"/>
    <s v="8814 - Nievas, Jimena "/>
    <n v="27"/>
    <s v="ANSWER"/>
    <s v="AGENT"/>
    <d v="2026-05-20T19:48:56"/>
    <d v="2026-05-20T19:48:56"/>
    <d v="2026-05-20T19:51:39"/>
    <s v="01152741410"/>
    <s v="3876667497"/>
    <s v="ENTRANTE"/>
    <s v="FULL"/>
    <s v="3876667497-149308286-20260520194855.mp3"/>
    <s v=""/>
    <s v="NAC-CEL"/>
    <s v="NACIONAL"/>
    <s v="PAIS-CELULAR"/>
    <n v="0"/>
    <n v="0"/>
    <n v="0"/>
    <n v="0"/>
    <s v="BL"/>
    <n v="3"/>
    <n v="164"/>
    <s v="NotSet"/>
    <n v="37"/>
    <n v="202"/>
    <n v="2499241"/>
    <s v=""/>
    <s v="|0||SIP/SERVICIOS_SIP-0000d19f|1779317407.53687|16:Normal Clearing|16:PBX|5|SIP/GQ106-0000d1b6|-1|NotSet|"/>
    <s v=""/>
  </r>
  <r>
    <x v="12"/>
    <n v="3413244260"/>
    <x v="0"/>
    <x v="0"/>
    <x v="0"/>
    <x v="0"/>
    <x v="1"/>
    <x v="1"/>
    <s v="No"/>
    <n v="20260520"/>
    <n v="149307622"/>
    <s v="SERVICIOS_SIP"/>
    <s v="NEO1"/>
    <n v="0"/>
    <n v="0"/>
    <s v="CAMPAÑA"/>
    <n v="150"/>
    <s v="8864 - González, Maitena"/>
    <n v="27"/>
    <s v="ANSWER"/>
    <s v="AGENT"/>
    <d v="2026-05-20T19:17:54"/>
    <d v="2026-05-20T19:17:55"/>
    <d v="2026-05-20T19:38:23"/>
    <s v="01152741410"/>
    <s v="3413244260"/>
    <s v="ENTRANTE"/>
    <s v="FULL"/>
    <s v="3413244260-149307622-20260520191754.mp3"/>
    <s v=""/>
    <s v="NAC-CEL"/>
    <s v="NACIONAL"/>
    <s v="PAIS-CELULAR"/>
    <n v="0"/>
    <n v="0"/>
    <n v="0"/>
    <n v="0"/>
    <s v="BL"/>
    <n v="3"/>
    <n v="1229"/>
    <s v="NotSet"/>
    <n v="37"/>
    <n v="193"/>
    <n v="2355119"/>
    <s v=""/>
    <s v="|0||SIP/SERVICIOS_SIP-0000cbe9|1779315546.52225|16:Normal Clearing|17:Network|12||-1|NotSet|"/>
    <s v=""/>
  </r>
  <r>
    <x v="12"/>
    <n v="1144467532"/>
    <x v="0"/>
    <x v="0"/>
    <x v="0"/>
    <x v="0"/>
    <x v="2"/>
    <x v="2"/>
    <s v="No"/>
    <n v="20260520"/>
    <n v="149306925"/>
    <s v="SERVICIOS_SIP"/>
    <s v="NEO1"/>
    <n v="0"/>
    <n v="0"/>
    <s v="CAMPAÑA"/>
    <n v="150"/>
    <s v="8938 - Spertino, Exequiel"/>
    <n v="0"/>
    <s v="ANSWER"/>
    <s v="AGENT"/>
    <d v="2026-05-20T18:40:03"/>
    <d v="2026-05-20T18:40:03"/>
    <d v="2026-05-20T18:48:01"/>
    <s v="01152741410"/>
    <s v="1144467532"/>
    <s v="ENTRANTE"/>
    <s v="FULL"/>
    <s v="1144467532-149306925-20260520184002.mp3"/>
    <s v=""/>
    <s v="NAC-CEL"/>
    <s v="NACIONAL"/>
    <s v="PAIS-CELULAR"/>
    <n v="0"/>
    <n v="0"/>
    <n v="0"/>
    <n v="0"/>
    <s v="BL"/>
    <n v="3"/>
    <n v="479"/>
    <s v="NotSet"/>
    <n v="37"/>
    <n v="201"/>
    <n v="2499166"/>
    <s v=""/>
    <s v="|0||SIP/SERVICIOS_SIP-0000c67f|1779313274.50838|16:Normal Clearing|17:Network|8||-1|NotSet|"/>
    <s v=""/>
  </r>
  <r>
    <x v="12"/>
    <n v="2324671435"/>
    <x v="0"/>
    <x v="0"/>
    <x v="0"/>
    <x v="0"/>
    <x v="1"/>
    <x v="3"/>
    <s v="No"/>
    <n v="20260520"/>
    <n v="149305566"/>
    <s v="SERVICIOS_SIP"/>
    <s v="NEO1"/>
    <n v="0"/>
    <n v="0"/>
    <s v="CAMPAÑA"/>
    <n v="150"/>
    <s v="8864 - González, Maitena"/>
    <n v="27"/>
    <s v="ANSWER"/>
    <s v="AGENT"/>
    <d v="2026-05-20T17:34:55"/>
    <d v="2026-05-20T17:34:55"/>
    <d v="2026-05-20T17:40:45"/>
    <s v="01152741410"/>
    <s v="2324671435"/>
    <s v="ENTRANTE"/>
    <s v="FULL"/>
    <s v="2324671435-149305566-20260520173455.mp3"/>
    <s v=""/>
    <s v="NAC-FIJO"/>
    <s v="BUENOS AIRES"/>
    <s v="MERCEDES (PROV. BUENOS AIRES)"/>
    <n v="0"/>
    <n v="0"/>
    <n v="0"/>
    <n v="0"/>
    <s v="BL"/>
    <n v="3"/>
    <n v="350"/>
    <s v="NotSet"/>
    <n v="37"/>
    <n v="155"/>
    <n v="1572655"/>
    <s v=""/>
    <s v="|0||SIP/SERVICIOS_SIP-0000bb54|1779309366.47979|16:Normal Clearing|17:Network|13||-1|NotSet|"/>
    <s v=""/>
  </r>
  <r>
    <x v="12"/>
    <n v="1176095499"/>
    <x v="0"/>
    <x v="0"/>
    <x v="0"/>
    <x v="0"/>
    <x v="1"/>
    <x v="4"/>
    <s v="No"/>
    <n v="20260520"/>
    <n v="149304815"/>
    <s v="SERVICIOS_SIP"/>
    <s v="NEO1"/>
    <n v="0"/>
    <n v="0"/>
    <s v="CAMPAÑA"/>
    <n v="150"/>
    <s v="8864 - González, Maitena"/>
    <n v="27"/>
    <s v="ANSWER"/>
    <s v="AGENT"/>
    <d v="2026-05-20T16:54:46"/>
    <d v="2026-05-20T16:54:46"/>
    <d v="2026-05-20T16:58:14"/>
    <s v="01152741410"/>
    <s v="1176095499"/>
    <s v="ENTRANTE"/>
    <s v="FULL"/>
    <s v="1176095499-149304815-20260520165445.mp3"/>
    <s v=""/>
    <s v="LOC-FIJO"/>
    <s v="LOCAL-FIJO"/>
    <s v="LOCAL-FIJO"/>
    <n v="0"/>
    <n v="0"/>
    <n v="0"/>
    <n v="0"/>
    <s v="BL"/>
    <n v="3"/>
    <n v="209"/>
    <s v="NotSet"/>
    <n v="37"/>
    <n v="175"/>
    <n v="2287486"/>
    <s v=""/>
    <s v="|0||SIP/SERVICIOS_SIP-0000b4ae|1779306957.46276|16:Normal Clearing|16:PBX|4|SIP/GQ110-0000b4c6|-1|NotSet|"/>
    <s v=""/>
  </r>
  <r>
    <x v="12"/>
    <n v="1147646338"/>
    <x v="0"/>
    <x v="0"/>
    <x v="0"/>
    <x v="0"/>
    <x v="1"/>
    <x v="5"/>
    <s v="No"/>
    <n v="20260520"/>
    <n v="149302562"/>
    <s v="SERVICIOS_SIP"/>
    <s v="NEO1"/>
    <n v="0"/>
    <n v="0"/>
    <s v="CAMPAÑA"/>
    <n v="150"/>
    <s v="8814 - Nievas, Jimena "/>
    <n v="27"/>
    <s v="ANSWER"/>
    <s v="AGENT"/>
    <d v="2026-05-20T15:36:08"/>
    <d v="2026-05-20T15:36:08"/>
    <d v="2026-05-20T15:52:24"/>
    <s v="01152741410"/>
    <s v="1147646338"/>
    <s v="ENTRANTE"/>
    <s v="FULL"/>
    <s v="1147646338-149302562-20260520153608.mp3"/>
    <s v=""/>
    <s v="LOC-FIJO"/>
    <s v="LOCAL-FIJO"/>
    <s v="LOCAL-FIJO"/>
    <n v="0"/>
    <n v="0"/>
    <n v="0"/>
    <n v="0"/>
    <s v="BL"/>
    <n v="3"/>
    <n v="976"/>
    <s v="NotSet"/>
    <n v="37"/>
    <n v="1"/>
    <n v="2502053"/>
    <s v=""/>
    <s v="|0||SIP/SERVICIOS_SIP-0000a03b|1779302240.41035|16:Normal Clearing|17:Network|2||-1|NotSet|"/>
    <s v=""/>
  </r>
  <r>
    <x v="12"/>
    <n v="1123717144"/>
    <x v="0"/>
    <x v="0"/>
    <x v="0"/>
    <x v="0"/>
    <x v="0"/>
    <x v="7"/>
    <s v="No"/>
    <n v="20260520"/>
    <n v="149300351"/>
    <s v="SERVICIOS_SIP"/>
    <s v="NEO1"/>
    <n v="0"/>
    <n v="0"/>
    <s v="CAMPAÑA"/>
    <n v="150"/>
    <s v="8160 - QUEVEDO, JOAHANA"/>
    <n v="26"/>
    <s v="ANSWER"/>
    <s v="AGENT"/>
    <d v="2026-05-20T13:54:20"/>
    <d v="2026-05-20T13:54:20"/>
    <d v="2026-05-20T13:55:10"/>
    <s v="01152741410"/>
    <s v="1123717144"/>
    <s v="ENTRANTE"/>
    <s v="FULL"/>
    <s v="1123717144-149300351-20260520135419.mp3"/>
    <s v=""/>
    <s v="LOC-FIJO"/>
    <s v="LOCAL-FIJO"/>
    <s v="LOCAL-FIJO"/>
    <n v="0"/>
    <n v="0"/>
    <n v="0"/>
    <n v="0"/>
    <s v="BL"/>
    <n v="3"/>
    <n v="51"/>
    <s v="NotSet"/>
    <n v="37"/>
    <n v="0"/>
    <n v="0"/>
    <s v=""/>
    <s v="|0||SIP/SERVICIOS_SIP-00008eb3|1779296131.36534|16:Normal Clearing|17:Network|18||-1|NotSet|"/>
    <s v=""/>
  </r>
  <r>
    <x v="12"/>
    <n v="3884881290"/>
    <x v="0"/>
    <x v="0"/>
    <x v="0"/>
    <x v="0"/>
    <x v="0"/>
    <x v="7"/>
    <s v="No"/>
    <n v="20260520"/>
    <n v="149300204"/>
    <s v="SERVICIOS_SIP"/>
    <s v="NEO1"/>
    <n v="0"/>
    <n v="0"/>
    <s v="CAMPAÑA"/>
    <n v="150"/>
    <s v="8823 - Olmedo  , Selene"/>
    <n v="26"/>
    <s v="ANSWER"/>
    <s v="AGENT"/>
    <d v="2026-05-20T13:45:47"/>
    <d v="2026-05-20T13:45:47"/>
    <d v="2026-05-20T14:06:55"/>
    <s v="01152741410"/>
    <s v="3884881290"/>
    <s v="ENTRANTE"/>
    <s v="FULL"/>
    <s v="3884881290-149300204-20260520134547.mp3"/>
    <s v=""/>
    <s v="NAC-CEL"/>
    <s v="NACIONAL"/>
    <s v="PAIS-CELULAR"/>
    <n v="0"/>
    <n v="0"/>
    <n v="0"/>
    <n v="0"/>
    <s v="BL"/>
    <n v="3"/>
    <n v="1269"/>
    <s v="NotSet"/>
    <n v="37"/>
    <n v="199"/>
    <n v="2476580"/>
    <s v=""/>
    <s v="|0||SIP/SERVICIOS_SIP-00008d93|1779295619.36246|16:Normal Clearing|17:Network|8||-1|NotSet|"/>
    <s v=""/>
  </r>
  <r>
    <x v="12"/>
    <n v="1154949499"/>
    <x v="0"/>
    <x v="0"/>
    <x v="0"/>
    <x v="0"/>
    <x v="0"/>
    <x v="7"/>
    <s v="No"/>
    <n v="20260520"/>
    <n v="149300099"/>
    <s v="SERVICIOS_SIP"/>
    <s v="NEO1"/>
    <n v="0"/>
    <n v="0"/>
    <s v="CAMPAÑA"/>
    <n v="150"/>
    <s v="8160 - QUEVEDO, JOAHANA"/>
    <n v="26"/>
    <s v="ANSWER"/>
    <s v="AGENT"/>
    <d v="2026-05-20T13:40:16"/>
    <d v="2026-05-20T13:40:16"/>
    <d v="2026-05-20T13:50:02"/>
    <s v="01152741410"/>
    <s v="1154949499"/>
    <s v="ENTRANTE"/>
    <s v="FULL"/>
    <s v="1154949499-149300099-20260520134016.mp3"/>
    <s v=""/>
    <s v="NAC-CEL"/>
    <s v="NACIONAL"/>
    <s v="PAIS-CELULAR"/>
    <n v="0"/>
    <n v="0"/>
    <n v="0"/>
    <n v="0"/>
    <s v="BL"/>
    <n v="3"/>
    <n v="586"/>
    <s v="NotSet"/>
    <n v="37"/>
    <n v="201"/>
    <n v="2501191"/>
    <s v=""/>
    <s v="|0||SIP/SERVICIOS_SIP-00008cbe|1779295288.36033|16:Normal Clearing|17:Network|4||-1|NotSet|"/>
    <s v=""/>
  </r>
  <r>
    <x v="12"/>
    <n v="3874799847"/>
    <x v="0"/>
    <x v="0"/>
    <x v="0"/>
    <x v="0"/>
    <x v="0"/>
    <x v="7"/>
    <s v="No"/>
    <n v="20260520"/>
    <n v="149299952"/>
    <s v="SERVICIOS_SIP"/>
    <s v="NEO1"/>
    <n v="0"/>
    <n v="0"/>
    <s v="CAMPAÑA"/>
    <n v="150"/>
    <s v="8861 - Caceres, Martina"/>
    <n v="26"/>
    <s v="ANSWER"/>
    <s v="AGENT"/>
    <d v="2026-05-20T13:34:07"/>
    <d v="2026-05-20T13:34:07"/>
    <d v="2026-05-20T13:42:33"/>
    <s v="01152741410"/>
    <s v="3874799847"/>
    <s v="ENTRANTE"/>
    <s v="FULL"/>
    <s v="3874799847-149299952-20260520133407.mp3"/>
    <s v=""/>
    <s v="NAC-CEL"/>
    <s v="NACIONAL"/>
    <s v="PAIS-CELULAR"/>
    <n v="0"/>
    <n v="0"/>
    <n v="0"/>
    <n v="0"/>
    <s v="BL"/>
    <n v="3"/>
    <n v="507"/>
    <s v="NotSet"/>
    <n v="37"/>
    <n v="198"/>
    <n v="2483957"/>
    <s v=""/>
    <s v="|0||SIP/SERVICIOS_SIP-00008ba0|1779294919.35747|20:Unknown|17:Network|20||-1|NotSet|"/>
    <s v=""/>
  </r>
  <r>
    <x v="12"/>
    <n v="2364249984"/>
    <x v="0"/>
    <x v="0"/>
    <x v="0"/>
    <x v="0"/>
    <x v="0"/>
    <x v="7"/>
    <s v="No"/>
    <n v="20260520"/>
    <n v="149299881"/>
    <s v="SERVICIOS_SIP"/>
    <s v="NEO1"/>
    <n v="0"/>
    <n v="0"/>
    <s v="CAMPAÑA"/>
    <n v="150"/>
    <s v="8160 - QUEVEDO, JOAHANA"/>
    <n v="26"/>
    <s v="ANSWER"/>
    <s v="AGENT"/>
    <d v="2026-05-20T13:32:05"/>
    <d v="2026-05-20T13:32:05"/>
    <d v="2026-05-20T13:34:43"/>
    <s v="01152741410"/>
    <s v="2364249984"/>
    <s v="ENTRANTE"/>
    <s v="FULL"/>
    <s v="2364249984-149299881-20260520133205.mp3"/>
    <s v=""/>
    <s v="NAC-FIJO"/>
    <s v="BUENOS AIRES"/>
    <s v="JUNIN (PROV. DE BUENOS AIRES)"/>
    <n v="0"/>
    <n v="0"/>
    <n v="0"/>
    <n v="0"/>
    <s v="BL"/>
    <n v="3"/>
    <n v="158"/>
    <s v="NotSet"/>
    <n v="37"/>
    <n v="192"/>
    <n v="2314367"/>
    <s v=""/>
    <s v="|0||SIP/SERVICIOS_SIP-00008b1d|1779294797.35616|16:Normal Clearing|17:Network|16||-1|NotSet|"/>
    <s v=""/>
  </r>
  <r>
    <x v="12"/>
    <n v="1133418057"/>
    <x v="0"/>
    <x v="0"/>
    <x v="0"/>
    <x v="0"/>
    <x v="0"/>
    <x v="9"/>
    <s v="No"/>
    <n v="20260520"/>
    <n v="149296836"/>
    <s v="SERVICIOS_SIP"/>
    <s v="NEO1"/>
    <n v="0"/>
    <n v="0"/>
    <s v="CAMPAÑA"/>
    <n v="150"/>
    <s v="8160 - QUEVEDO, JOAHANA"/>
    <n v="26"/>
    <s v="ANSWER"/>
    <s v="AGENT"/>
    <d v="2026-05-20T11:42:21"/>
    <d v="2026-05-20T11:42:21"/>
    <d v="2026-05-20T11:51:57"/>
    <s v="01152741410"/>
    <s v="1133418057"/>
    <s v="ENTRANTE"/>
    <s v="FULL"/>
    <s v="1133418057-149296836-20260520114221.mp3"/>
    <s v=""/>
    <s v="NAC-CEL"/>
    <s v="NACIONAL"/>
    <s v="PAIS-CELULAR"/>
    <n v="0"/>
    <n v="0"/>
    <n v="0"/>
    <n v="0"/>
    <s v="BL"/>
    <n v="3"/>
    <n v="577"/>
    <s v="NotSet"/>
    <n v="37"/>
    <n v="1"/>
    <n v="2501833"/>
    <s v=""/>
    <s v="|0||SIP/SERVICIOS_SIP-00007430|1779288213.29747|16:Normal Clearing|17:Network|4||-1|NotSet|"/>
    <s v=""/>
  </r>
  <r>
    <x v="12"/>
    <n v="1165344381"/>
    <x v="0"/>
    <x v="0"/>
    <x v="0"/>
    <x v="0"/>
    <x v="0"/>
    <x v="9"/>
    <s v="No"/>
    <n v="20260520"/>
    <n v="149296366"/>
    <s v="SERVICIOS_SIP"/>
    <s v="NEO1"/>
    <n v="0"/>
    <n v="0"/>
    <s v="CAMPAÑA"/>
    <n v="150"/>
    <s v="8160 - QUEVEDO, JOAHANA"/>
    <n v="26"/>
    <s v="ANSWER"/>
    <s v="AGENT"/>
    <d v="2026-05-20T11:27:48"/>
    <d v="2026-05-20T11:27:48"/>
    <d v="2026-05-20T11:39:13"/>
    <s v="01152741410"/>
    <s v="1165344381"/>
    <s v="ENTRANTE"/>
    <s v="FULL"/>
    <s v="1165344381-149296366-20260520112748.mp3"/>
    <s v=""/>
    <s v="NAC-CEL"/>
    <s v="NACIONAL"/>
    <s v="PAIS-CELULAR"/>
    <n v="0"/>
    <n v="0"/>
    <n v="0"/>
    <n v="0"/>
    <s v="BL"/>
    <n v="3"/>
    <n v="686"/>
    <s v="NotSet"/>
    <n v="37"/>
    <n v="201"/>
    <n v="2489905"/>
    <s v=""/>
    <s v="|0||SIP/SERVICIOS_SIP-000070ae|1779287340.28849|16:Normal Clearing|16:PBX|2|SIP/GQ198-000070c5|-1|NotSet|"/>
    <s v=""/>
  </r>
  <r>
    <x v="12"/>
    <n v="2945469272"/>
    <x v="0"/>
    <x v="0"/>
    <x v="0"/>
    <x v="0"/>
    <x v="0"/>
    <x v="10"/>
    <s v="No"/>
    <n v="20260520"/>
    <n v="149295159"/>
    <s v="SERVICIOS_SIP"/>
    <s v="NEO1"/>
    <n v="0"/>
    <n v="0"/>
    <s v="CAMPAÑA"/>
    <n v="150"/>
    <s v="8861 - Caceres, Martina"/>
    <n v="26"/>
    <s v="ANSWER"/>
    <s v="AGENT"/>
    <d v="2026-05-20T10:46:11"/>
    <d v="2026-05-20T10:46:11"/>
    <d v="2026-05-20T10:46:55"/>
    <s v="01152741410"/>
    <s v="2945469272"/>
    <s v="ENTRANTE"/>
    <s v="FULL"/>
    <s v="2945469272-149295159-20260520104610.mp3"/>
    <s v=""/>
    <s v="NAC-CEL"/>
    <s v="NACIONAL"/>
    <s v="PAIS-CELULAR"/>
    <n v="0"/>
    <n v="0"/>
    <n v="0"/>
    <n v="0"/>
    <s v="BL"/>
    <n v="3"/>
    <n v="45"/>
    <s v="NotSet"/>
    <n v="37"/>
    <n v="1"/>
    <n v="2324418"/>
    <s v="Jan 15 2026  4:09PM"/>
    <s v="|0||SIP/SERVICIOS_SIP-00006760|1779284842.26466|16:Normal Clearing|16:PBX|26|SIP/Z8861-00006770|-1|NotSet|"/>
    <s v=""/>
  </r>
  <r>
    <x v="12"/>
    <n v="1164380626"/>
    <x v="0"/>
    <x v="0"/>
    <x v="0"/>
    <x v="0"/>
    <x v="0"/>
    <x v="0"/>
    <s v="No"/>
    <n v="20260520"/>
    <n v="149292657"/>
    <s v="SERVICIOS_SIP"/>
    <s v="NEO1"/>
    <n v="0"/>
    <n v="0"/>
    <s v="CAMPAÑA"/>
    <n v="150"/>
    <s v="8861 - Caceres, Martina"/>
    <n v="26"/>
    <s v="ANSWER"/>
    <s v="AGENT"/>
    <d v="2026-05-20T09:16:19"/>
    <d v="2026-05-20T09:16:19"/>
    <d v="2026-05-20T09:22:03"/>
    <s v="01152741410"/>
    <s v="1164380626"/>
    <s v="ENTRANTE"/>
    <s v="FULL"/>
    <s v="1164380626-149292657-20260520091618.mp3"/>
    <s v=""/>
    <s v="NAC-CEL"/>
    <s v="NACIONAL"/>
    <s v="PAIS-CELULAR"/>
    <n v="0"/>
    <n v="0"/>
    <n v="0"/>
    <n v="0"/>
    <s v="BL"/>
    <n v="3"/>
    <n v="345"/>
    <s v="NotSet"/>
    <n v="37"/>
    <n v="0"/>
    <n v="0"/>
    <s v=""/>
    <s v="|0||SIP/SERVICIOS_SIP-00005499|1779279451.21657|16:Normal Clearing|17:Network|16||-1|NotSet|"/>
    <s v=""/>
  </r>
  <r>
    <x v="12"/>
    <n v="2995727480"/>
    <x v="0"/>
    <x v="0"/>
    <x v="0"/>
    <x v="0"/>
    <x v="0"/>
    <x v="0"/>
    <s v="No"/>
    <n v="20260520"/>
    <n v="149292358"/>
    <s v="SERVICIOS_SIP"/>
    <s v="NEO1"/>
    <n v="0"/>
    <n v="0"/>
    <s v="CAMPAÑA"/>
    <n v="150"/>
    <s v="8823 - Olmedo  , Selene"/>
    <n v="26"/>
    <s v="ANSWER"/>
    <s v="AGENT"/>
    <d v="2026-05-20T09:00:05"/>
    <d v="2026-05-20T09:00:05"/>
    <d v="2026-05-20T09:11:30"/>
    <s v="01152741410"/>
    <s v="2995727480"/>
    <s v="ENTRANTE"/>
    <s v="FULL"/>
    <s v="2995727480-149292358-20260520090005.mp3"/>
    <s v=""/>
    <s v="NAC-CEL"/>
    <s v="NACIONAL"/>
    <s v="PAIS-CELULAR"/>
    <n v="0"/>
    <n v="0"/>
    <n v="0"/>
    <n v="0"/>
    <s v="BL"/>
    <n v="3"/>
    <n v="686"/>
    <s v="NotSet"/>
    <n v="37"/>
    <n v="201"/>
    <n v="2500430"/>
    <s v=""/>
    <s v="|0||SIP/SERVICIOS_SIP-0000524c|1779278477.21068|16:Normal Clearing|17:Network|4||-1|NotSet|"/>
    <s v=""/>
  </r>
  <r>
    <x v="13"/>
    <n v="3444464286"/>
    <x v="0"/>
    <x v="0"/>
    <x v="0"/>
    <x v="0"/>
    <x v="1"/>
    <x v="11"/>
    <s v="No"/>
    <n v="20260521"/>
    <n v="149327451"/>
    <s v="SERVICIOS_SIP"/>
    <s v="NEO1"/>
    <n v="0"/>
    <n v="0"/>
    <s v="CAMPAÑA"/>
    <n v="150"/>
    <s v="8864 - González, Maitena"/>
    <n v="27"/>
    <s v="ANSWER"/>
    <s v="AGENT"/>
    <d v="2026-05-21T20:37:19"/>
    <d v="2026-05-21T20:37:19"/>
    <d v="2026-05-21T21:03:01"/>
    <s v="01152741410"/>
    <s v="3444464286"/>
    <s v="ENTRANTE"/>
    <s v="FULL"/>
    <s v="3444464286-149327451-20260521203718.mp3"/>
    <s v=""/>
    <s v="NAC-CEL"/>
    <s v="NACIONAL"/>
    <s v="PAIS-CELULAR"/>
    <n v="0"/>
    <n v="0"/>
    <n v="0"/>
    <n v="0"/>
    <s v="BL"/>
    <n v="3"/>
    <n v="1542"/>
    <s v="NotSet"/>
    <n v="37"/>
    <n v="114"/>
    <n v="785998"/>
    <s v=""/>
    <s v="|0||SIP/SERVICIOS_SIP-0003182e|1779406712.202831|16:Normal Clearing|16:PBX|19||-1|NotSet|"/>
    <s v=""/>
  </r>
  <r>
    <x v="13"/>
    <n v="1128897839"/>
    <x v="0"/>
    <x v="0"/>
    <x v="0"/>
    <x v="0"/>
    <x v="1"/>
    <x v="1"/>
    <s v="No"/>
    <n v="20260521"/>
    <n v="149326326"/>
    <s v="SERVICIOS_SIP"/>
    <s v="NEO1"/>
    <n v="0"/>
    <n v="0"/>
    <s v="CAMPAÑA"/>
    <n v="150"/>
    <s v="8864 - González, Maitena"/>
    <n v="27"/>
    <s v="ANSWER"/>
    <s v="AGENT"/>
    <d v="2026-05-21T19:51:51"/>
    <d v="2026-05-21T19:51:51"/>
    <d v="2026-05-21T19:54:41"/>
    <s v="01152741410"/>
    <s v="1128897839"/>
    <s v="ENTRANTE"/>
    <s v="FULL"/>
    <s v="1128897839-149326326-20260521195150.mp3"/>
    <s v=""/>
    <s v="LOC-FIJO"/>
    <s v="LOCAL-FIJO"/>
    <s v="LOCAL-FIJO"/>
    <n v="0"/>
    <n v="0"/>
    <n v="0"/>
    <n v="0"/>
    <s v="BL"/>
    <n v="3"/>
    <n v="171"/>
    <s v="NotSet"/>
    <n v="37"/>
    <n v="201"/>
    <n v="2500845"/>
    <s v=""/>
    <s v="|0||SIP/SERVICIOS_SIP-00030ef8|1779403984.200472|16:Normal Clearing|16:PBX|11|SIP/GQ110-00030f0d|-1|NotSet|"/>
    <s v=""/>
  </r>
  <r>
    <x v="13"/>
    <n v="1164123575"/>
    <x v="0"/>
    <x v="0"/>
    <x v="0"/>
    <x v="0"/>
    <x v="1"/>
    <x v="2"/>
    <s v="No"/>
    <n v="20260521"/>
    <n v="149325012"/>
    <s v="SERVICIOS_SIP"/>
    <s v="NEO1"/>
    <n v="0"/>
    <n v="0"/>
    <s v="CAMPAÑA"/>
    <n v="150"/>
    <s v="8864 - González, Maitena"/>
    <n v="27"/>
    <s v="ANSWER"/>
    <s v="AGENT"/>
    <d v="2026-05-21T18:54:31"/>
    <d v="2026-05-21T18:54:31"/>
    <d v="2026-05-21T19:08:46"/>
    <s v="01152741410"/>
    <s v="1164123575"/>
    <s v="ENTRANTE"/>
    <s v="FULL"/>
    <s v="1164123575-149325012-20260521185431.mp3"/>
    <s v=""/>
    <s v="NAC-CEL"/>
    <s v="NACIONAL"/>
    <s v="PAIS-CELULAR"/>
    <n v="0"/>
    <n v="0"/>
    <n v="0"/>
    <n v="0"/>
    <s v="BL"/>
    <n v="3"/>
    <n v="856"/>
    <s v="NotSet"/>
    <n v="37"/>
    <n v="201"/>
    <n v="2502762"/>
    <s v=""/>
    <s v="|0||SIP/SERVICIOS_SIP-00030441|1779400545.197728|16:Normal Clearing|16:PBX|0|SIP/GQ110-0003044e|-1|NotSet|"/>
    <s v=""/>
  </r>
  <r>
    <x v="13"/>
    <n v="1161486387"/>
    <x v="0"/>
    <x v="0"/>
    <x v="0"/>
    <x v="0"/>
    <x v="1"/>
    <x v="2"/>
    <s v="No"/>
    <n v="20260521"/>
    <n v="149324757"/>
    <s v="SERVICIOS_SIP"/>
    <s v="NEO1"/>
    <n v="0"/>
    <n v="0"/>
    <s v="CAMPAÑA"/>
    <n v="150"/>
    <s v="8814 - Nievas, Jimena "/>
    <n v="27"/>
    <s v="ANSWER"/>
    <s v="AGENT"/>
    <d v="2026-05-21T18:43:41"/>
    <d v="2026-05-21T18:43:41"/>
    <d v="2026-05-21T18:45:49"/>
    <s v="01152741410"/>
    <s v="1161486387"/>
    <s v="ENTRANTE"/>
    <s v="FULL"/>
    <s v="1161486387-149324757-20260521184341.mp3"/>
    <s v=""/>
    <s v="NAC-CEL"/>
    <s v="NACIONAL"/>
    <s v="PAIS-CELULAR"/>
    <n v="0"/>
    <n v="0"/>
    <n v="0"/>
    <n v="0"/>
    <s v="BL"/>
    <n v="3"/>
    <n v="129"/>
    <s v="NotSet"/>
    <n v="37"/>
    <n v="0"/>
    <n v="0"/>
    <s v=""/>
    <s v="|0||SIP/SERVICIOS_SIP-0003023b|1779399895.197210|16:Normal Clearing|17:Network|21||-1|NotSet|"/>
    <s v=""/>
  </r>
  <r>
    <x v="13"/>
    <n v="1166933048"/>
    <x v="0"/>
    <x v="0"/>
    <x v="0"/>
    <x v="0"/>
    <x v="1"/>
    <x v="2"/>
    <s v="No"/>
    <n v="20260521"/>
    <n v="149324691"/>
    <s v="SERVICIOS_SIP"/>
    <s v="NEO1"/>
    <n v="0"/>
    <n v="0"/>
    <s v="CAMPAÑA"/>
    <n v="150"/>
    <s v="8864 - González, Maitena"/>
    <n v="27"/>
    <s v="ANSWER"/>
    <s v="AGENT"/>
    <d v="2026-05-21T18:41:11"/>
    <d v="2026-05-21T18:41:11"/>
    <d v="2026-05-21T18:52:32"/>
    <s v="01152741410"/>
    <s v="1166933048"/>
    <s v="ENTRANTE"/>
    <s v="FULL"/>
    <s v="1166933048-149324691-20260521184111.mp3"/>
    <s v=""/>
    <s v="NAC-CEL"/>
    <s v="NACIONAL"/>
    <s v="PAIS-CELULAR"/>
    <n v="0"/>
    <n v="0"/>
    <n v="0"/>
    <n v="0"/>
    <s v="BL"/>
    <n v="3"/>
    <n v="682"/>
    <s v="NotSet"/>
    <n v="37"/>
    <n v="197"/>
    <n v="2442887"/>
    <s v=""/>
    <s v="|0||SIP/SERVICIOS_SIP-000301b7|1779399745.197078|16:Normal Clearing|16:PBX|5|SIP/GQ110-000301cb|-1|NotSet|"/>
    <s v=""/>
  </r>
  <r>
    <x v="13"/>
    <n v="2974061524"/>
    <x v="0"/>
    <x v="0"/>
    <x v="0"/>
    <x v="0"/>
    <x v="1"/>
    <x v="2"/>
    <s v="No"/>
    <n v="20260521"/>
    <n v="149323661"/>
    <s v="SERVICIOS_SIP"/>
    <s v="NEO1"/>
    <n v="0"/>
    <n v="0"/>
    <s v="CAMPAÑA"/>
    <n v="150"/>
    <s v="8864 - González, Maitena"/>
    <n v="27"/>
    <s v="ANSWER"/>
    <s v="AGENT"/>
    <d v="2026-05-21T18:00:49"/>
    <d v="2026-05-21T18:00:49"/>
    <d v="2026-05-21T18:05:47"/>
    <s v="01152741410"/>
    <s v="2974061524"/>
    <s v="ENTRANTE"/>
    <s v="FULL"/>
    <s v="2974061524-149323661-20260521180048.mp3"/>
    <s v=""/>
    <s v="NAC-FIJO"/>
    <s v="CHUBUT"/>
    <s v="COMODORO RIVADAVIA"/>
    <n v="0"/>
    <n v="0"/>
    <n v="0"/>
    <n v="0"/>
    <s v="BL"/>
    <n v="3"/>
    <n v="298"/>
    <s v="NotSet"/>
    <n v="37"/>
    <n v="1"/>
    <n v="2502966"/>
    <s v=""/>
    <s v="|0||SIP/SERVICIOS_SIP-0002f9f7|1779397323.195094|16:Normal Clearing|16:PBX|10|SIP/GQ110-0002f9ff|-1|NotSet|"/>
    <s v=""/>
  </r>
  <r>
    <x v="13"/>
    <n v="1136853268"/>
    <x v="0"/>
    <x v="0"/>
    <x v="0"/>
    <x v="0"/>
    <x v="1"/>
    <x v="3"/>
    <s v="No"/>
    <n v="20260521"/>
    <n v="149323093"/>
    <s v="SERVICIOS_SIP"/>
    <s v="NEO1"/>
    <n v="0"/>
    <n v="0"/>
    <s v="CAMPAÑA"/>
    <n v="150"/>
    <s v="8938 - Spertino, Exequiel"/>
    <n v="27"/>
    <s v="ANSWER"/>
    <s v="AGENT"/>
    <d v="2026-05-21T17:35:30"/>
    <d v="2026-05-21T17:35:30"/>
    <d v="2026-05-21T17:41:36"/>
    <s v="01152741410"/>
    <s v="1136853268"/>
    <s v="ENTRANTE"/>
    <s v="FULL"/>
    <s v="1136853268-149323093-20260521173530.mp3"/>
    <s v=""/>
    <s v="NAC-CEL"/>
    <s v="NACIONAL"/>
    <s v="PAIS-CELULAR"/>
    <n v="0"/>
    <n v="0"/>
    <n v="0"/>
    <n v="0"/>
    <s v="BL"/>
    <n v="3"/>
    <n v="366"/>
    <s v="NotSet"/>
    <n v="37"/>
    <n v="201"/>
    <n v="2502415"/>
    <s v=""/>
    <s v="|0||SIP/SERVICIOS_SIP-0002f58c|1779395804.193963|16:Normal Clearing|16:PBX|7|SIP/GQ118-0002f5ae|-1|NotSet|"/>
    <s v=""/>
  </r>
  <r>
    <x v="13"/>
    <n v="3413201141"/>
    <x v="0"/>
    <x v="0"/>
    <x v="0"/>
    <x v="0"/>
    <x v="1"/>
    <x v="3"/>
    <s v="No"/>
    <n v="20260521"/>
    <n v="149323053"/>
    <s v="SERVICIOS_SIP"/>
    <s v="NEO1"/>
    <n v="0"/>
    <n v="0"/>
    <s v="CAMPAÑA"/>
    <n v="150"/>
    <s v="8872 - Pasetti, Gisela Lorena"/>
    <n v="27"/>
    <s v="ANSWER"/>
    <s v="AGENT"/>
    <d v="2026-05-21T17:33:18"/>
    <d v="2026-05-21T17:33:18"/>
    <d v="2026-05-21T18:00:02"/>
    <s v="01152741410"/>
    <s v="3413201141"/>
    <s v="ENTRANTE"/>
    <s v="FULL"/>
    <s v="3413201141-149323053-20260521173318.mp3"/>
    <s v=""/>
    <s v="NAC-CEL"/>
    <s v="NACIONAL"/>
    <s v="PAIS-CELULAR"/>
    <n v="0"/>
    <n v="0"/>
    <n v="0"/>
    <n v="0"/>
    <s v="BL"/>
    <n v="3"/>
    <n v="1605"/>
    <s v="NotSet"/>
    <n v="37"/>
    <n v="1"/>
    <n v="2502951"/>
    <s v="May 21 2026  5:47PM"/>
    <s v="|0||SIP/SERVICIOS_SIP-0002f531|1779395672.193872|16:Normal Clearing|16:PBX|2||-1|NotSet|"/>
    <s v=""/>
  </r>
  <r>
    <x v="13"/>
    <n v="1166489644"/>
    <x v="0"/>
    <x v="0"/>
    <x v="0"/>
    <x v="0"/>
    <x v="1"/>
    <x v="3"/>
    <s v="No"/>
    <n v="20260521"/>
    <n v="149322951"/>
    <s v="SERVICIOS_SIP"/>
    <s v="NEO1"/>
    <n v="0"/>
    <n v="0"/>
    <s v="CAMPAÑA"/>
    <n v="150"/>
    <s v="8864 - González, Maitena"/>
    <n v="27"/>
    <s v="ANSWER"/>
    <s v="AGENT"/>
    <d v="2026-05-21T17:28:48"/>
    <d v="2026-05-21T17:28:48"/>
    <d v="2026-05-21T17:38:55"/>
    <s v="01152741410"/>
    <s v="1166489644"/>
    <s v="ENTRANTE"/>
    <s v="FULL"/>
    <s v="1166489644-149322951-20260521172847.mp3"/>
    <s v=""/>
    <s v="NAC-CEL"/>
    <s v="NACIONAL"/>
    <s v="PAIS-CELULAR"/>
    <n v="0"/>
    <n v="0"/>
    <n v="0"/>
    <n v="0"/>
    <s v="BL"/>
    <n v="3"/>
    <n v="607"/>
    <s v="NotSet"/>
    <n v="37"/>
    <n v="201"/>
    <n v="2502062"/>
    <s v=""/>
    <s v="|0||SIP/SERVICIOS_SIP-0002f44f|1779395401.193645|16:Normal Clearing|16:PBX|4||-1|NotSet|"/>
    <s v=""/>
  </r>
  <r>
    <x v="13"/>
    <n v="1163752717"/>
    <x v="0"/>
    <x v="0"/>
    <x v="0"/>
    <x v="0"/>
    <x v="1"/>
    <x v="4"/>
    <s v="No"/>
    <n v="20260521"/>
    <n v="149322184"/>
    <s v="SERVICIOS_SIP"/>
    <s v="NEO1"/>
    <n v="0"/>
    <n v="0"/>
    <s v="CAMPAÑA"/>
    <n v="150"/>
    <s v="8814 - Nievas, Jimena "/>
    <n v="27"/>
    <s v="ANSWER"/>
    <s v="AGENT"/>
    <d v="2026-05-21T16:52:52"/>
    <d v="2026-05-21T16:52:53"/>
    <d v="2026-05-21T17:03:33"/>
    <s v="01152741410"/>
    <s v="1163752717"/>
    <s v="ENTRANTE"/>
    <s v="FULL"/>
    <s v="1163752717-149322184-20260521165252.mp3"/>
    <s v=""/>
    <s v="NAC-CEL"/>
    <s v="NACIONAL"/>
    <s v="PAIS-CELULAR"/>
    <n v="0"/>
    <n v="0"/>
    <n v="0"/>
    <n v="0"/>
    <s v="BL"/>
    <n v="3"/>
    <n v="641"/>
    <s v="NotSet"/>
    <n v="37"/>
    <n v="0"/>
    <n v="0"/>
    <s v=""/>
    <s v="|0||SIP/SERVICIOS_SIP-0002ed80|1779393246.191901|16:Normal Clearing|17:Network|19||-1|NotSet|"/>
    <s v=""/>
  </r>
  <r>
    <x v="13"/>
    <n v="3445439154"/>
    <x v="0"/>
    <x v="0"/>
    <x v="0"/>
    <x v="0"/>
    <x v="0"/>
    <x v="6"/>
    <s v="No"/>
    <n v="20260521"/>
    <n v="149319751"/>
    <s v="SERVICIOS_SIP"/>
    <s v="NEO1"/>
    <n v="0"/>
    <n v="0"/>
    <s v="CAMPAÑA"/>
    <n v="150"/>
    <s v="8823 - Olmedo  , Selene"/>
    <n v="26"/>
    <s v="ANSWER"/>
    <s v="AGENT"/>
    <d v="2026-05-21T14:57:05"/>
    <d v="2026-05-21T14:57:05"/>
    <d v="2026-05-21T15:02:12"/>
    <s v="01152741410"/>
    <s v="3445439154"/>
    <s v="ENTRANTE"/>
    <s v="FULL"/>
    <s v="3445439154-149319751-20260521145704.mp3"/>
    <s v=""/>
    <s v="NAC-CEL"/>
    <s v="NACIONAL"/>
    <s v="PAIS-CELULAR"/>
    <n v="0"/>
    <n v="0"/>
    <n v="0"/>
    <n v="0"/>
    <s v="BL"/>
    <n v="3"/>
    <n v="308"/>
    <s v="NotSet"/>
    <n v="37"/>
    <n v="201"/>
    <n v="2502627"/>
    <s v=""/>
    <s v="|0||SIP/SERVICIOS_SIP-0002d824|1779386298.186430|16:Normal Clearing|17:Network|2||-1|NotSet|"/>
    <s v=""/>
  </r>
  <r>
    <x v="13"/>
    <n v="1168059981"/>
    <x v="0"/>
    <x v="0"/>
    <x v="0"/>
    <x v="0"/>
    <x v="0"/>
    <x v="6"/>
    <s v="No"/>
    <n v="20260521"/>
    <n v="149319689"/>
    <s v="SERVICIOS_SIP"/>
    <s v="NEO1"/>
    <n v="0"/>
    <n v="0"/>
    <s v="CAMPAÑA"/>
    <n v="150"/>
    <s v="8861 - Caceres, Martina"/>
    <n v="26"/>
    <s v="ANSWER"/>
    <s v="AGENT"/>
    <d v="2026-05-21T14:55:12"/>
    <d v="2026-05-21T14:55:12"/>
    <d v="2026-05-21T15:03:51"/>
    <s v="01152741410"/>
    <s v="1168059981"/>
    <s v="ENTRANTE"/>
    <s v="FULL"/>
    <s v="1168059981-149319689-20260521145511.mp3"/>
    <s v=""/>
    <s v="NAC-CEL"/>
    <s v="NACIONAL"/>
    <s v="PAIS-CELULAR"/>
    <n v="0"/>
    <n v="0"/>
    <n v="0"/>
    <n v="0"/>
    <s v="BL"/>
    <n v="3"/>
    <n v="520"/>
    <s v="NotSet"/>
    <n v="37"/>
    <n v="1"/>
    <n v="2502834"/>
    <s v=""/>
    <s v="|0||SIP/SERVICIOS_SIP-0002d7b0|1779386186.186314|16:Normal Clearing|17:Network|19||-1|NotSet|"/>
    <s v=""/>
  </r>
  <r>
    <x v="13"/>
    <n v="2644529684"/>
    <x v="0"/>
    <x v="0"/>
    <x v="0"/>
    <x v="0"/>
    <x v="0"/>
    <x v="6"/>
    <s v="No"/>
    <n v="20260521"/>
    <n v="149317612"/>
    <s v="SERVICIOS_SIP"/>
    <s v="NEO1"/>
    <n v="0"/>
    <n v="0"/>
    <s v="CAMPAÑA"/>
    <n v="150"/>
    <s v="8861 - Caceres, Martina"/>
    <n v="26"/>
    <s v="ANSWER"/>
    <s v="AGENT"/>
    <d v="2026-05-21T14:00:56"/>
    <d v="2026-05-21T14:00:56"/>
    <d v="2026-05-21T14:02:33"/>
    <s v="01152741410"/>
    <s v="2644529684"/>
    <s v="ENTRANTE"/>
    <s v="FULL"/>
    <s v="2644529684-149317612-20260521140055.mp3"/>
    <s v=""/>
    <s v="NAC-CEL"/>
    <s v="NACIONAL"/>
    <s v="PAIS-CELULAR"/>
    <n v="0"/>
    <n v="0"/>
    <n v="0"/>
    <n v="0"/>
    <s v="BL"/>
    <n v="3"/>
    <n v="98"/>
    <s v="NotSet"/>
    <n v="37"/>
    <n v="202"/>
    <n v="2501282"/>
    <s v=""/>
    <s v="|0||SIP/SERVICIOS_SIP-0002c93d|1779382930.182615|16:Normal Clearing|17:Network|20||-1|NotSet|"/>
    <s v=""/>
  </r>
  <r>
    <x v="13"/>
    <n v="1161057385"/>
    <x v="0"/>
    <x v="0"/>
    <x v="0"/>
    <x v="0"/>
    <x v="0"/>
    <x v="7"/>
    <s v="No"/>
    <n v="20260521"/>
    <n v="149316895"/>
    <s v="SERVICIOS_SIP"/>
    <s v="NEO1"/>
    <n v="0"/>
    <n v="0"/>
    <s v="CAMPAÑA"/>
    <n v="150"/>
    <s v="8927 - Lizarrondo, Candela"/>
    <n v="26"/>
    <s v="ANSWER"/>
    <s v="AGENT"/>
    <d v="2026-05-21T13:22:42"/>
    <d v="2026-05-21T13:22:42"/>
    <d v="2026-05-21T13:28:01"/>
    <s v="01152741410"/>
    <s v="1161057385"/>
    <s v="ENTRANTE"/>
    <s v="FULL"/>
    <s v="1161057385-149316895-20260521132242.mp3"/>
    <s v=""/>
    <s v="NAC-CEL"/>
    <s v="NACIONAL"/>
    <s v="PAIS-CELULAR"/>
    <n v="0"/>
    <n v="0"/>
    <n v="0"/>
    <n v="0"/>
    <s v="BL"/>
    <n v="3"/>
    <n v="319"/>
    <s v="NotSet"/>
    <n v="37"/>
    <n v="201"/>
    <n v="2502759"/>
    <s v=""/>
    <s v="|0||SIP/SERVICIOS_SIP-0002c2aa|1779380636.180918|16:Normal Clearing|17:Network|1||-1|NotSet|"/>
    <s v=""/>
  </r>
  <r>
    <x v="13"/>
    <n v="1147877400"/>
    <x v="0"/>
    <x v="0"/>
    <x v="0"/>
    <x v="0"/>
    <x v="0"/>
    <x v="9"/>
    <s v="No"/>
    <n v="20260521"/>
    <n v="149314573"/>
    <s v="SERVICIOS_SIP"/>
    <s v="NEO1"/>
    <n v="0"/>
    <n v="0"/>
    <s v="CAMPAÑA"/>
    <n v="150"/>
    <s v="8861 - Caceres, Martina"/>
    <n v="26"/>
    <s v="ANSWER"/>
    <s v="AGENT"/>
    <d v="2026-05-21T11:58:21"/>
    <d v="2026-05-21T11:58:21"/>
    <d v="2026-05-21T12:06:59"/>
    <s v="01152741410"/>
    <s v="1147877400"/>
    <s v="ENTRANTE"/>
    <s v="FULL"/>
    <s v="1147877400-149314573-20260521115821.mp3"/>
    <s v=""/>
    <s v="LOC-FIJO"/>
    <s v="LOCAL-FIJO"/>
    <s v="LOCAL-FIJO"/>
    <n v="0"/>
    <n v="0"/>
    <n v="0"/>
    <n v="0"/>
    <s v="BL"/>
    <n v="3"/>
    <n v="519"/>
    <s v="NotSet"/>
    <n v="37"/>
    <n v="1"/>
    <n v="2502689"/>
    <s v=""/>
    <s v="|0||SIP/SERVICIOS_SIP-0000525b|1779375575.21088|16:Normal Clearing|16:PBX|0|SIP/GQ106-0000527b|-1|NotSet|"/>
    <s v=""/>
  </r>
  <r>
    <x v="13"/>
    <n v="1159561329"/>
    <x v="0"/>
    <x v="0"/>
    <x v="0"/>
    <x v="0"/>
    <x v="0"/>
    <x v="9"/>
    <s v="No"/>
    <n v="20260521"/>
    <n v="149314177"/>
    <s v="SERVICIOS_SIP"/>
    <s v="NEO1"/>
    <n v="0"/>
    <n v="0"/>
    <s v="CAMPAÑA"/>
    <n v="150"/>
    <s v="8160 - QUEVEDO, JOAHANA"/>
    <n v="26"/>
    <s v="ANSWER"/>
    <s v="AGENT"/>
    <d v="2026-05-21T11:46:00"/>
    <d v="2026-05-21T11:46:00"/>
    <d v="2026-05-21T12:00:47"/>
    <s v="01152741410"/>
    <s v="1159561329"/>
    <s v="ENTRANTE"/>
    <s v="FULL"/>
    <s v="1159561329-149314177-20260521114559.mp3"/>
    <s v=""/>
    <s v="NAC-CEL"/>
    <s v="NACIONAL"/>
    <s v="PAIS-CELULAR"/>
    <n v="0"/>
    <n v="0"/>
    <n v="0"/>
    <n v="0"/>
    <s v="BL"/>
    <n v="3"/>
    <n v="888"/>
    <s v="NotSet"/>
    <n v="37"/>
    <n v="202"/>
    <n v="2502619"/>
    <s v=""/>
    <s v="|0||SIP/SERVICIOS_SIP-00004ed0|1779374834.20181|16:Normal Clearing|17:Network|9||-1|NotSet|"/>
    <s v=""/>
  </r>
  <r>
    <x v="13"/>
    <n v="1123174785"/>
    <x v="0"/>
    <x v="0"/>
    <x v="0"/>
    <x v="0"/>
    <x v="0"/>
    <x v="9"/>
    <s v="No"/>
    <n v="20260521"/>
    <n v="149313272"/>
    <s v="SERVICIOS_SIP"/>
    <s v="NEO1"/>
    <n v="0"/>
    <n v="0"/>
    <s v="CAMPAÑA"/>
    <n v="150"/>
    <s v="8861 - Caceres, Martina"/>
    <n v="26"/>
    <s v="ANSWER"/>
    <s v="AGENT"/>
    <d v="2026-05-21T11:14:46"/>
    <d v="2026-05-21T11:14:46"/>
    <d v="2026-05-21T11:30:39"/>
    <s v="01152741410"/>
    <s v="1123174785"/>
    <s v="ENTRANTE"/>
    <s v="FULL"/>
    <s v="1123174785-149313272-20260521111446.mp3"/>
    <s v=""/>
    <s v="LOC-FIJO"/>
    <s v="LOCAL-FIJO"/>
    <s v="LOCAL-FIJO"/>
    <n v="0"/>
    <n v="0"/>
    <n v="0"/>
    <n v="0"/>
    <s v="BL"/>
    <n v="3"/>
    <n v="953"/>
    <s v="NotSet"/>
    <n v="37"/>
    <n v="180"/>
    <n v="2090121"/>
    <s v=""/>
    <s v="|0||SIP/SERVICIOS_SIP-00004667|1779372960.18028|16:Normal Clearing|16:PBX|13|SIP/GQ106-00004676|-1|NotSet|"/>
    <s v=""/>
  </r>
  <r>
    <x v="13"/>
    <n v="3516637241"/>
    <x v="0"/>
    <x v="0"/>
    <x v="0"/>
    <x v="0"/>
    <x v="0"/>
    <x v="10"/>
    <s v="No"/>
    <n v="20260521"/>
    <n v="149312760"/>
    <s v="SERVICIOS_SIP"/>
    <s v="NEO1"/>
    <n v="0"/>
    <n v="0"/>
    <s v="CAMPAÑA"/>
    <n v="150"/>
    <s v="8160 - QUEVEDO, JOAHANA"/>
    <n v="26"/>
    <s v="ANSWER"/>
    <s v="AGENT"/>
    <d v="2026-05-21T10:56:25"/>
    <d v="2026-05-21T10:56:25"/>
    <d v="2026-05-21T11:02:07"/>
    <s v="01152741410"/>
    <s v="3516637241"/>
    <s v="ENTRANTE"/>
    <s v="FULL"/>
    <s v="3516637241-149312760-20260521105624.mp3"/>
    <s v=""/>
    <s v="NAC-CEL"/>
    <s v="NACIONAL"/>
    <s v="PAIS-CELULAR"/>
    <n v="0"/>
    <n v="0"/>
    <n v="0"/>
    <n v="0"/>
    <s v="BL"/>
    <n v="3"/>
    <n v="343"/>
    <s v="NotSet"/>
    <n v="37"/>
    <n v="1"/>
    <n v="2502612"/>
    <s v=""/>
    <s v="|0||SIP/SERVICIOS_SIP-000040bf|1779371859.16580|16:Normal Clearing|17:Network|6||-1|NotSet|"/>
    <s v=""/>
  </r>
  <r>
    <x v="13"/>
    <n v="2645014382"/>
    <x v="0"/>
    <x v="0"/>
    <x v="0"/>
    <x v="0"/>
    <x v="0"/>
    <x v="10"/>
    <s v="No"/>
    <n v="20260521"/>
    <n v="149311978"/>
    <s v="SERVICIOS_SIP"/>
    <s v="NEO1"/>
    <n v="0"/>
    <n v="0"/>
    <s v="CAMPAÑA"/>
    <n v="150"/>
    <s v="8160 - QUEVEDO, JOAHANA"/>
    <n v="26"/>
    <s v="ANSWER"/>
    <s v="AGENT"/>
    <d v="2026-05-21T10:29:22"/>
    <d v="2026-05-21T10:29:22"/>
    <d v="2026-05-21T10:33:04"/>
    <s v="01152741410"/>
    <s v="2645014382"/>
    <s v="ENTRANTE"/>
    <s v="FULL"/>
    <s v="2645014382-149311978-20260521102921.mp3"/>
    <s v=""/>
    <s v="NAC-CEL"/>
    <s v="NACIONAL"/>
    <s v="PAIS-CELULAR"/>
    <n v="0"/>
    <n v="0"/>
    <n v="0"/>
    <n v="0"/>
    <s v="BL"/>
    <n v="3"/>
    <n v="223"/>
    <s v="NotSet"/>
    <n v="37"/>
    <n v="201"/>
    <n v="2501695"/>
    <s v=""/>
    <s v="|0||SIP/SERVICIOS_SIP-000038e8|1779370236.14572|16:Normal Clearing|16:PBX|25|SIP/GQ198-00003900|-1|NotSet|"/>
    <s v=""/>
  </r>
  <r>
    <x v="13"/>
    <n v="1169081694"/>
    <x v="0"/>
    <x v="0"/>
    <x v="0"/>
    <x v="0"/>
    <x v="0"/>
    <x v="10"/>
    <s v="No"/>
    <n v="20260521"/>
    <n v="149311647"/>
    <s v="SERVICIOS_SIP"/>
    <s v="NEO1"/>
    <n v="0"/>
    <n v="0"/>
    <s v="CAMPAÑA"/>
    <n v="150"/>
    <s v="8927 - Lizarrondo, Candela"/>
    <n v="26"/>
    <s v="ANSWER"/>
    <s v="AGENT"/>
    <d v="2026-05-21T10:18:38"/>
    <d v="2026-05-21T10:18:38"/>
    <d v="2026-05-21T10:29:42"/>
    <s v="01152741410"/>
    <s v="1169081694"/>
    <s v="ENTRANTE"/>
    <s v="FULL"/>
    <s v="1169081694-149311647-20260521101837.mp3"/>
    <s v=""/>
    <s v="NAC-CEL"/>
    <s v="NACIONAL"/>
    <s v="PAIS-CELULAR"/>
    <n v="0"/>
    <n v="0"/>
    <n v="0"/>
    <n v="0"/>
    <s v="BL"/>
    <n v="3"/>
    <n v="665"/>
    <s v="NotSet"/>
    <n v="37"/>
    <n v="1"/>
    <n v="2502581"/>
    <s v=""/>
    <s v="|0||SIP/SERVICIOS_SIP-00003671|1779369592.13941|16:Normal Clearing|16:PBX|12|SIP/GQ108-00003683|-1|NotSet|"/>
    <s v=""/>
  </r>
  <r>
    <x v="13"/>
    <n v="1143464000"/>
    <x v="0"/>
    <x v="0"/>
    <x v="0"/>
    <x v="0"/>
    <x v="0"/>
    <x v="10"/>
    <s v="No"/>
    <n v="20260521"/>
    <n v="149311565"/>
    <s v="SERVICIOS_SIP"/>
    <s v="NEO1"/>
    <n v="0"/>
    <n v="0"/>
    <s v="CAMPAÑA"/>
    <n v="150"/>
    <s v="8861 - Caceres, Martina"/>
    <n v="26"/>
    <s v="ANSWER"/>
    <s v="AGENT"/>
    <d v="2026-05-21T10:15:19"/>
    <d v="2026-05-21T10:15:19"/>
    <d v="2026-05-21T10:25:21"/>
    <s v="01152741410"/>
    <s v="1143464000"/>
    <s v="ENTRANTE"/>
    <s v="FULL"/>
    <s v="1143464000-149311565-20260521101519.mp3"/>
    <s v=""/>
    <s v="LOC-FIJO"/>
    <s v="LOCAL-FIJO"/>
    <s v="LOCAL-FIJO"/>
    <n v="0"/>
    <n v="0"/>
    <n v="0"/>
    <n v="0"/>
    <s v="BL"/>
    <n v="3"/>
    <n v="602"/>
    <s v="NotSet"/>
    <n v="37"/>
    <n v="116"/>
    <n v="1235465"/>
    <s v=""/>
    <s v="|0||SIP/SERVICIOS_SIP-000035c1|1779369393.13764|16:Normal Clearing|16:PBX|1|SIP/GQ106-000035d9|-1|NotSet|"/>
    <s v=""/>
  </r>
  <r>
    <x v="13"/>
    <n v="1141688457"/>
    <x v="0"/>
    <x v="0"/>
    <x v="0"/>
    <x v="0"/>
    <x v="3"/>
    <x v="10"/>
    <s v="No"/>
    <n v="20260521"/>
    <n v="149311435"/>
    <s v="SERVICIOS_SIP"/>
    <s v="NEO1"/>
    <n v="0"/>
    <n v="0"/>
    <s v="CAMPAÑA"/>
    <n v="150"/>
    <s v="8160 - QUEVEDO, JOAHANA"/>
    <n v="5"/>
    <s v="ANSWER"/>
    <s v="AGENT"/>
    <d v="2026-05-21T10:09:41"/>
    <d v="2026-05-21T10:09:42"/>
    <d v="2026-05-21T10:12:32"/>
    <s v="01152741410"/>
    <s v="1141688457"/>
    <s v="ENTRANTE"/>
    <s v="FULL"/>
    <s v="1141688457-149311435-20260521100941.mp3"/>
    <s v=""/>
    <s v="NAC-CEL"/>
    <s v="NACIONAL"/>
    <s v="PAIS-CELULAR"/>
    <n v="0"/>
    <n v="0"/>
    <n v="0"/>
    <n v="0"/>
    <s v="BL"/>
    <n v="3"/>
    <n v="171"/>
    <s v="NotSet"/>
    <n v="37"/>
    <n v="1"/>
    <n v="2502573"/>
    <s v="May 21 2026 10:11AM"/>
    <s v="|0||SIP/SERVICIOS_SIP-000034bd|1779369056.13504|16:Normal Clearing|17:Network|4||-1|NotSet|"/>
    <s v=""/>
  </r>
  <r>
    <x v="13"/>
    <n v="3512599213"/>
    <x v="0"/>
    <x v="0"/>
    <x v="0"/>
    <x v="0"/>
    <x v="0"/>
    <x v="0"/>
    <s v="No"/>
    <n v="20260521"/>
    <n v="149310717"/>
    <s v="SERVICIOS_SIP"/>
    <s v="NEO1"/>
    <n v="0"/>
    <n v="0"/>
    <s v="CAMPAÑA"/>
    <n v="150"/>
    <s v="8861 - Caceres, Martina"/>
    <n v="26"/>
    <s v="ANSWER"/>
    <s v="AGENT"/>
    <d v="2026-05-21T09:34:32"/>
    <d v="2026-05-21T09:34:33"/>
    <d v="2026-05-21T09:48:38"/>
    <s v="01152741410"/>
    <s v="3512599213"/>
    <s v="ENTRANTE"/>
    <s v="FULL"/>
    <s v="3512599213-149310717-20260521093432.mp3"/>
    <s v=""/>
    <s v="NAC-FIJO"/>
    <s v="CORDOBA"/>
    <s v="CORDOBA"/>
    <n v="0"/>
    <n v="0"/>
    <n v="0"/>
    <n v="0"/>
    <s v="BL"/>
    <n v="3"/>
    <n v="846"/>
    <s v="NotSet"/>
    <n v="37"/>
    <n v="0"/>
    <n v="0"/>
    <s v=""/>
    <s v="|0||SIP/SERVICIOS_SIP-00002f0a|1779366947.12044|16:Normal Clearing|17:Network|9||-1|NotSet|"/>
    <s v=""/>
  </r>
  <r>
    <x v="14"/>
    <n v="1153775692"/>
    <x v="0"/>
    <x v="0"/>
    <x v="0"/>
    <x v="0"/>
    <x v="1"/>
    <x v="11"/>
    <s v="No"/>
    <n v="20260522"/>
    <n v="149344944"/>
    <s v="SERVICIOS_SIP"/>
    <s v="NEO1"/>
    <n v="0"/>
    <n v="0"/>
    <s v="CAMPAÑA"/>
    <n v="150"/>
    <s v="8957 - Bustos, Juan Ignacio"/>
    <n v="27"/>
    <s v="ANSWER"/>
    <s v="AGENT"/>
    <d v="2026-05-22T20:30:45"/>
    <d v="2026-05-22T20:30:45"/>
    <d v="2026-05-22T20:38:07"/>
    <s v="01152741410"/>
    <s v="1153775692"/>
    <s v="ENTRANTE"/>
    <s v="FULL"/>
    <s v="1153775692-149344944-20260522203045.mp3"/>
    <s v=""/>
    <s v="NAC-CEL"/>
    <s v="NACIONAL"/>
    <s v="PAIS-CELULAR"/>
    <n v="0"/>
    <n v="0"/>
    <n v="0"/>
    <n v="0"/>
    <s v="BL"/>
    <n v="3"/>
    <n v="442"/>
    <s v="NotSet"/>
    <n v="37"/>
    <n v="0"/>
    <n v="0"/>
    <s v=""/>
    <s v="|0||SIP/SERVICIOS_SIP-000092fa|1779492721.37636|16:Normal Clearing|17:Network|11||-1|NotSet|"/>
    <s v=""/>
  </r>
  <r>
    <x v="14"/>
    <n v="3442663564"/>
    <x v="0"/>
    <x v="0"/>
    <x v="0"/>
    <x v="0"/>
    <x v="1"/>
    <x v="3"/>
    <s v="No"/>
    <n v="20260522"/>
    <n v="149339870"/>
    <s v="SERVICIOS_SIP"/>
    <s v="NEO1"/>
    <n v="0"/>
    <n v="0"/>
    <s v="CAMPAÑA"/>
    <n v="150"/>
    <s v="8872 - Pasetti, Gisela Lorena"/>
    <n v="27"/>
    <s v="ANSWER"/>
    <s v="AGENT"/>
    <d v="2026-05-22T17:27:58"/>
    <d v="2026-05-22T17:27:58"/>
    <d v="2026-05-22T17:50:05"/>
    <s v="01152741410"/>
    <s v="3442663564"/>
    <s v="ENTRANTE"/>
    <s v="FULL"/>
    <s v="3442663564-149339870-20260522172757.mp3"/>
    <s v=""/>
    <s v="NAC-FIJO"/>
    <s v="ENTRE RIOS"/>
    <s v="CONCEPCION DEL URUGUAY"/>
    <n v="0"/>
    <n v="0"/>
    <n v="0"/>
    <n v="0"/>
    <s v="BL"/>
    <n v="3"/>
    <n v="1328"/>
    <s v="NotSet"/>
    <n v="37"/>
    <n v="166"/>
    <n v="1948328"/>
    <s v=""/>
    <s v="|0||SIP/SERVICIOS_SIP-000069d8|1779481754.27106|16:Normal Clearing|17:Network|18||-1|NotSet|"/>
    <s v=""/>
  </r>
  <r>
    <x v="14"/>
    <n v="2317521218"/>
    <x v="0"/>
    <x v="0"/>
    <x v="0"/>
    <x v="0"/>
    <x v="1"/>
    <x v="5"/>
    <s v="No"/>
    <n v="20260522"/>
    <n v="149336030"/>
    <s v="SERVICIOS_SIP"/>
    <s v="NEO1"/>
    <n v="0"/>
    <n v="0"/>
    <s v="CAMPAÑA"/>
    <n v="150"/>
    <s v="8814 - Nievas, Jimena "/>
    <n v="27"/>
    <s v="ANSWER"/>
    <s v="AGENT"/>
    <d v="2026-05-22T15:07:30"/>
    <d v="2026-05-22T15:07:30"/>
    <d v="2026-05-22T15:22:56"/>
    <s v="01152741410"/>
    <s v="2317521218"/>
    <s v="ENTRANTE"/>
    <s v="FULL"/>
    <s v="2317521218-149336030-20260522150729.mp3"/>
    <s v=""/>
    <s v="NAC-FIJO"/>
    <s v="BUENOS AIRES"/>
    <s v="9 DE JULIO (PROV. BUENOS AIRES)"/>
    <n v="0"/>
    <n v="0"/>
    <n v="0"/>
    <n v="0"/>
    <s v="BL"/>
    <n v="3"/>
    <n v="926"/>
    <s v="NotSet"/>
    <n v="37"/>
    <n v="0"/>
    <n v="0"/>
    <s v=""/>
    <s v="|0||SIP/SERVICIOS_SIP-000049e6|1779473326.18926|16:Normal Clearing|17:Network|5||-1|NotSet|"/>
    <s v=""/>
  </r>
  <r>
    <x v="14"/>
    <n v="1144067708"/>
    <x v="0"/>
    <x v="0"/>
    <x v="0"/>
    <x v="0"/>
    <x v="0"/>
    <x v="6"/>
    <s v="No"/>
    <n v="20260522"/>
    <n v="149335271"/>
    <s v="SERVICIOS_SIP"/>
    <s v="NEO1"/>
    <n v="0"/>
    <n v="0"/>
    <s v="CAMPAÑA"/>
    <n v="150"/>
    <s v="8861 - Caceres, Martina"/>
    <n v="26"/>
    <s v="ANSWER"/>
    <s v="AGENT"/>
    <d v="2026-05-22T14:28:54"/>
    <d v="2026-05-22T14:28:54"/>
    <d v="2026-05-22T14:37:02"/>
    <s v="01152741410"/>
    <s v="1144067708"/>
    <s v="ENTRANTE"/>
    <s v="FULL"/>
    <s v="1144067708-149335271-20260522142854.mp3"/>
    <s v=""/>
    <s v="NAC-CEL"/>
    <s v="NACIONAL"/>
    <s v="PAIS-CELULAR"/>
    <n v="0"/>
    <n v="0"/>
    <n v="0"/>
    <n v="0"/>
    <s v="BL"/>
    <n v="3"/>
    <n v="489"/>
    <s v="NotSet"/>
    <n v="37"/>
    <n v="1"/>
    <n v="2310785"/>
    <s v="Jan  2 2026 11:56AM"/>
    <s v="|0||SIP/SERVICIOS_SIP-00004307|1779471011.17167|16:Normal Clearing|16:PBX|8||-1|NotSet|"/>
    <s v=""/>
  </r>
  <r>
    <x v="14"/>
    <n v="1169566041"/>
    <x v="0"/>
    <x v="0"/>
    <x v="0"/>
    <x v="0"/>
    <x v="0"/>
    <x v="6"/>
    <s v="No"/>
    <n v="20260522"/>
    <n v="149334777"/>
    <s v="SERVICIOS_SIP"/>
    <s v="NEO1"/>
    <n v="0"/>
    <n v="0"/>
    <s v="CAMPAÑA"/>
    <n v="150"/>
    <s v="8160 - QUEVEDO, JOAHANA"/>
    <n v="26"/>
    <s v="ANSWER"/>
    <s v="AGENT"/>
    <d v="2026-05-22T14:04:13"/>
    <d v="2026-05-22T14:04:13"/>
    <d v="2026-05-22T14:10:27"/>
    <s v="01152741410"/>
    <s v="1169566041"/>
    <s v="ENTRANTE"/>
    <s v="FULL"/>
    <s v="1169566041-149334777-20260522140413.mp3"/>
    <s v=""/>
    <s v="NAC-CEL"/>
    <s v="NACIONAL"/>
    <s v="PAIS-CELULAR"/>
    <n v="0"/>
    <n v="0"/>
    <n v="0"/>
    <n v="0"/>
    <s v="BL"/>
    <n v="3"/>
    <n v="374"/>
    <s v="NotSet"/>
    <n v="37"/>
    <n v="184"/>
    <n v="2197663"/>
    <s v=""/>
    <s v="|0||SIP/SERVICIOS_SIP-00003ed0|1779469530.16088|16:Normal Clearing|17:Network|0||-1|NotSet|"/>
    <s v=""/>
  </r>
  <r>
    <x v="14"/>
    <n v="3875669047"/>
    <x v="0"/>
    <x v="0"/>
    <x v="0"/>
    <x v="0"/>
    <x v="0"/>
    <x v="7"/>
    <s v="No"/>
    <n v="20260522"/>
    <n v="149334352"/>
    <s v="SERVICIOS_SIP"/>
    <s v="NEO1"/>
    <n v="0"/>
    <n v="0"/>
    <s v="CAMPAÑA"/>
    <n v="150"/>
    <s v="8160 - QUEVEDO, JOAHANA"/>
    <n v="26"/>
    <s v="ANSWER"/>
    <s v="AGENT"/>
    <d v="2026-05-22T13:41:41"/>
    <d v="2026-05-22T13:41:41"/>
    <d v="2026-05-22T13:46:42"/>
    <s v="01152741410"/>
    <s v="3875669047"/>
    <s v="ENTRANTE"/>
    <s v="FULL"/>
    <s v="3875669047-149334352-20260522134140.mp3"/>
    <s v=""/>
    <s v="NAC-FIJO"/>
    <s v="SALTA"/>
    <s v="TARTAGAL (PROV. SALTA)"/>
    <n v="0"/>
    <n v="0"/>
    <n v="0"/>
    <n v="0"/>
    <s v="BL"/>
    <n v="3"/>
    <n v="302"/>
    <s v="NotSet"/>
    <n v="37"/>
    <n v="0"/>
    <n v="0"/>
    <s v=""/>
    <s v="|0||SIP/SERVICIOS_SIP-00003b15|1779468177.15133|16:Normal Clearing|17:Network|0||-1|NotSet|"/>
    <s v=""/>
  </r>
  <r>
    <x v="14"/>
    <n v="1154561186"/>
    <x v="0"/>
    <x v="0"/>
    <x v="0"/>
    <x v="0"/>
    <x v="0"/>
    <x v="7"/>
    <s v="No"/>
    <n v="20260522"/>
    <n v="149333771"/>
    <s v="SERVICIOS_SIP"/>
    <s v="NEO1"/>
    <n v="0"/>
    <n v="0"/>
    <s v="CAMPAÑA"/>
    <n v="150"/>
    <s v="8160 - QUEVEDO, JOAHANA"/>
    <n v="26"/>
    <s v="ANSWER"/>
    <s v="AGENT"/>
    <d v="2026-05-22T13:14:39"/>
    <d v="2026-05-22T13:14:39"/>
    <d v="2026-05-22T13:21:28"/>
    <s v="01152741410"/>
    <s v="1154561186"/>
    <s v="ENTRANTE"/>
    <s v="FULL"/>
    <s v="1154561186-149333771-20260522131439.mp3"/>
    <s v=""/>
    <s v="NAC-CEL"/>
    <s v="NACIONAL"/>
    <s v="PAIS-CELULAR"/>
    <n v="0"/>
    <n v="0"/>
    <n v="0"/>
    <n v="0"/>
    <s v="BL"/>
    <n v="3"/>
    <n v="409"/>
    <s v="NotSet"/>
    <n v="37"/>
    <n v="1"/>
    <n v="2503519"/>
    <s v=""/>
    <s v="|0||SIP/SERVICIOS_SIP-00003626|1779466556.13869|16:Normal Clearing|17:Network|18||-1|NotSet|"/>
    <s v=""/>
  </r>
  <r>
    <x v="14"/>
    <n v="1167256300"/>
    <x v="0"/>
    <x v="0"/>
    <x v="0"/>
    <x v="0"/>
    <x v="0"/>
    <x v="8"/>
    <s v="No"/>
    <n v="20260522"/>
    <n v="149333283"/>
    <s v="SERVICIOS_SIP"/>
    <s v="NEO1"/>
    <n v="0"/>
    <n v="0"/>
    <s v="CAMPAÑA"/>
    <n v="150"/>
    <s v="8861 - Caceres, Martina"/>
    <n v="26"/>
    <s v="ANSWER"/>
    <s v="AGENT"/>
    <d v="2026-05-22T12:52:17"/>
    <d v="2026-05-22T12:52:18"/>
    <d v="2026-05-22T13:40:34"/>
    <s v="01152741410"/>
    <s v="1167256300"/>
    <s v="ENTRANTE"/>
    <s v="FULL"/>
    <s v="1167256300-149333283-20260522125217.mp3"/>
    <s v=""/>
    <s v="NAC-CEL"/>
    <s v="NACIONAL"/>
    <s v="PAIS-CELULAR"/>
    <n v="0"/>
    <n v="0"/>
    <n v="0"/>
    <n v="0"/>
    <s v="BL"/>
    <n v="3"/>
    <n v="2897"/>
    <s v="NotSet"/>
    <n v="37"/>
    <n v="202"/>
    <n v="2485718"/>
    <s v=""/>
    <s v="|0||SIP/SERVICIOS_SIP-00003229|1779465214.12848|16:Normal Clearing|17:Network|1||-1|NotSet|"/>
    <s v=""/>
  </r>
  <r>
    <x v="14"/>
    <n v="3751546147"/>
    <x v="0"/>
    <x v="0"/>
    <x v="0"/>
    <x v="0"/>
    <x v="2"/>
    <x v="9"/>
    <s v="No"/>
    <n v="20260522"/>
    <n v="149332069"/>
    <s v="SERVICIOS_SIP"/>
    <s v="NEO1"/>
    <n v="0"/>
    <n v="0"/>
    <s v="CAMPAÑA"/>
    <n v="150"/>
    <s v="8860 - Gudiño, Micaela"/>
    <n v="0"/>
    <s v="ANSWER"/>
    <s v="AGENT"/>
    <d v="2026-05-22T11:53:18"/>
    <d v="2026-05-22T11:53:18"/>
    <d v="2026-05-22T11:54:42"/>
    <s v="01152741410"/>
    <s v="3751546147"/>
    <s v="ENTRANTE"/>
    <s v="FULL"/>
    <s v="3751546147-149332069-20260522115317.mp3"/>
    <s v=""/>
    <s v="NAC-CEL"/>
    <s v="NACIONAL"/>
    <s v="PAIS-CELULAR"/>
    <n v="0"/>
    <n v="0"/>
    <n v="0"/>
    <n v="0"/>
    <s v="BL"/>
    <n v="3"/>
    <n v="84"/>
    <s v="NotSet"/>
    <n v="37"/>
    <n v="202"/>
    <n v="2502489"/>
    <s v=""/>
    <s v="|0||SIP/SERVICIOS_SIP-0000278f|1779461674.10130|16:Normal Clearing|17:Network|21||-1|NotSet|"/>
    <s v=""/>
  </r>
  <r>
    <x v="14"/>
    <n v="2494660971"/>
    <x v="0"/>
    <x v="0"/>
    <x v="0"/>
    <x v="0"/>
    <x v="0"/>
    <x v="9"/>
    <s v="No"/>
    <n v="20260522"/>
    <n v="149330992"/>
    <s v="SERVICIOS_SIP"/>
    <s v="NEO1"/>
    <n v="0"/>
    <n v="0"/>
    <s v="CAMPAÑA"/>
    <n v="150"/>
    <s v="8861 - Caceres, Martina"/>
    <n v="26"/>
    <s v="ANSWER"/>
    <s v="AGENT"/>
    <d v="2026-05-22T11:08:26"/>
    <d v="2026-05-22T11:08:26"/>
    <d v="2026-05-22T11:13:45"/>
    <s v="01152741410"/>
    <s v="2494660971"/>
    <s v="ENTRANTE"/>
    <s v="FULL"/>
    <s v="2494660971-149330992-20260522110826.mp3"/>
    <s v=""/>
    <s v="NAC-CEL"/>
    <s v="NACIONAL"/>
    <s v="PAIS-CELULAR"/>
    <n v="0"/>
    <n v="0"/>
    <n v="0"/>
    <n v="0"/>
    <s v="BL"/>
    <n v="3"/>
    <n v="319"/>
    <s v="NotSet"/>
    <n v="37"/>
    <n v="1"/>
    <n v="2503430"/>
    <s v=""/>
    <s v="|0||SIP/SERVICIOS_SIP-00001ec5|1779458983.7879|16:Normal Clearing|17:Network|21||-1|NotSet|"/>
    <s v=""/>
  </r>
  <r>
    <x v="14"/>
    <n v="3875179574"/>
    <x v="0"/>
    <x v="0"/>
    <x v="0"/>
    <x v="0"/>
    <x v="0"/>
    <x v="9"/>
    <s v="No"/>
    <n v="20260522"/>
    <n v="149330960"/>
    <s v="SERVICIOS_SIP"/>
    <s v="NEO1"/>
    <n v="0"/>
    <n v="0"/>
    <s v="CAMPAÑA"/>
    <n v="150"/>
    <s v="8160 - QUEVEDO, JOAHANA"/>
    <n v="26"/>
    <s v="ANSWER"/>
    <s v="AGENT"/>
    <d v="2026-05-22T11:07:14"/>
    <d v="2026-05-22T11:07:14"/>
    <d v="2026-05-22T11:08:02"/>
    <s v="01152741410"/>
    <s v="3875179574"/>
    <s v="ENTRANTE"/>
    <s v="FULL"/>
    <s v="3875179574-149330960-20260522110714.mp3"/>
    <s v=""/>
    <s v="NAC-CEL"/>
    <s v="NACIONAL"/>
    <s v="PAIS-CELULAR"/>
    <n v="0"/>
    <n v="0"/>
    <n v="0"/>
    <n v="0"/>
    <s v="BL"/>
    <n v="3"/>
    <n v="48"/>
    <s v="NotSet"/>
    <n v="37"/>
    <n v="0"/>
    <n v="0"/>
    <s v=""/>
    <s v="|0||SIP/SERVICIOS_SIP-00001e7f|1779458911.7809|16:Normal Clearing|17:Network|10||-1|NotSet|"/>
    <s v=""/>
  </r>
  <r>
    <x v="14"/>
    <n v="1140861116"/>
    <x v="0"/>
    <x v="0"/>
    <x v="0"/>
    <x v="0"/>
    <x v="0"/>
    <x v="10"/>
    <s v="No"/>
    <n v="20260522"/>
    <n v="149330479"/>
    <s v="SERVICIOS_SIP"/>
    <s v="NEO1"/>
    <n v="0"/>
    <n v="0"/>
    <s v="CAMPAÑA"/>
    <n v="150"/>
    <s v="8160 - QUEVEDO, JOAHANA"/>
    <n v="26"/>
    <s v="ANSWER"/>
    <s v="AGENT"/>
    <d v="2026-05-22T10:48:42"/>
    <d v="2026-05-22T10:48:42"/>
    <d v="2026-05-22T11:03:29"/>
    <s v="01152741410"/>
    <s v="1140861116"/>
    <s v="ENTRANTE"/>
    <s v="FULL"/>
    <s v="1140861116-149330479-20260522104842.mp3"/>
    <s v=""/>
    <s v="NAC-CEL"/>
    <s v="NACIONAL"/>
    <s v="PAIS-CELULAR"/>
    <n v="0"/>
    <n v="0"/>
    <n v="0"/>
    <n v="0"/>
    <s v="BL"/>
    <n v="3"/>
    <n v="887"/>
    <s v="NotSet"/>
    <n v="37"/>
    <n v="193"/>
    <n v="2392566"/>
    <s v=""/>
    <s v="|0||SIP/SERVICIOS_SIP-00001a93|1779457799.6805|16:Normal Clearing|17:Network|2||-1|NotSet|"/>
    <s v=""/>
  </r>
  <r>
    <x v="14"/>
    <n v="1163787342"/>
    <x v="0"/>
    <x v="0"/>
    <x v="0"/>
    <x v="0"/>
    <x v="0"/>
    <x v="10"/>
    <s v="No"/>
    <n v="20260522"/>
    <n v="149329945"/>
    <s v="SERVICIOS_SIP"/>
    <s v="NEO1"/>
    <n v="0"/>
    <n v="0"/>
    <s v="CAMPAÑA"/>
    <n v="150"/>
    <s v="8160 - QUEVEDO, JOAHANA"/>
    <n v="26"/>
    <s v="ANSWER"/>
    <s v="AGENT"/>
    <d v="2026-05-22T10:28:51"/>
    <d v="2026-05-22T10:28:51"/>
    <d v="2026-05-22T10:31:05"/>
    <s v="01152741410"/>
    <s v="1163787342"/>
    <s v="ENTRANTE"/>
    <s v="FULL"/>
    <s v="1163787342-149329945-20260522102851.mp3"/>
    <s v=""/>
    <s v="NAC-CEL"/>
    <s v="NACIONAL"/>
    <s v="PAIS-CELULAR"/>
    <n v="0"/>
    <n v="0"/>
    <n v="0"/>
    <n v="0"/>
    <s v="BL"/>
    <n v="3"/>
    <n v="134"/>
    <s v="NotSet"/>
    <n v="37"/>
    <n v="1"/>
    <n v="2503399"/>
    <s v="May 22 2026 10:30AM"/>
    <s v="|0||SIP/SERVICIOS_SIP-0000164a|1779456608.5708|16:Normal Clearing|17:Network|13||-1|NotSet|"/>
    <s v=""/>
  </r>
  <r>
    <x v="14"/>
    <n v="2954393528"/>
    <x v="0"/>
    <x v="0"/>
    <x v="0"/>
    <x v="0"/>
    <x v="0"/>
    <x v="0"/>
    <s v="No"/>
    <n v="20260522"/>
    <n v="149328748"/>
    <s v="SERVICIOS_SIP"/>
    <s v="NEO1"/>
    <n v="0"/>
    <n v="0"/>
    <s v="CAMPAÑA"/>
    <n v="150"/>
    <s v="8861 - Caceres, Martina"/>
    <n v="26"/>
    <s v="ANSWER"/>
    <s v="AGENT"/>
    <d v="2026-05-22T09:39:54"/>
    <d v="2026-05-22T09:39:54"/>
    <d v="2026-05-22T09:40:34"/>
    <s v="01152741410"/>
    <s v="2954393528"/>
    <s v="ENTRANTE"/>
    <s v="FULL"/>
    <s v="2954393528-149328748-20260522093953.mp3"/>
    <s v=""/>
    <s v="NAC-CEL"/>
    <s v="NACIONAL"/>
    <s v="PAIS-CELULAR"/>
    <n v="0"/>
    <n v="0"/>
    <n v="0"/>
    <n v="0"/>
    <s v="BL"/>
    <n v="3"/>
    <n v="40"/>
    <s v="NotSet"/>
    <n v="37"/>
    <n v="175"/>
    <n v="2407729"/>
    <s v=""/>
    <s v="|0||SIP/SERVICIOS_SIP-00000c31|1779453670.3122|16:Normal Clearing|16:PBX|18||-1|NotSet|"/>
    <s v=""/>
  </r>
  <r>
    <x v="14"/>
    <n v="3517022622"/>
    <x v="0"/>
    <x v="0"/>
    <x v="0"/>
    <x v="0"/>
    <x v="0"/>
    <x v="0"/>
    <s v="No"/>
    <n v="20260522"/>
    <n v="149328747"/>
    <s v="SERVICIOS_SIP"/>
    <s v="NEO1"/>
    <n v="0"/>
    <n v="0"/>
    <s v="CAMPAÑA"/>
    <n v="150"/>
    <s v="8927 - Lizarrondo, Candela"/>
    <n v="26"/>
    <s v="ANSWER"/>
    <s v="AGENT"/>
    <d v="2026-05-22T09:39:51"/>
    <d v="2026-05-22T09:39:51"/>
    <d v="2026-05-22T09:40:33"/>
    <s v="01152741410"/>
    <s v="3517022622"/>
    <s v="ENTRANTE"/>
    <s v="FULL"/>
    <s v="3517022622-149328747-20260522093950.mp3"/>
    <s v=""/>
    <s v="NAC-CEL"/>
    <s v="NACIONAL"/>
    <s v="PAIS-CELULAR"/>
    <n v="0"/>
    <n v="0"/>
    <n v="0"/>
    <n v="0"/>
    <s v="BL"/>
    <n v="3"/>
    <n v="43"/>
    <s v="NotSet"/>
    <n v="37"/>
    <n v="164"/>
    <n v="1892108"/>
    <s v="Apr  3 2025 11:10AM"/>
    <s v="|0||SIP/SERVICIOS_SIP-00000c30|1779453667.3121|16:Normal Clearing|17:Network|16||-1|NotSet|"/>
    <s v=""/>
  </r>
  <r>
    <x v="14"/>
    <n v="3517463133"/>
    <x v="0"/>
    <x v="0"/>
    <x v="0"/>
    <x v="0"/>
    <x v="0"/>
    <x v="0"/>
    <s v="No"/>
    <n v="20260522"/>
    <n v="149328724"/>
    <s v="SERVICIOS_SIP"/>
    <s v="NEO1"/>
    <n v="0"/>
    <n v="0"/>
    <s v="CAMPAÑA"/>
    <n v="150"/>
    <s v="8861 - Caceres, Martina"/>
    <n v="26"/>
    <s v="ANSWER"/>
    <s v="AGENT"/>
    <d v="2026-05-22T09:38:42"/>
    <d v="2026-05-22T09:38:42"/>
    <d v="2026-05-22T09:39:30"/>
    <s v="01152741410"/>
    <s v="3517463133"/>
    <s v="ENTRANTE"/>
    <s v="FULL"/>
    <s v="3517463133-149328724-20260522093841.mp3"/>
    <s v=""/>
    <s v="NAC-FIJO"/>
    <s v="CORDOBA"/>
    <s v="CORDOBA"/>
    <n v="0"/>
    <n v="0"/>
    <n v="0"/>
    <n v="0"/>
    <s v="BL"/>
    <n v="3"/>
    <n v="49"/>
    <s v="NotSet"/>
    <n v="37"/>
    <n v="195"/>
    <n v="2410763"/>
    <s v=""/>
    <s v="|0||SIP/SERVICIOS_SIP-00000bed|1779453598.3054|16:Normal Clearing|16:PBX|10|SIP/GQ106-00000bfc|-1|NotSet|"/>
    <s v=""/>
  </r>
  <r>
    <x v="14"/>
    <n v="3513113288"/>
    <x v="0"/>
    <x v="0"/>
    <x v="0"/>
    <x v="0"/>
    <x v="0"/>
    <x v="0"/>
    <s v="No"/>
    <n v="20260522"/>
    <n v="149328723"/>
    <s v="SERVICIOS_SIP"/>
    <s v="NEO1"/>
    <n v="0"/>
    <n v="0"/>
    <s v="CAMPAÑA"/>
    <n v="150"/>
    <s v="8927 - Lizarrondo, Candela"/>
    <n v="26"/>
    <s v="ANSWER"/>
    <s v="AGENT"/>
    <d v="2026-05-22T09:38:38"/>
    <d v="2026-05-22T09:38:38"/>
    <d v="2026-05-22T09:39:30"/>
    <s v="01152741410"/>
    <s v="3513113288"/>
    <s v="ENTRANTE"/>
    <s v="FULL"/>
    <s v="3513113288-149328723-20260522093837.mp3"/>
    <s v=""/>
    <s v="NAC-CEL"/>
    <s v="NACIONAL"/>
    <s v="PAIS-CELULAR"/>
    <n v="0"/>
    <n v="0"/>
    <n v="0"/>
    <n v="0"/>
    <s v="BL"/>
    <n v="3"/>
    <n v="53"/>
    <s v="NotSet"/>
    <n v="37"/>
    <n v="116"/>
    <n v="1614559"/>
    <s v=""/>
    <s v="|0||SIP/SERVICIOS_SIP-00000bea|1779453594.3051|16:Normal Clearing|17:Network|7||-1|NotSet|"/>
    <s v=""/>
  </r>
  <r>
    <x v="14"/>
    <n v="3512228091"/>
    <x v="0"/>
    <x v="0"/>
    <x v="0"/>
    <x v="0"/>
    <x v="0"/>
    <x v="0"/>
    <s v="No"/>
    <n v="20260522"/>
    <n v="149328698"/>
    <s v="SERVICIOS_SIP"/>
    <s v="NEO1"/>
    <n v="0"/>
    <n v="0"/>
    <s v="CAMPAÑA"/>
    <n v="150"/>
    <s v="8861 - Caceres, Martina"/>
    <n v="26"/>
    <s v="ANSWER"/>
    <s v="AGENT"/>
    <d v="2026-05-22T09:37:40"/>
    <d v="2026-05-22T09:37:40"/>
    <d v="2026-05-22T09:38:10"/>
    <s v="01152741410"/>
    <s v="3512228091"/>
    <s v="ENTRANTE"/>
    <s v="FULL"/>
    <s v="3512228091-149328698-20260522093740.mp3"/>
    <s v=""/>
    <s v="NAC-CEL"/>
    <s v="NACIONAL"/>
    <s v="PAIS-CELULAR"/>
    <n v="0"/>
    <n v="0"/>
    <n v="0"/>
    <n v="0"/>
    <s v="BL"/>
    <n v="3"/>
    <n v="30"/>
    <s v="NotSet"/>
    <n v="37"/>
    <n v="194"/>
    <n v="2364618"/>
    <s v=""/>
    <s v="|0||SIP/SERVICIOS_SIP-00000ba6|1779453537.2983|16:Normal Clearing|17:Network|4||-1|NotSet|"/>
    <s v=""/>
  </r>
  <r>
    <x v="14"/>
    <n v="2233037517"/>
    <x v="0"/>
    <x v="0"/>
    <x v="0"/>
    <x v="0"/>
    <x v="0"/>
    <x v="0"/>
    <s v="No"/>
    <n v="20260522"/>
    <n v="149328508"/>
    <s v="SERVICIOS_SIP"/>
    <s v="NEO1"/>
    <n v="0"/>
    <n v="0"/>
    <s v="CAMPAÑA"/>
    <n v="150"/>
    <s v="8927 - Lizarrondo, Candela"/>
    <n v="26"/>
    <s v="ANSWER"/>
    <s v="RINGING"/>
    <d v="2026-05-22T09:27:48"/>
    <d v="2026-05-22T09:27:48"/>
    <d v="2026-05-22T09:29:17"/>
    <s v="01152741410"/>
    <s v="2233037517"/>
    <s v="ENTRANTE"/>
    <s v="NULL"/>
    <s v=""/>
    <s v=""/>
    <s v="NAC-FIJO"/>
    <s v="BUENOS AIRES"/>
    <s v="MAR DEL PLATA"/>
    <n v="0"/>
    <n v="0"/>
    <n v="0"/>
    <n v="0"/>
    <s v="BL"/>
    <n v="3"/>
    <n v="89"/>
    <s v="NotSet"/>
    <n v="37"/>
    <n v="0"/>
    <n v="0"/>
    <s v=""/>
    <s v="|0||SIP/SERVICIOS_SIP-00000a14|1779452944.2581|16:Normal Clearing|17:Network|4||-1|NotSet|"/>
    <s v=""/>
  </r>
  <r>
    <x v="15"/>
    <n v="2954599453"/>
    <x v="0"/>
    <x v="0"/>
    <x v="0"/>
    <x v="0"/>
    <x v="1"/>
    <x v="11"/>
    <s v="No"/>
    <n v="20260526"/>
    <n v="149364872"/>
    <s v="SERVICIOS_SIP"/>
    <s v="NEO1"/>
    <n v="0"/>
    <n v="0"/>
    <s v="CAMPAÑA"/>
    <n v="150"/>
    <s v="8814 - Nievas, Jimena "/>
    <n v="27"/>
    <s v="ANSWER"/>
    <s v="AGENT"/>
    <d v="2026-05-26T20:24:32"/>
    <d v="2026-05-26T20:24:33"/>
    <d v="2026-05-26T20:31:24"/>
    <s v="01152741410"/>
    <s v="2954599453"/>
    <s v="ENTRANTE"/>
    <s v="FULL"/>
    <s v="2954599453-149364872-20260526202432.mp3"/>
    <s v=""/>
    <s v="NAC-CEL"/>
    <s v="NACIONAL"/>
    <s v="PAIS-CELULAR"/>
    <n v="0"/>
    <n v="0"/>
    <n v="0"/>
    <n v="0"/>
    <s v="BL"/>
    <n v="3"/>
    <n v="412"/>
    <s v="NotSet"/>
    <n v="37"/>
    <n v="0"/>
    <n v="0"/>
    <s v=""/>
    <s v="|0||SIP/SERVICIOS_SIP-0000d6fe|1779837958.55056|16:Normal Clearing|17:Network|15||-1|NotSet|"/>
    <s v=""/>
  </r>
  <r>
    <x v="15"/>
    <n v="2364329160"/>
    <x v="0"/>
    <x v="0"/>
    <x v="0"/>
    <x v="0"/>
    <x v="1"/>
    <x v="2"/>
    <s v="No"/>
    <n v="20260526"/>
    <n v="149362539"/>
    <s v="SERVICIOS_SIP"/>
    <s v="NEO1"/>
    <n v="0"/>
    <n v="0"/>
    <s v="CAMPAÑA"/>
    <n v="150"/>
    <s v="8864 - González, Maitena"/>
    <n v="27"/>
    <s v="ANSWER"/>
    <s v="AGENT"/>
    <d v="2026-05-26T18:23:23"/>
    <d v="2026-05-26T18:23:23"/>
    <d v="2026-05-26T18:27:06"/>
    <s v="01152741410"/>
    <s v="2364329160"/>
    <s v="ENTRANTE"/>
    <s v="FULL"/>
    <s v="2364329160-149362539-20260526182323.mp3"/>
    <s v=""/>
    <s v="NAC-CEL"/>
    <s v="NACIONAL"/>
    <s v="PAIS-CELULAR"/>
    <n v="0"/>
    <n v="0"/>
    <n v="0"/>
    <n v="0"/>
    <s v="BL"/>
    <n v="3"/>
    <n v="223"/>
    <s v="NotSet"/>
    <n v="37"/>
    <n v="201"/>
    <n v="2504146"/>
    <s v=""/>
    <s v="|0||SIP/SERVICIOS_SIP-0000a8dc|1779830689.43242|16:Normal Clearing|16:PBX|8||-1|NotSet|"/>
    <s v=""/>
  </r>
  <r>
    <x v="15"/>
    <n v="1123355175"/>
    <x v="0"/>
    <x v="0"/>
    <x v="0"/>
    <x v="0"/>
    <x v="1"/>
    <x v="3"/>
    <s v="No"/>
    <n v="20260526"/>
    <n v="149362075"/>
    <s v="SERVICIOS_SIP"/>
    <s v="NEO1"/>
    <n v="0"/>
    <n v="0"/>
    <s v="CAMPAÑA"/>
    <n v="150"/>
    <s v="8814 - Nievas, Jimena "/>
    <n v="27"/>
    <s v="ANSWER"/>
    <s v="AGENT"/>
    <d v="2026-05-26T17:59:16"/>
    <d v="2026-05-26T17:59:16"/>
    <d v="2026-05-26T18:07:04"/>
    <s v="01152741410"/>
    <s v="1123355175"/>
    <s v="ENTRANTE"/>
    <s v="FULL"/>
    <s v="1123355175-149362075-20260526175916.mp3"/>
    <s v=""/>
    <s v="LOC-FIJO"/>
    <s v="LOCAL-FIJO"/>
    <s v="LOCAL-FIJO"/>
    <n v="0"/>
    <n v="0"/>
    <n v="0"/>
    <n v="0"/>
    <s v="BL"/>
    <n v="3"/>
    <n v="468"/>
    <s v="NotSet"/>
    <n v="37"/>
    <n v="1"/>
    <n v="2506349"/>
    <s v=""/>
    <s v="|0||SIP/SERVICIOS_SIP-0000a428|1779829242.42038|16:Normal Clearing|17:Network|16||-1|NotSet|"/>
    <s v=""/>
  </r>
  <r>
    <x v="15"/>
    <n v="2604350863"/>
    <x v="0"/>
    <x v="0"/>
    <x v="0"/>
    <x v="0"/>
    <x v="1"/>
    <x v="3"/>
    <s v="No"/>
    <n v="20260526"/>
    <n v="149361964"/>
    <s v="SERVICIOS_SIP"/>
    <s v="NEO1"/>
    <n v="0"/>
    <n v="0"/>
    <s v="CAMPAÑA"/>
    <n v="150"/>
    <s v="8864 - González, Maitena"/>
    <n v="27"/>
    <s v="ANSWER"/>
    <s v="AGENT"/>
    <d v="2026-05-26T17:53:44"/>
    <d v="2026-05-26T17:53:45"/>
    <d v="2026-05-26T18:04:08"/>
    <s v="01152741410"/>
    <s v="2604350863"/>
    <s v="ENTRANTE"/>
    <s v="FULL"/>
    <s v="2604350863-149361964-20260526175344.mp3"/>
    <s v=""/>
    <s v="NAC-CEL"/>
    <s v="NACIONAL"/>
    <s v="PAIS-CELULAR"/>
    <n v="0"/>
    <n v="0"/>
    <n v="0"/>
    <n v="0"/>
    <s v="BL"/>
    <n v="3"/>
    <n v="624"/>
    <s v="NotSet"/>
    <n v="37"/>
    <n v="1"/>
    <n v="2506331"/>
    <s v=""/>
    <s v="|0||SIP/SERVICIOS_SIP-0000a328|1779828910.41782|16:Normal Clearing|16:PBX|17|SIP/GQ109-0000a34c|-1|NotSet|"/>
    <s v=""/>
  </r>
  <r>
    <x v="15"/>
    <n v="1139232236"/>
    <x v="0"/>
    <x v="0"/>
    <x v="0"/>
    <x v="0"/>
    <x v="1"/>
    <x v="3"/>
    <s v="No"/>
    <n v="20260526"/>
    <n v="149361310"/>
    <s v="SERVICIOS_SIP"/>
    <s v="NEO1"/>
    <n v="0"/>
    <n v="0"/>
    <s v="CAMPAÑA"/>
    <n v="150"/>
    <s v="8864 - González, Maitena"/>
    <n v="27"/>
    <s v="ANSWER"/>
    <s v="AGENT"/>
    <d v="2026-05-26T17:23:28"/>
    <d v="2026-05-26T17:23:28"/>
    <d v="2026-05-26T17:25:25"/>
    <s v="01152741410"/>
    <s v="1139232236"/>
    <s v="ENTRANTE"/>
    <s v="FULL"/>
    <s v="1139232236-149361310-20260526172327.mp3"/>
    <s v=""/>
    <s v="LOC-FIJO"/>
    <s v="LOCAL-FIJO"/>
    <s v="LOCAL-FIJO"/>
    <n v="0"/>
    <n v="0"/>
    <n v="0"/>
    <n v="0"/>
    <s v="BL"/>
    <n v="3"/>
    <n v="118"/>
    <s v="NotSet"/>
    <n v="37"/>
    <n v="202"/>
    <n v="2501083"/>
    <s v=""/>
    <s v="|0||SIP/SERVICIOS_SIP-00009b98|1779827093.39845|16:Normal Clearing|17:Network|19||-1|NotSet|"/>
    <s v=""/>
  </r>
  <r>
    <x v="15"/>
    <n v="1162647776"/>
    <x v="0"/>
    <x v="0"/>
    <x v="0"/>
    <x v="0"/>
    <x v="1"/>
    <x v="3"/>
    <s v="No"/>
    <n v="20260526"/>
    <n v="149361048"/>
    <s v="SERVICIOS_SIP"/>
    <s v="NEO1"/>
    <n v="0"/>
    <n v="0"/>
    <s v="CAMPAÑA"/>
    <n v="150"/>
    <s v="8864 - González, Maitena"/>
    <n v="27"/>
    <s v="ANSWER"/>
    <s v="AGENT"/>
    <d v="2026-05-26T17:08:23"/>
    <d v="2026-05-26T17:08:23"/>
    <d v="2026-05-26T17:19:31"/>
    <s v="01152741410"/>
    <s v="1162647776"/>
    <s v="ENTRANTE"/>
    <s v="FULL"/>
    <s v="1162647776-149361048-20260526170822.mp3"/>
    <s v=""/>
    <s v="NAC-CEL"/>
    <s v="NACIONAL"/>
    <s v="PAIS-CELULAR"/>
    <n v="0"/>
    <n v="0"/>
    <n v="0"/>
    <n v="0"/>
    <s v="BL"/>
    <n v="3"/>
    <n v="668"/>
    <s v="NotSet"/>
    <n v="37"/>
    <n v="1"/>
    <n v="2506286"/>
    <s v=""/>
    <s v="|0||SIP/SERVICIOS_SIP-00009913|1779826189.39200|16:Normal Clearing|16:PBX|23|SIP/GQ109-0000991d|-1|NotSet|"/>
    <s v=""/>
  </r>
  <r>
    <x v="15"/>
    <n v="2901567264"/>
    <x v="0"/>
    <x v="0"/>
    <x v="0"/>
    <x v="0"/>
    <x v="1"/>
    <x v="4"/>
    <s v="No"/>
    <n v="20260526"/>
    <n v="149360107"/>
    <s v="SERVICIOS_SIP"/>
    <s v="NEO1"/>
    <n v="0"/>
    <n v="0"/>
    <s v="CAMPAÑA"/>
    <n v="150"/>
    <s v="8864 - González, Maitena"/>
    <n v="27"/>
    <s v="ANSWER"/>
    <s v="AGENT"/>
    <d v="2026-05-26T16:33:05"/>
    <d v="2026-05-26T16:33:05"/>
    <d v="2026-05-26T16:40:22"/>
    <s v="01152741410"/>
    <s v="2901567264"/>
    <s v="ENTRANTE"/>
    <s v="FULL"/>
    <s v="2901567264-149360107-20260526163305.mp3"/>
    <s v=""/>
    <s v="NAC-CEL"/>
    <s v="NACIONAL"/>
    <s v="PAIS-CELULAR"/>
    <n v="0"/>
    <n v="0"/>
    <n v="0"/>
    <n v="0"/>
    <s v="BL"/>
    <n v="3"/>
    <n v="437"/>
    <s v="NotSet"/>
    <n v="37"/>
    <n v="201"/>
    <n v="2503512"/>
    <s v=""/>
    <s v="|0||SIP/SERVICIOS_SIP-00008f77|1779824071.36740|16:Normal Clearing|16:PBX|23|SIP/GQ109-00008f97|-1|NotSet|"/>
    <s v=""/>
  </r>
  <r>
    <x v="15"/>
    <n v="3487658297"/>
    <x v="0"/>
    <x v="0"/>
    <x v="0"/>
    <x v="0"/>
    <x v="1"/>
    <x v="5"/>
    <s v="No"/>
    <n v="20260526"/>
    <n v="149358440"/>
    <s v="SERVICIOS_SIP"/>
    <s v="NEO1"/>
    <n v="0"/>
    <n v="0"/>
    <s v="CAMPAÑA"/>
    <n v="150"/>
    <s v="8814 - Nievas, Jimena "/>
    <n v="27"/>
    <s v="ANSWER"/>
    <s v="AGENT"/>
    <d v="2026-05-26T15:22:51"/>
    <d v="2026-05-26T15:22:51"/>
    <d v="2026-05-26T15:35:07"/>
    <s v="01152741410"/>
    <s v="3487658297"/>
    <s v="ENTRANTE"/>
    <s v="FULL"/>
    <s v="3487658297-149358440-20260526152250.mp3"/>
    <s v=""/>
    <s v="NAC-CEL"/>
    <s v="NACIONAL"/>
    <s v="PAIS-CELULAR"/>
    <n v="0"/>
    <n v="0"/>
    <n v="0"/>
    <n v="0"/>
    <s v="BL"/>
    <n v="3"/>
    <n v="737"/>
    <s v="NotSet"/>
    <n v="37"/>
    <n v="202"/>
    <n v="2504608"/>
    <s v=""/>
    <s v="|0||SIP/SERVICIOS_SIP-000070a7|1779819857.28848|16:Normal Clearing|17:Network|8||-1|NotSet|"/>
    <s v=""/>
  </r>
  <r>
    <x v="15"/>
    <n v="1123090695"/>
    <x v="0"/>
    <x v="0"/>
    <x v="0"/>
    <x v="0"/>
    <x v="0"/>
    <x v="6"/>
    <s v="No"/>
    <n v="20260526"/>
    <n v="149357869"/>
    <s v="SERVICIOS_SIP"/>
    <s v="NEO1"/>
    <n v="0"/>
    <n v="0"/>
    <s v="CAMPAÑA"/>
    <n v="150"/>
    <s v="8861 - Caceres, Martina"/>
    <n v="26"/>
    <s v="ANSWER"/>
    <s v="AGENT"/>
    <d v="2026-05-26T14:55:00"/>
    <d v="2026-05-26T14:55:00"/>
    <d v="2026-05-26T14:58:09"/>
    <s v="01152741410"/>
    <s v="1123090695"/>
    <s v="ENTRANTE"/>
    <s v="FULL"/>
    <s v="1123090695-149357869-20260526145459.mp3"/>
    <s v=""/>
    <s v="LOC-FIJO"/>
    <s v="LOCAL-FIJO"/>
    <s v="LOCAL-FIJO"/>
    <n v="0"/>
    <n v="0"/>
    <n v="0"/>
    <n v="0"/>
    <s v="BL"/>
    <n v="3"/>
    <n v="189"/>
    <s v="NotSet"/>
    <n v="37"/>
    <n v="201"/>
    <n v="2505947"/>
    <s v=""/>
    <s v="|0||SIP/SERVICIOS_SIP-00006b64|1779818186.27500|16:Normal Clearing|16:PBX|20||-1|NotSet|"/>
    <s v=""/>
  </r>
  <r>
    <x v="15"/>
    <n v="1131202211"/>
    <x v="0"/>
    <x v="0"/>
    <x v="0"/>
    <x v="0"/>
    <x v="0"/>
    <x v="6"/>
    <s v="No"/>
    <n v="20260526"/>
    <n v="149357457"/>
    <s v="SERVICIOS_SIP"/>
    <s v="NEO1"/>
    <n v="0"/>
    <n v="0"/>
    <s v="CAMPAÑA"/>
    <n v="150"/>
    <s v="8861 - Caceres, Martina"/>
    <n v="26"/>
    <s v="ANSWER"/>
    <s v="AGENT"/>
    <d v="2026-05-26T14:31:33"/>
    <d v="2026-05-26T14:31:33"/>
    <d v="2026-05-26T14:37:02"/>
    <s v="01152741410"/>
    <s v="1131202211"/>
    <s v="ENTRANTE"/>
    <s v="FULL"/>
    <s v="1131202211-149357457-20260526143133.mp3"/>
    <s v=""/>
    <s v="NAC-CEL"/>
    <s v="NACIONAL"/>
    <s v="PAIS-CELULAR"/>
    <n v="0"/>
    <n v="0"/>
    <n v="0"/>
    <n v="0"/>
    <s v="BL"/>
    <n v="3"/>
    <n v="329"/>
    <s v="NotSet"/>
    <n v="37"/>
    <n v="1"/>
    <n v="2506132"/>
    <s v=""/>
    <s v="|0||SIP/SERVICIOS_SIP-000067bb|1779816779.26563|16:Normal Clearing|17:Network|5||-1|NotSet|"/>
    <s v=""/>
  </r>
  <r>
    <x v="15"/>
    <n v="2915053311"/>
    <x v="0"/>
    <x v="0"/>
    <x v="0"/>
    <x v="0"/>
    <x v="0"/>
    <x v="7"/>
    <s v="No"/>
    <n v="20260526"/>
    <n v="149356700"/>
    <s v="SERVICIOS_SIP"/>
    <s v="NEO1"/>
    <n v="0"/>
    <n v="0"/>
    <s v="CAMPAÑA"/>
    <n v="150"/>
    <s v="8787 - Lescano, Eugenia"/>
    <n v="26"/>
    <s v="ANSWER"/>
    <s v="AGENT"/>
    <d v="2026-05-26T13:48:09"/>
    <d v="2026-05-26T13:48:09"/>
    <d v="2026-05-26T13:58:48"/>
    <s v="01152741410"/>
    <s v="2915053311"/>
    <s v="ENTRANTE"/>
    <s v="FULL"/>
    <s v="2915053311-149356700-20260526134809.mp3"/>
    <s v=""/>
    <s v="NAC-CEL"/>
    <s v="NACIONAL"/>
    <s v="PAIS-CELULAR"/>
    <n v="0"/>
    <n v="0"/>
    <n v="0"/>
    <n v="0"/>
    <s v="BL"/>
    <n v="3"/>
    <n v="639"/>
    <s v="NotSet"/>
    <n v="37"/>
    <n v="202"/>
    <n v="2501132"/>
    <s v=""/>
    <s v="|0||SIP/SERVICIOS_SIP-0000603e|1779814175.24646|16:Normal Clearing|16:PBX|8|SIP/GQ118-00006051|-1|NotSet|"/>
    <s v=""/>
  </r>
  <r>
    <x v="15"/>
    <n v="1130686115"/>
    <x v="0"/>
    <x v="0"/>
    <x v="0"/>
    <x v="0"/>
    <x v="2"/>
    <x v="7"/>
    <s v="No"/>
    <n v="20260526"/>
    <n v="149356677"/>
    <s v="SERVICIOS_SIP"/>
    <s v="NEO1"/>
    <n v="0"/>
    <n v="0"/>
    <s v="CAMPAÑA"/>
    <n v="150"/>
    <s v="8737 - Reynoso, Romina "/>
    <n v="0"/>
    <s v="ANSWER"/>
    <s v="AGENT"/>
    <d v="2026-05-26T13:46:41"/>
    <d v="2026-05-26T13:46:41"/>
    <d v="2026-05-26T14:14:02"/>
    <s v="01152741410"/>
    <s v="1130686115"/>
    <s v="ENTRANTE"/>
    <s v="FULL"/>
    <s v="1130686115-149356677-20260526134641.mp3"/>
    <s v=""/>
    <s v="NAC-CEL"/>
    <s v="NACIONAL"/>
    <s v="PAIS-CELULAR"/>
    <n v="0"/>
    <n v="0"/>
    <n v="0"/>
    <n v="0"/>
    <s v="BL"/>
    <n v="3"/>
    <n v="1641"/>
    <s v="NotSet"/>
    <n v="37"/>
    <n v="1"/>
    <n v="2506087"/>
    <s v="May 26 2026  1:48PM"/>
    <s v="|0||SIP/SERVICIOS_SIP-00005ffd|1779814087.24581|16:Normal Clearing|16:PBX|25||-1|NotSet|"/>
    <s v=""/>
  </r>
  <r>
    <x v="15"/>
    <n v="3416603162"/>
    <x v="0"/>
    <x v="0"/>
    <x v="0"/>
    <x v="0"/>
    <x v="0"/>
    <x v="8"/>
    <s v="No"/>
    <n v="20260526"/>
    <n v="149355481"/>
    <s v="SERVICIOS_SIP"/>
    <s v="NEO1"/>
    <n v="0"/>
    <n v="0"/>
    <s v="CAMPAÑA"/>
    <n v="150"/>
    <s v="8861 - Caceres, Martina"/>
    <n v="26"/>
    <s v="ANSWER"/>
    <s v="AGENT"/>
    <d v="2026-05-26T12:53:11"/>
    <d v="2026-05-26T12:53:11"/>
    <d v="2026-05-26T12:55:16"/>
    <s v="01152741410"/>
    <s v="3416603162"/>
    <s v="ENTRANTE"/>
    <s v="FULL"/>
    <s v="3416603162-149355481-20260526125311.mp3"/>
    <s v=""/>
    <s v="NAC-CEL"/>
    <s v="NACIONAL"/>
    <s v="PAIS-CELULAR"/>
    <n v="0"/>
    <n v="0"/>
    <n v="0"/>
    <n v="0"/>
    <s v="BL"/>
    <n v="3"/>
    <n v="126"/>
    <s v="NotSet"/>
    <n v="37"/>
    <n v="1"/>
    <n v="2506025"/>
    <s v=""/>
    <s v="|0||SIP/SERVICIOS_SIP-00005608|1779810877.22030|16:Normal Clearing|16:PBX|26|SIP/GQ106-00005613|-1|NotSet|"/>
    <s v=""/>
  </r>
  <r>
    <x v="15"/>
    <n v="1165515219"/>
    <x v="0"/>
    <x v="0"/>
    <x v="0"/>
    <x v="0"/>
    <x v="0"/>
    <x v="8"/>
    <s v="No"/>
    <n v="20260526"/>
    <n v="149354654"/>
    <s v="SERVICIOS_SIP"/>
    <s v="NEO1"/>
    <n v="0"/>
    <n v="0"/>
    <s v="CAMPAÑA"/>
    <n v="150"/>
    <s v="8160 - QUEVEDO, JOAHANA"/>
    <n v="26"/>
    <s v="ANSWER"/>
    <s v="AGENT"/>
    <d v="2026-05-26T12:12:52"/>
    <d v="2026-05-26T12:12:52"/>
    <d v="2026-05-26T12:20:59"/>
    <s v="01152741410"/>
    <s v="1165515219"/>
    <s v="ENTRANTE"/>
    <s v="FULL"/>
    <s v="1165515219-149354654-20260526121252.mp3"/>
    <s v=""/>
    <s v="NAC-CEL"/>
    <s v="NACIONAL"/>
    <s v="PAIS-CELULAR"/>
    <n v="0"/>
    <n v="0"/>
    <n v="0"/>
    <n v="0"/>
    <s v="BL"/>
    <n v="3"/>
    <n v="487"/>
    <s v="NotSet"/>
    <n v="37"/>
    <n v="1"/>
    <n v="2505977"/>
    <s v=""/>
    <s v="|0||SIP/SERVICIOS_SIP-00004f4a|1779808458.20304|16:Normal Clearing|17:Network|17||-1|NotSet|"/>
    <s v=""/>
  </r>
  <r>
    <x v="15"/>
    <n v="1152778588"/>
    <x v="0"/>
    <x v="0"/>
    <x v="0"/>
    <x v="0"/>
    <x v="0"/>
    <x v="9"/>
    <s v="No"/>
    <n v="20260526"/>
    <n v="149354196"/>
    <s v="SERVICIOS_SIP"/>
    <s v="NEO1"/>
    <n v="0"/>
    <n v="0"/>
    <s v="CAMPAÑA"/>
    <n v="150"/>
    <s v="8160 - QUEVEDO, JOAHANA"/>
    <n v="26"/>
    <s v="ANSWER"/>
    <s v="AGENT"/>
    <d v="2026-05-26T11:55:47"/>
    <d v="2026-05-26T11:55:47"/>
    <d v="2026-05-26T12:02:31"/>
    <s v="01152741410"/>
    <s v="1152778588"/>
    <s v="ENTRANTE"/>
    <s v="FULL"/>
    <s v="1152778588-149354196-20260526115547.mp3"/>
    <s v=""/>
    <s v="LOC-FIJO"/>
    <s v="LOCAL-FIJO"/>
    <s v="LOCAL-FIJO"/>
    <n v="0"/>
    <n v="0"/>
    <n v="0"/>
    <n v="0"/>
    <s v="BL"/>
    <n v="3"/>
    <n v="404"/>
    <s v="NotSet"/>
    <n v="37"/>
    <n v="201"/>
    <n v="2505778"/>
    <s v=""/>
    <s v="|0||SIP/SERVICIOS_SIP-00004b95|1779807433.19355|16:Normal Clearing|17:Network|10||-1|NotSet|"/>
    <s v=""/>
  </r>
  <r>
    <x v="15"/>
    <n v="3863420024"/>
    <x v="0"/>
    <x v="0"/>
    <x v="0"/>
    <x v="0"/>
    <x v="0"/>
    <x v="9"/>
    <s v="No"/>
    <n v="20260526"/>
    <n v="149353863"/>
    <s v="SERVICIOS_SIP"/>
    <s v="NEO1"/>
    <n v="0"/>
    <n v="0"/>
    <s v="CAMPAÑA"/>
    <n v="150"/>
    <s v="8160 - QUEVEDO, JOAHANA"/>
    <n v="26"/>
    <s v="ANSWER"/>
    <s v="AGENT"/>
    <d v="2026-05-26T11:40:58"/>
    <d v="2026-05-26T11:40:59"/>
    <d v="2026-05-26T11:52:15"/>
    <s v="01152741410"/>
    <s v="3863420024"/>
    <s v="ENTRANTE"/>
    <s v="FULL"/>
    <s v="3863420024-149353863-20260526114058.mp3"/>
    <s v=""/>
    <s v="NAC-FIJO"/>
    <s v="TUCUMAN"/>
    <s v="MONTEROS"/>
    <n v="0"/>
    <n v="0"/>
    <n v="0"/>
    <n v="0"/>
    <s v="BL"/>
    <n v="3"/>
    <n v="677"/>
    <s v="NotSet"/>
    <n v="37"/>
    <n v="1"/>
    <n v="2505940"/>
    <s v=""/>
    <s v="|0||SIP/SERVICIOS_SIP-000048d9|1779806544.18655|16:Normal Clearing|17:Network|16||-1|NotSet|"/>
    <s v=""/>
  </r>
  <r>
    <x v="15"/>
    <n v="2216550242"/>
    <x v="0"/>
    <x v="0"/>
    <x v="0"/>
    <x v="0"/>
    <x v="0"/>
    <x v="9"/>
    <s v="No"/>
    <n v="20260526"/>
    <n v="149353637"/>
    <s v="SERVICIOS_SIP"/>
    <s v="NEO1"/>
    <n v="0"/>
    <n v="0"/>
    <s v="CAMPAÑA"/>
    <n v="150"/>
    <s v="8160 - QUEVEDO, JOAHANA"/>
    <n v="26"/>
    <s v="ANSWER"/>
    <s v="AGENT"/>
    <d v="2026-05-26T11:32:43"/>
    <d v="2026-05-26T11:32:43"/>
    <d v="2026-05-26T11:36:22"/>
    <s v="01152741410"/>
    <s v="2216550242"/>
    <s v="ENTRANTE"/>
    <s v="FULL"/>
    <s v="2216550242-149353637-20260526113243.mp3"/>
    <s v=""/>
    <s v="NAC-FIJO"/>
    <s v="BUENOS AIRES"/>
    <s v="LA PLATA"/>
    <n v="0"/>
    <n v="0"/>
    <n v="0"/>
    <n v="0"/>
    <s v="BL"/>
    <n v="3"/>
    <n v="219"/>
    <s v="NotSet"/>
    <n v="37"/>
    <n v="201"/>
    <n v="2504506"/>
    <s v=""/>
    <s v="|0||SIP/SERVICIOS_SIP-0000470a|1779806049.18192|16:Normal Clearing|17:Network|18||-1|NotSet|"/>
    <s v=""/>
  </r>
  <r>
    <x v="15"/>
    <n v="1140318888"/>
    <x v="0"/>
    <x v="0"/>
    <x v="0"/>
    <x v="0"/>
    <x v="0"/>
    <x v="9"/>
    <s v="No"/>
    <n v="20260526"/>
    <n v="149353482"/>
    <s v="SERVICIOS_SIP"/>
    <s v="NEO1"/>
    <n v="0"/>
    <n v="0"/>
    <s v="CAMPAÑA"/>
    <n v="150"/>
    <s v="8861 - Caceres, Martina"/>
    <n v="26"/>
    <s v="ANSWER"/>
    <s v="AGENT"/>
    <d v="2026-05-26T11:25:32"/>
    <d v="2026-05-26T11:25:32"/>
    <d v="2026-05-26T11:44:49"/>
    <s v="01152741410"/>
    <s v="1140318888"/>
    <s v="ENTRANTE"/>
    <s v="FULL"/>
    <s v="1140318888-149353482-20260526112531.mp3"/>
    <s v=""/>
    <s v="NAC-CEL"/>
    <s v="NACIONAL"/>
    <s v="PAIS-CELULAR"/>
    <n v="0"/>
    <n v="0"/>
    <n v="0"/>
    <n v="0"/>
    <s v="BL"/>
    <n v="3"/>
    <n v="1158"/>
    <s v="NotSet"/>
    <n v="37"/>
    <n v="1"/>
    <n v="2505938"/>
    <s v=""/>
    <s v="|0||SIP/SERVICIOS_SIP-000045cd|1779805618.17875|16:Normal Clearing|16:PBX|11||-1|NotSet|"/>
    <s v=""/>
  </r>
  <r>
    <x v="15"/>
    <n v="2302511206"/>
    <x v="0"/>
    <x v="0"/>
    <x v="0"/>
    <x v="0"/>
    <x v="0"/>
    <x v="9"/>
    <s v="No"/>
    <n v="20260526"/>
    <n v="149353409"/>
    <s v="SERVICIOS_SIP"/>
    <s v="NEO1"/>
    <n v="0"/>
    <n v="0"/>
    <s v="CAMPAÑA"/>
    <n v="150"/>
    <s v="8160 - QUEVEDO, JOAHANA"/>
    <n v="26"/>
    <s v="ANSWER"/>
    <s v="AGENT"/>
    <d v="2026-05-26T11:21:48"/>
    <d v="2026-05-26T11:21:48"/>
    <d v="2026-05-26T11:28:26"/>
    <s v="01152741410"/>
    <s v="2302511206"/>
    <s v="ENTRANTE"/>
    <s v="FULL"/>
    <s v="2302511206-149353409-20260526112147.mp3"/>
    <s v=""/>
    <s v="NAC-CEL"/>
    <s v="NACIONAL"/>
    <s v="PAIS-CELULAR"/>
    <n v="0"/>
    <n v="0"/>
    <n v="0"/>
    <n v="0"/>
    <s v="BL"/>
    <n v="3"/>
    <n v="399"/>
    <s v="NotSet"/>
    <n v="37"/>
    <n v="1"/>
    <n v="2505915"/>
    <s v=""/>
    <s v="|0||SIP/SERVICIOS_SIP-00004530|1779805394.17718|16:Normal Clearing|17:Network|18||-1|NotSet|"/>
    <s v=""/>
  </r>
  <r>
    <x v="15"/>
    <n v="1122893620"/>
    <x v="0"/>
    <x v="0"/>
    <x v="0"/>
    <x v="0"/>
    <x v="0"/>
    <x v="9"/>
    <s v="No"/>
    <n v="20260526"/>
    <n v="149353278"/>
    <s v="SERVICIOS_SIP"/>
    <s v="NEO1"/>
    <n v="0"/>
    <n v="0"/>
    <s v="CAMPAÑA"/>
    <n v="150"/>
    <s v="8160 - QUEVEDO, JOAHANA"/>
    <n v="26"/>
    <s v="ANSWER"/>
    <s v="AGENT"/>
    <d v="2026-05-26T11:13:29"/>
    <d v="2026-05-26T11:13:29"/>
    <d v="2026-05-26T11:18:59"/>
    <s v="01152741410"/>
    <s v="1122893620"/>
    <s v="ENTRANTE"/>
    <s v="FULL"/>
    <s v="1122893620-149353278-20260526111328.mp3"/>
    <s v=""/>
    <s v="LOC-FIJO"/>
    <s v="LOCAL-FIJO"/>
    <s v="LOCAL-FIJO"/>
    <n v="0"/>
    <n v="0"/>
    <n v="0"/>
    <n v="0"/>
    <s v="BL"/>
    <n v="3"/>
    <n v="331"/>
    <s v="NotSet"/>
    <n v="37"/>
    <n v="202"/>
    <n v="2504311"/>
    <s v=""/>
    <s v="|0||SIP/SERVICIOS_SIP-0000440c|1779804895.17426|16:Normal Clearing|17:Network|4||-1|NotSet|"/>
    <s v=""/>
  </r>
  <r>
    <x v="15"/>
    <n v="3484560136"/>
    <x v="0"/>
    <x v="0"/>
    <x v="0"/>
    <x v="0"/>
    <x v="0"/>
    <x v="10"/>
    <s v="No"/>
    <n v="20260526"/>
    <n v="149352718"/>
    <s v="SERVICIOS_SIP"/>
    <s v="NEO1"/>
    <n v="0"/>
    <n v="0"/>
    <s v="CAMPAÑA"/>
    <n v="150"/>
    <s v="8160 - QUEVEDO, JOAHANA"/>
    <n v="26"/>
    <s v="ANSWER"/>
    <s v="AGENT"/>
    <d v="2026-05-26T10:48:54"/>
    <d v="2026-05-26T10:48:54"/>
    <d v="2026-05-26T10:53:09"/>
    <s v="01152741410"/>
    <s v="3484560136"/>
    <s v="ENTRANTE"/>
    <s v="FULL"/>
    <s v="3484560136-149352718-20260526104854.mp3"/>
    <s v=""/>
    <s v="NAC-CEL"/>
    <s v="NACIONAL"/>
    <s v="PAIS-CELULAR"/>
    <n v="0"/>
    <n v="0"/>
    <n v="0"/>
    <n v="0"/>
    <s v="BL"/>
    <n v="3"/>
    <n v="255"/>
    <s v="NotSet"/>
    <n v="37"/>
    <n v="1"/>
    <n v="1333377"/>
    <s v="Feb 27 2024 11:30AM"/>
    <s v="|0||SIP/SERVICIOS_SIP-00003f8a|1779803420.16271|16:Normal Clearing|17:Network|1||-1|NotSet|"/>
    <s v=""/>
  </r>
  <r>
    <x v="15"/>
    <n v="1138296219"/>
    <x v="0"/>
    <x v="0"/>
    <x v="0"/>
    <x v="0"/>
    <x v="0"/>
    <x v="10"/>
    <s v="No"/>
    <n v="20260526"/>
    <n v="149352608"/>
    <s v="SERVICIOS_SIP"/>
    <s v="NEO1"/>
    <n v="0"/>
    <n v="0"/>
    <s v="CAMPAÑA"/>
    <n v="150"/>
    <s v="8160 - QUEVEDO, JOAHANA"/>
    <n v="26"/>
    <s v="ANSWER"/>
    <s v="AGENT"/>
    <d v="2026-05-26T10:44:46"/>
    <d v="2026-05-26T10:44:46"/>
    <d v="2026-05-26T10:48:10"/>
    <s v="01152741410"/>
    <s v="1138296219"/>
    <s v="ENTRANTE"/>
    <s v="FULL"/>
    <s v="1138296219-149352608-20260526104446.mp3"/>
    <s v=""/>
    <s v="NAC-CEL"/>
    <s v="NACIONAL"/>
    <s v="PAIS-CELULAR"/>
    <n v="0"/>
    <n v="0"/>
    <n v="0"/>
    <n v="0"/>
    <s v="BL"/>
    <n v="3"/>
    <n v="204"/>
    <s v="NotSet"/>
    <n v="37"/>
    <n v="1"/>
    <n v="64188"/>
    <s v=""/>
    <s v="|0||SIP/SERVICIOS_SIP-00003eb0|1779803172.16053|16:Normal Clearing|17:Network|16||-1|NotSet|"/>
    <s v=""/>
  </r>
  <r>
    <x v="15"/>
    <n v="1161236655"/>
    <x v="0"/>
    <x v="0"/>
    <x v="0"/>
    <x v="0"/>
    <x v="0"/>
    <x v="10"/>
    <s v="No"/>
    <n v="20260526"/>
    <n v="149352510"/>
    <s v="SERVICIOS_SIP"/>
    <s v="NEO1"/>
    <n v="0"/>
    <n v="0"/>
    <s v="CAMPAÑA"/>
    <n v="150"/>
    <s v="8160 - QUEVEDO, JOAHANA"/>
    <n v="26"/>
    <s v="ANSWER"/>
    <s v="AGENT"/>
    <d v="2026-05-26T10:41:36"/>
    <d v="2026-05-26T10:41:36"/>
    <d v="2026-05-26T10:42:30"/>
    <s v="01152741410"/>
    <s v="1161236655"/>
    <s v="ENTRANTE"/>
    <s v="FULL"/>
    <s v="1161236655-149352510-20260526104136.mp3"/>
    <s v=""/>
    <s v="NAC-CEL"/>
    <s v="NACIONAL"/>
    <s v="PAIS-CELULAR"/>
    <n v="0"/>
    <n v="0"/>
    <n v="0"/>
    <n v="0"/>
    <s v="BL"/>
    <n v="3"/>
    <n v="54"/>
    <s v="NotSet"/>
    <n v="37"/>
    <n v="0"/>
    <n v="0"/>
    <s v=""/>
    <s v="|0||SIP/SERVICIOS_SIP-00003de7|1779802982.15852|16:Normal Clearing|17:Network|34||-1|NotSet|"/>
    <s v=""/>
  </r>
  <r>
    <x v="15"/>
    <n v="1168589103"/>
    <x v="0"/>
    <x v="0"/>
    <x v="0"/>
    <x v="0"/>
    <x v="3"/>
    <x v="10"/>
    <s v="No"/>
    <n v="20260526"/>
    <n v="149351721"/>
    <s v="SERVICIOS_SIP"/>
    <s v="NEO1"/>
    <n v="0"/>
    <n v="0"/>
    <s v="CAMPAÑA"/>
    <n v="150"/>
    <s v="8160 - QUEVEDO, JOAHANA"/>
    <n v="5"/>
    <s v="ANSWER"/>
    <s v="AGENT"/>
    <d v="2026-05-26T10:14:49"/>
    <d v="2026-05-26T10:14:49"/>
    <d v="2026-05-26T10:17:00"/>
    <s v="01152741410"/>
    <s v="1168589103"/>
    <s v="ENTRANTE"/>
    <s v="FULL"/>
    <s v="1168589103-149351721-20260526101449.mp3"/>
    <s v=""/>
    <s v="NAC-CEL"/>
    <s v="NACIONAL"/>
    <s v="PAIS-CELULAR"/>
    <n v="0"/>
    <n v="0"/>
    <n v="0"/>
    <n v="0"/>
    <s v="BL"/>
    <n v="3"/>
    <n v="132"/>
    <s v="NotSet"/>
    <n v="37"/>
    <n v="139"/>
    <n v="1243964"/>
    <s v=""/>
    <s v="|0||SIP/SERVICIOS_SIP-0000374b|1779801375.14159|16:Normal Clearing|16:PBX|14|SIP/GQ198-00003765|-1|NotSet|"/>
    <s v=""/>
  </r>
  <r>
    <x v="15"/>
    <n v="1122521178"/>
    <x v="0"/>
    <x v="0"/>
    <x v="0"/>
    <x v="0"/>
    <x v="0"/>
    <x v="0"/>
    <s v="No"/>
    <n v="20260526"/>
    <n v="149350907"/>
    <s v="SERVICIOS_SIP"/>
    <s v="NEO1"/>
    <n v="0"/>
    <n v="0"/>
    <s v="CAMPAÑA"/>
    <n v="150"/>
    <s v="8861 - Caceres, Martina"/>
    <n v="26"/>
    <s v="ANSWER"/>
    <s v="AGENT"/>
    <d v="2026-05-26T09:45:11"/>
    <d v="2026-05-26T09:45:11"/>
    <d v="2026-05-26T09:47:39"/>
    <s v="01152741410"/>
    <s v="1122521178"/>
    <s v="ENTRANTE"/>
    <s v="FULL"/>
    <s v="1122521178-149350907-20260526094511.mp3"/>
    <s v=""/>
    <s v="LOC-FIJO"/>
    <s v="LOCAL-FIJO"/>
    <s v="LOCAL-FIJO"/>
    <n v="0"/>
    <n v="0"/>
    <n v="0"/>
    <n v="0"/>
    <s v="BL"/>
    <n v="3"/>
    <n v="148"/>
    <s v="NotSet"/>
    <n v="37"/>
    <n v="175"/>
    <n v="2229616"/>
    <s v=""/>
    <s v="|0||SIP/SERVICIOS_SIP-00002327|1779799597.9003|16:Normal Clearing|17:Network|6||-1|NotSet|"/>
    <s v=""/>
  </r>
  <r>
    <x v="15"/>
    <n v="1134893678"/>
    <x v="0"/>
    <x v="0"/>
    <x v="0"/>
    <x v="0"/>
    <x v="0"/>
    <x v="0"/>
    <s v="No"/>
    <n v="20260526"/>
    <n v="149349811"/>
    <s v="SERVICIOS_SIP"/>
    <s v="NEO1"/>
    <n v="0"/>
    <n v="0"/>
    <s v="CAMPAÑA"/>
    <n v="150"/>
    <s v="8647 - Molina, Rocio"/>
    <n v="26"/>
    <s v="ANSWER"/>
    <s v="AGENT"/>
    <d v="2026-05-26T09:02:53"/>
    <d v="2026-05-26T09:02:53"/>
    <d v="2026-05-26T09:40:07"/>
    <s v="01152741410"/>
    <s v="1134893678"/>
    <s v="ENTRANTE"/>
    <s v="FULL"/>
    <s v="1134893678-149349811-20260526090253.mp3"/>
    <s v=""/>
    <s v="LOC-FIJO"/>
    <s v="LOCAL-FIJO"/>
    <s v="LOCAL-FIJO"/>
    <n v="0"/>
    <n v="0"/>
    <n v="0"/>
    <n v="0"/>
    <s v="BL"/>
    <n v="3"/>
    <n v="2234"/>
    <s v="NotSet"/>
    <n v="37"/>
    <n v="73"/>
    <n v="2505752"/>
    <s v=""/>
    <s v="|0||SIP/SERVICIOS_SIP-00000c2a|1779797059.3114|16:Normal Clearing|17:Network|21||-1|NotSet|"/>
    <s v=""/>
  </r>
  <r>
    <x v="16"/>
    <n v="1161161973"/>
    <x v="0"/>
    <x v="0"/>
    <x v="0"/>
    <x v="0"/>
    <x v="1"/>
    <x v="11"/>
    <s v="No"/>
    <n v="20260527"/>
    <n v="149377883"/>
    <s v="SERVICIOS_SIP"/>
    <s v="NEO1"/>
    <n v="0"/>
    <n v="0"/>
    <s v="CAMPAÑA"/>
    <n v="150"/>
    <s v="8864 - González, Maitena"/>
    <n v="27"/>
    <s v="ANSWER"/>
    <s v="AGENT"/>
    <d v="2026-05-27T20:11:10"/>
    <d v="2026-05-27T20:11:10"/>
    <d v="2026-05-27T20:13:08"/>
    <s v="01152741410"/>
    <s v="1161161973"/>
    <s v="ENTRANTE"/>
    <s v="FULL"/>
    <s v="1161161973-149377883-20260527201110.mp3"/>
    <s v=""/>
    <s v="NAC-CEL"/>
    <s v="NACIONAL"/>
    <s v="PAIS-CELULAR"/>
    <n v="0"/>
    <n v="0"/>
    <n v="0"/>
    <n v="0"/>
    <s v="BL"/>
    <n v="3"/>
    <n v="118"/>
    <s v="NotSet"/>
    <n v="37"/>
    <n v="201"/>
    <n v="2507398"/>
    <s v=""/>
    <s v="|0||SIP/SERVICIOS_SIP-0001a5c2|1779923558.107988|16:Normal Clearing|17:Network|7||-1|NotSet|"/>
    <s v=""/>
  </r>
  <r>
    <x v="16"/>
    <n v="1125245582"/>
    <x v="0"/>
    <x v="0"/>
    <x v="0"/>
    <x v="0"/>
    <x v="1"/>
    <x v="2"/>
    <s v="No"/>
    <n v="20260527"/>
    <n v="149376607"/>
    <s v="SERVICIOS_SIP"/>
    <s v="NEO1"/>
    <n v="0"/>
    <n v="0"/>
    <s v="CAMPAÑA"/>
    <n v="150"/>
    <s v="8864 - González, Maitena"/>
    <n v="27"/>
    <s v="ANSWER"/>
    <s v="AGENT"/>
    <d v="2026-05-27T18:51:11"/>
    <d v="2026-05-27T18:51:11"/>
    <d v="2026-05-27T18:54:11"/>
    <s v="01152741410"/>
    <s v="1125245582"/>
    <s v="ENTRANTE"/>
    <s v="FULL"/>
    <s v="1125245582-149376607-20260527185110.mp3"/>
    <s v=""/>
    <s v="LOC-FIJO"/>
    <s v="LOCAL-FIJO"/>
    <s v="LOCAL-FIJO"/>
    <n v="0"/>
    <n v="0"/>
    <n v="0"/>
    <n v="0"/>
    <s v="BL"/>
    <n v="3"/>
    <n v="181"/>
    <s v="NotSet"/>
    <n v="37"/>
    <n v="1"/>
    <n v="2507139"/>
    <s v="May 27 2026  2:55PM"/>
    <s v="|0||SIP/SERVICIOS_SIP-000196a4|1779918759.104116|0:Unknown|16:PBX|16||-1|NotSet|"/>
    <s v=""/>
  </r>
  <r>
    <x v="16"/>
    <n v="1138014350"/>
    <x v="0"/>
    <x v="0"/>
    <x v="0"/>
    <x v="0"/>
    <x v="1"/>
    <x v="3"/>
    <s v="No"/>
    <n v="20260527"/>
    <n v="149375586"/>
    <s v="SERVICIOS_SIP"/>
    <s v="NEO1"/>
    <n v="0"/>
    <n v="0"/>
    <s v="CAMPAÑA"/>
    <n v="150"/>
    <s v="8814 - Nievas, Jimena "/>
    <n v="27"/>
    <s v="ANSWER"/>
    <s v="AGENT"/>
    <d v="2026-05-27T17:52:08"/>
    <d v="2026-05-27T17:52:08"/>
    <d v="2026-05-27T17:53:32"/>
    <s v="01152741410"/>
    <s v="1138014350"/>
    <s v="ENTRANTE"/>
    <s v="FULL"/>
    <s v="1138014350-149375586-20260527175207.mp3"/>
    <s v=""/>
    <s v="NAC-CEL"/>
    <s v="NACIONAL"/>
    <s v="PAIS-CELULAR"/>
    <n v="0"/>
    <n v="0"/>
    <n v="0"/>
    <n v="0"/>
    <s v="BL"/>
    <n v="3"/>
    <n v="85"/>
    <s v="NotSet"/>
    <n v="37"/>
    <n v="0"/>
    <n v="0"/>
    <s v=""/>
    <s v="|0||SIP/SERVICIOS_SIP-00018aac|1779915216.101050|16:Normal Clearing|17:Network|30||-1|NotSet|"/>
    <s v=""/>
  </r>
  <r>
    <x v="16"/>
    <n v="1130304009"/>
    <x v="0"/>
    <x v="0"/>
    <x v="0"/>
    <x v="0"/>
    <x v="1"/>
    <x v="4"/>
    <s v="No"/>
    <n v="20260527"/>
    <n v="149374377"/>
    <s v="SERVICIOS_SIP"/>
    <s v="NEO1"/>
    <n v="0"/>
    <n v="0"/>
    <s v="CAMPAÑA"/>
    <n v="150"/>
    <s v="8995 - March, Lucas Ezequiel"/>
    <n v="27"/>
    <s v="ANSWER"/>
    <s v="AGENT"/>
    <d v="2026-05-27T16:41:48"/>
    <d v="2026-05-27T16:41:48"/>
    <d v="2026-05-27T16:46:14"/>
    <s v="01152741410"/>
    <s v="1130304009"/>
    <s v="ENTRANTE"/>
    <s v="FULL"/>
    <s v="1130304009-149374377-20260527164148.mp3"/>
    <s v=""/>
    <s v="NAC-CEL"/>
    <s v="NACIONAL"/>
    <s v="PAIS-CELULAR"/>
    <n v="0"/>
    <n v="0"/>
    <n v="0"/>
    <n v="0"/>
    <s v="BL"/>
    <n v="3"/>
    <n v="266"/>
    <s v="NotSet"/>
    <n v="37"/>
    <n v="116"/>
    <n v="1295019"/>
    <s v=""/>
    <s v="|0||SIP/SERVICIOS_SIP-000069b7|1779910996.27070|16:Normal Clearing|16:PBX|0|SIP/GQ108-000069c1|-1|NotSet|"/>
    <s v=""/>
  </r>
  <r>
    <x v="16"/>
    <n v="3863572933"/>
    <x v="0"/>
    <x v="0"/>
    <x v="0"/>
    <x v="0"/>
    <x v="1"/>
    <x v="4"/>
    <s v="No"/>
    <n v="20260527"/>
    <n v="149374037"/>
    <s v="SERVICIOS_SIP"/>
    <s v="NEO1"/>
    <n v="0"/>
    <n v="0"/>
    <s v="CAMPAÑA"/>
    <n v="150"/>
    <s v="8995 - March, Lucas Ezequiel"/>
    <n v="27"/>
    <s v="ANSWER"/>
    <s v="AGENT"/>
    <d v="2026-05-27T16:17:28"/>
    <d v="2026-05-27T16:17:28"/>
    <d v="2026-05-27T16:20:15"/>
    <s v="01152741410"/>
    <s v="3863572933"/>
    <s v="ENTRANTE"/>
    <s v="FULL"/>
    <s v="3863572933-149374037-20260527161728.mp3"/>
    <s v=""/>
    <s v="NAC-FIJO"/>
    <s v="TUCUMAN"/>
    <s v="MONTEROS"/>
    <n v="0"/>
    <n v="0"/>
    <n v="0"/>
    <n v="0"/>
    <s v="BL"/>
    <n v="3"/>
    <n v="167"/>
    <s v="NotSet"/>
    <n v="37"/>
    <n v="201"/>
    <n v="2501019"/>
    <s v=""/>
    <s v="|0||SIP/SERVICIOS_SIP-00006554|1779909536.25947|16:Normal Clearing|17:Network|3||-1|NotSet|"/>
    <s v=""/>
  </r>
  <r>
    <x v="16"/>
    <n v="1134740543"/>
    <x v="0"/>
    <x v="0"/>
    <x v="0"/>
    <x v="0"/>
    <x v="1"/>
    <x v="5"/>
    <s v="No"/>
    <n v="20260527"/>
    <n v="149373940"/>
    <s v="SERVICIOS_SIP"/>
    <s v="NEO1"/>
    <n v="0"/>
    <n v="0"/>
    <s v="CAMPAÑA"/>
    <n v="150"/>
    <s v="8995 - March, Lucas Ezequiel"/>
    <n v="27"/>
    <s v="ANSWER"/>
    <s v="AGENT"/>
    <d v="2026-05-27T15:48:53"/>
    <d v="2026-05-27T15:48:53"/>
    <d v="2026-05-27T15:58:13"/>
    <s v="01152741410"/>
    <s v="1134740543"/>
    <s v="ENTRANTE"/>
    <s v="FULL"/>
    <s v="1134740543-149373940-20260527154853.mp3"/>
    <s v=""/>
    <s v="LOC-FIJO"/>
    <s v="LOCAL-FIJO"/>
    <s v="LOCAL-FIJO"/>
    <n v="0"/>
    <n v="0"/>
    <n v="0"/>
    <n v="0"/>
    <s v="BL"/>
    <n v="3"/>
    <n v="560"/>
    <s v="NotSet"/>
    <n v="37"/>
    <n v="195"/>
    <n v="2459903"/>
    <s v=""/>
    <s v="|0||SIP/SERVICIOS_SIP-000062bd|1779907821.25284|16:Normal Clearing|17:Network|4||-1|NotSet|"/>
    <s v=""/>
  </r>
  <r>
    <x v="16"/>
    <n v="1140708653"/>
    <x v="0"/>
    <x v="0"/>
    <x v="0"/>
    <x v="0"/>
    <x v="1"/>
    <x v="5"/>
    <s v="No"/>
    <n v="20260527"/>
    <n v="149373091"/>
    <s v="SERVICIOS_SIP"/>
    <s v="NEO1"/>
    <n v="0"/>
    <n v="0"/>
    <s v="CAMPAÑA"/>
    <n v="150"/>
    <s v="8957 - Bustos, Juan Ignacio"/>
    <n v="27"/>
    <s v="ANSWER"/>
    <s v="AGENT"/>
    <d v="2026-05-27T15:04:06"/>
    <d v="2026-05-27T15:04:06"/>
    <d v="2026-05-27T15:16:31"/>
    <s v="01152741410"/>
    <s v="1140708653"/>
    <s v="ENTRANTE"/>
    <s v="FULL"/>
    <s v="1140708653-149373091-20260527150405.mp3"/>
    <s v=""/>
    <s v="NAC-CEL"/>
    <s v="NACIONAL"/>
    <s v="PAIS-CELULAR"/>
    <n v="0"/>
    <n v="0"/>
    <n v="0"/>
    <n v="0"/>
    <s v="BL"/>
    <n v="3"/>
    <n v="746"/>
    <s v="NotSet"/>
    <n v="37"/>
    <n v="201"/>
    <n v="2502192"/>
    <s v=""/>
    <s v="|0||SIP/SERVICIOS_SIP-000059be|1779905134.22981|16:Normal Clearing|16:PBX|8|SIP/GQ109-000059c8|-1|NotSet|"/>
    <s v=""/>
  </r>
  <r>
    <x v="16"/>
    <n v="1135982149"/>
    <x v="0"/>
    <x v="0"/>
    <x v="0"/>
    <x v="0"/>
    <x v="0"/>
    <x v="6"/>
    <s v="No"/>
    <n v="20260527"/>
    <n v="149372412"/>
    <s v="SERVICIOS_SIP"/>
    <s v="NEO1"/>
    <n v="0"/>
    <n v="0"/>
    <s v="CAMPAÑA"/>
    <n v="150"/>
    <s v="8861 - Caceres, Martina"/>
    <n v="26"/>
    <s v="ANSWER"/>
    <s v="AGENT"/>
    <d v="2026-05-27T14:20:41"/>
    <d v="2026-05-27T14:20:41"/>
    <d v="2026-05-27T14:30:11"/>
    <s v="01152741410"/>
    <s v="1135982149"/>
    <s v="ENTRANTE"/>
    <s v="FULL"/>
    <s v="1135982149-149372412-20260527142040.mp3"/>
    <s v=""/>
    <s v="NAC-CEL"/>
    <s v="NACIONAL"/>
    <s v="PAIS-CELULAR"/>
    <n v="0"/>
    <n v="0"/>
    <n v="0"/>
    <n v="0"/>
    <s v="BL"/>
    <n v="3"/>
    <n v="571"/>
    <s v="NotSet"/>
    <n v="37"/>
    <n v="202"/>
    <n v="2484457"/>
    <s v=""/>
    <s v="|0||SIP/SERVICIOS_SIP-000052f1|1779902529.21239|16:Normal Clearing|16:PBX|17|SIP/GQ106-00005303|-1|NotSet|"/>
    <s v=""/>
  </r>
  <r>
    <x v="16"/>
    <n v="3512799120"/>
    <x v="0"/>
    <x v="0"/>
    <x v="0"/>
    <x v="0"/>
    <x v="0"/>
    <x v="7"/>
    <s v="No"/>
    <n v="20260527"/>
    <n v="149371784"/>
    <s v="SERVICIOS_SIP"/>
    <s v="NEO1"/>
    <n v="0"/>
    <n v="0"/>
    <s v="CAMPAÑA"/>
    <n v="150"/>
    <s v="8787 - Lescano, Eugenia"/>
    <n v="26"/>
    <s v="ANSWER"/>
    <s v="AGENT"/>
    <d v="2026-05-27T13:51:08"/>
    <d v="2026-05-27T13:51:08"/>
    <d v="2026-05-27T13:51:44"/>
    <s v="01152741410"/>
    <s v="3512799120"/>
    <s v="ENTRANTE"/>
    <s v="FULL"/>
    <s v="3512799120-149371784-20260527135108.mp3"/>
    <s v=""/>
    <s v="NAC-CEL"/>
    <s v="NACIONAL"/>
    <s v="PAIS-CELULAR"/>
    <n v="0"/>
    <n v="0"/>
    <n v="0"/>
    <n v="0"/>
    <s v="BL"/>
    <n v="3"/>
    <n v="36"/>
    <s v="NotSet"/>
    <n v="37"/>
    <n v="195"/>
    <n v="2408682"/>
    <s v=""/>
    <s v="|0||SIP/SERVICIOS_SIP-00004d13|1779900757.19736|16:Normal Clearing|16:PBX|14|SIP/GQ118-00004d1d|-1|NotSet|"/>
    <s v=""/>
  </r>
  <r>
    <x v="16"/>
    <n v="1134876030"/>
    <x v="0"/>
    <x v="0"/>
    <x v="0"/>
    <x v="0"/>
    <x v="0"/>
    <x v="7"/>
    <s v="No"/>
    <n v="20260527"/>
    <n v="149371651"/>
    <s v="SERVICIOS_SIP"/>
    <s v="NEO1"/>
    <n v="0"/>
    <n v="0"/>
    <s v="CAMPAÑA"/>
    <n v="150"/>
    <s v="8861 - Caceres, Martina"/>
    <n v="26"/>
    <s v="ANSWER"/>
    <s v="AGENT"/>
    <d v="2026-05-27T13:44:40"/>
    <d v="2026-05-27T13:44:40"/>
    <d v="2026-05-27T13:48:00"/>
    <s v="01152741410"/>
    <s v="1134876030"/>
    <s v="ENTRANTE"/>
    <s v="FULL"/>
    <s v="1134876030-149371651-20260527134439.mp3"/>
    <s v=""/>
    <s v="LOC-FIJO"/>
    <s v="LOCAL-FIJO"/>
    <s v="LOCAL-FIJO"/>
    <n v="0"/>
    <n v="0"/>
    <n v="0"/>
    <n v="0"/>
    <s v="BL"/>
    <n v="3"/>
    <n v="200"/>
    <s v="NotSet"/>
    <n v="37"/>
    <n v="187"/>
    <n v="2244326"/>
    <s v=""/>
    <s v="|0||SIP/SERVICIOS_SIP-00004bde|1779900368.19427|16:Normal Clearing|17:Network|22||-1|NotSet|"/>
    <s v=""/>
  </r>
  <r>
    <x v="16"/>
    <n v="1155861950"/>
    <x v="0"/>
    <x v="0"/>
    <x v="0"/>
    <x v="0"/>
    <x v="0"/>
    <x v="9"/>
    <s v="No"/>
    <n v="20260527"/>
    <n v="149368952"/>
    <s v="SERVICIOS_SIP"/>
    <s v="NEO1"/>
    <n v="0"/>
    <n v="0"/>
    <s v="CAMPAÑA"/>
    <n v="150"/>
    <s v="8861 - Caceres, Martina"/>
    <n v="26"/>
    <s v="ANSWER"/>
    <s v="AGENT"/>
    <d v="2026-05-27T11:34:39"/>
    <d v="2026-05-27T11:34:39"/>
    <d v="2026-05-27T11:46:46"/>
    <s v="01152741410"/>
    <s v="1155861950"/>
    <s v="ENTRANTE"/>
    <s v="FULL"/>
    <s v="1155861950-149368952-20260527113438.mp3"/>
    <s v=""/>
    <s v="NAC-CEL"/>
    <s v="NACIONAL"/>
    <s v="PAIS-CELULAR"/>
    <n v="0"/>
    <n v="0"/>
    <n v="0"/>
    <n v="0"/>
    <s v="BL"/>
    <n v="3"/>
    <n v="728"/>
    <s v="NotSet"/>
    <n v="37"/>
    <n v="1"/>
    <n v="2506917"/>
    <s v=""/>
    <s v="|0||SIP/SERVICIOS_SIP-0000332c|1779892567.13105|16:Normal Clearing|16:PBX|11|SIP/GQ106-0000333f|-1|NotSet|"/>
    <s v=""/>
  </r>
  <r>
    <x v="16"/>
    <n v="2984160201"/>
    <x v="0"/>
    <x v="0"/>
    <x v="0"/>
    <x v="0"/>
    <x v="0"/>
    <x v="9"/>
    <s v="No"/>
    <n v="20260527"/>
    <n v="149368909"/>
    <s v="SERVICIOS_SIP"/>
    <s v="NEO1"/>
    <n v="0"/>
    <n v="0"/>
    <s v="CAMPAÑA"/>
    <n v="150"/>
    <s v="8160 - QUEVEDO, JOAHANA"/>
    <n v="26"/>
    <s v="ANSWER"/>
    <s v="AGENT"/>
    <d v="2026-05-27T11:33:07"/>
    <d v="2026-05-27T11:33:07"/>
    <d v="2026-05-27T11:46:21"/>
    <s v="01152741410"/>
    <s v="2984160201"/>
    <s v="ENTRANTE"/>
    <s v="FULL"/>
    <s v="2984160201-149368909-20260527113306.mp3"/>
    <s v=""/>
    <s v="NAC-FIJO"/>
    <s v="RIO NEGRO"/>
    <s v="GENERAL ROCA (PROV. RIO NEGRO)"/>
    <n v="0"/>
    <n v="0"/>
    <n v="0"/>
    <n v="0"/>
    <s v="BL"/>
    <n v="3"/>
    <n v="794"/>
    <s v="NotSet"/>
    <n v="37"/>
    <n v="199"/>
    <n v="2469740"/>
    <s v=""/>
    <s v="|0||SIP/SERVICIOS_SIP-000032d0|1779892475.13013|16:Normal Clearing|17:Network|14||-1|NotSet|"/>
    <s v=""/>
  </r>
  <r>
    <x v="16"/>
    <n v="2920274392"/>
    <x v="0"/>
    <x v="0"/>
    <x v="0"/>
    <x v="0"/>
    <x v="0"/>
    <x v="9"/>
    <s v="No"/>
    <n v="20260527"/>
    <n v="149368536"/>
    <s v="SERVICIOS_SIP"/>
    <s v="NEO1"/>
    <n v="0"/>
    <n v="0"/>
    <s v="CAMPAÑA"/>
    <n v="150"/>
    <s v="8160 - QUEVEDO, JOAHANA"/>
    <n v="26"/>
    <s v="ANSWER"/>
    <s v="AGENT"/>
    <d v="2026-05-27T11:15:04"/>
    <d v="2026-05-27T11:15:04"/>
    <d v="2026-05-27T11:18:44"/>
    <s v="01152741410"/>
    <s v="2920274392"/>
    <s v="ENTRANTE"/>
    <s v="FULL"/>
    <s v="2920274392-149368536-20260527111504.mp3"/>
    <s v=""/>
    <s v="NAC-FIJO"/>
    <s v="RIO NEGRO"/>
    <s v="VIEDMA"/>
    <n v="0"/>
    <n v="0"/>
    <n v="0"/>
    <n v="0"/>
    <s v="BL"/>
    <n v="3"/>
    <n v="220"/>
    <s v="NotSet"/>
    <n v="37"/>
    <n v="1"/>
    <n v="2506894"/>
    <s v="May 27 2026 11:17AM"/>
    <s v="|0||SIP/SERVICIOS_SIP-00002ee0|1779891393.12004|16:Normal Clearing|17:Network|13||-1|NotSet|"/>
    <s v=""/>
  </r>
  <r>
    <x v="16"/>
    <n v="1163519484"/>
    <x v="0"/>
    <x v="0"/>
    <x v="0"/>
    <x v="0"/>
    <x v="0"/>
    <x v="10"/>
    <s v="No"/>
    <n v="20260527"/>
    <n v="149367954"/>
    <s v="SERVICIOS_SIP"/>
    <s v="NEO1"/>
    <n v="0"/>
    <n v="0"/>
    <s v="CAMPAÑA"/>
    <n v="150"/>
    <s v="8160 - QUEVEDO, JOAHANA"/>
    <n v="26"/>
    <s v="ANSWER"/>
    <s v="AGENT"/>
    <d v="2026-05-27T10:50:39"/>
    <d v="2026-05-27T10:50:39"/>
    <d v="2026-05-27T10:51:23"/>
    <s v="01152741410"/>
    <s v="1163519484"/>
    <s v="ENTRANTE"/>
    <s v="FULL"/>
    <s v="1163519484-149367954-20260527105038.mp3"/>
    <s v=""/>
    <s v="NAC-CEL"/>
    <s v="NACIONAL"/>
    <s v="PAIS-CELULAR"/>
    <n v="0"/>
    <n v="0"/>
    <n v="0"/>
    <n v="0"/>
    <s v="BL"/>
    <n v="3"/>
    <n v="45"/>
    <s v="NotSet"/>
    <n v="37"/>
    <n v="0"/>
    <n v="0"/>
    <s v=""/>
    <s v="|0||SIP/SERVICIOS_SIP-00002985|1779889927.10633|16:Normal Clearing|17:Network|12||-1|NotSet|"/>
    <s v=""/>
  </r>
  <r>
    <x v="16"/>
    <n v="1144083216"/>
    <x v="0"/>
    <x v="0"/>
    <x v="0"/>
    <x v="0"/>
    <x v="0"/>
    <x v="10"/>
    <s v="No"/>
    <n v="20260527"/>
    <n v="149367287"/>
    <s v="SERVICIOS_SIP"/>
    <s v="NEO1"/>
    <n v="0"/>
    <n v="0"/>
    <s v="CAMPAÑA"/>
    <n v="150"/>
    <s v="8160 - QUEVEDO, JOAHANA"/>
    <n v="26"/>
    <s v="ANSWER"/>
    <s v="AGENT"/>
    <d v="2026-05-27T10:23:21"/>
    <d v="2026-05-27T10:23:21"/>
    <d v="2026-05-27T10:28:25"/>
    <s v="01152741410"/>
    <s v="1144083216"/>
    <s v="ENTRANTE"/>
    <s v="FULL"/>
    <s v="1144083216-149367287-20260527102321.mp3"/>
    <s v=""/>
    <s v="NAC-CEL"/>
    <s v="NACIONAL"/>
    <s v="PAIS-CELULAR"/>
    <n v="0"/>
    <n v="0"/>
    <n v="0"/>
    <n v="0"/>
    <s v="BL"/>
    <n v="3"/>
    <n v="305"/>
    <s v="NotSet"/>
    <n v="37"/>
    <n v="198"/>
    <n v="2453607"/>
    <s v=""/>
    <s v="|0||SIP/SERVICIOS_SIP-00002358|1779888289.9052|16:Normal Clearing|17:Network|26||-1|NotSet|"/>
    <s v=""/>
  </r>
  <r>
    <x v="16"/>
    <n v="1127458481"/>
    <x v="0"/>
    <x v="0"/>
    <x v="0"/>
    <x v="0"/>
    <x v="3"/>
    <x v="10"/>
    <s v="No"/>
    <n v="20260527"/>
    <n v="149367033"/>
    <s v="SERVICIOS_SIP"/>
    <s v="NEO1"/>
    <n v="0"/>
    <n v="0"/>
    <s v="CAMPAÑA"/>
    <n v="150"/>
    <s v="8160 - QUEVEDO, JOAHANA"/>
    <n v="5"/>
    <s v="ANSWER"/>
    <s v="AGENT"/>
    <d v="2026-05-27T10:07:20"/>
    <d v="2026-05-27T10:07:20"/>
    <d v="2026-05-27T10:09:10"/>
    <s v="01152741410"/>
    <s v="1127458481"/>
    <s v="ENTRANTE"/>
    <s v="FULL"/>
    <s v="1127458481-149367033-20260527100720.mp3"/>
    <s v=""/>
    <s v="LOC-FIJO"/>
    <s v="LOCAL-FIJO"/>
    <s v="LOCAL-FIJO"/>
    <n v="0"/>
    <n v="0"/>
    <n v="0"/>
    <n v="0"/>
    <s v="BL"/>
    <n v="3"/>
    <n v="111"/>
    <s v="NotSet"/>
    <n v="37"/>
    <n v="0"/>
    <n v="0"/>
    <s v=""/>
    <s v="|0||SIP/SERVICIOS_SIP-000020e5|1779887328.8425|16:Normal Clearing|17:Network|13||-1|NotSet|"/>
    <s v=""/>
  </r>
  <r>
    <x v="16"/>
    <n v="1177321638"/>
    <x v="0"/>
    <x v="0"/>
    <x v="0"/>
    <x v="0"/>
    <x v="3"/>
    <x v="0"/>
    <s v="No"/>
    <n v="20260527"/>
    <n v="149366153"/>
    <s v="SERVICIOS_SIP"/>
    <s v="NEO1"/>
    <n v="0"/>
    <n v="0"/>
    <s v="CAMPAÑA"/>
    <n v="150"/>
    <s v="8861 - Caceres, Martina"/>
    <n v="5"/>
    <s v="ANSWER"/>
    <s v="AGENT"/>
    <d v="2026-05-27T09:24:35"/>
    <d v="2026-05-27T09:24:35"/>
    <d v="2026-05-27T09:27:41"/>
    <s v="01152741410"/>
    <s v="1177321638"/>
    <s v="ENTRANTE"/>
    <s v="FULL"/>
    <s v="1177321638-149366153-20260527092434.mp3"/>
    <s v=""/>
    <s v="LOC-FIJO"/>
    <s v="LOCAL-FIJO"/>
    <s v="LOCAL-FIJO"/>
    <n v="0"/>
    <n v="0"/>
    <n v="0"/>
    <n v="0"/>
    <s v="BL"/>
    <n v="3"/>
    <n v="187"/>
    <s v="NotSet"/>
    <n v="37"/>
    <n v="1"/>
    <n v="2506784"/>
    <s v=""/>
    <s v="|0||SIP/SERVICIOS_SIP-00001856|1779884763.6232|16:Normal Clearing|16:PBX|21|SIP/GQ106-00001867|-1|NotSet|"/>
    <s v=""/>
  </r>
  <r>
    <x v="16"/>
    <n v="1126144728"/>
    <x v="0"/>
    <x v="0"/>
    <x v="0"/>
    <x v="0"/>
    <x v="0"/>
    <x v="0"/>
    <s v="No"/>
    <n v="20260527"/>
    <n v="149366118"/>
    <s v="SERVICIOS_SIP"/>
    <s v="NEO1"/>
    <n v="0"/>
    <n v="0"/>
    <s v="CAMPAÑA"/>
    <n v="150"/>
    <s v="8160 - QUEVEDO, JOAHANA"/>
    <n v="26"/>
    <s v="ANSWER"/>
    <s v="AGENT"/>
    <d v="2026-05-27T09:22:57"/>
    <d v="2026-05-27T09:22:57"/>
    <d v="2026-05-27T09:29:50"/>
    <s v="01152741410"/>
    <s v="1126144728"/>
    <s v="ENTRANTE"/>
    <s v="FULL"/>
    <s v="1126144728-149366118-20260527092257.mp3"/>
    <s v=""/>
    <s v="LOC-FIJO"/>
    <s v="LOCAL-FIJO"/>
    <s v="LOCAL-FIJO"/>
    <n v="0"/>
    <n v="0"/>
    <n v="0"/>
    <n v="0"/>
    <s v="BL"/>
    <n v="3"/>
    <n v="413"/>
    <s v="NotSet"/>
    <n v="37"/>
    <n v="1"/>
    <n v="2506785"/>
    <s v=""/>
    <s v="|0||SIP/SERVICIOS_SIP-00001802|1779884666.6148|16:Normal Clearing|17:Network|11||-1|NotSet|"/>
    <s v=""/>
  </r>
  <r>
    <x v="17"/>
    <n v="1133311989"/>
    <x v="0"/>
    <x v="0"/>
    <x v="0"/>
    <x v="0"/>
    <x v="1"/>
    <x v="3"/>
    <s v="No"/>
    <n v="20260528"/>
    <n v="149389275"/>
    <s v="SERVICIOS_SIP"/>
    <s v="NEO1"/>
    <n v="0"/>
    <n v="0"/>
    <s v="CAMPAÑA"/>
    <n v="150"/>
    <s v="8814 - Nievas, Jimena "/>
    <n v="27"/>
    <s v="ANSWER"/>
    <s v="AGENT"/>
    <d v="2026-05-28T17:35:50"/>
    <d v="2026-05-28T17:35:50"/>
    <d v="2026-05-28T18:16:49"/>
    <s v="01152741410"/>
    <s v="1133311989"/>
    <s v="ENTRANTE"/>
    <s v="FULL"/>
    <s v="1133311989-149389275-20260528173550.mp3"/>
    <s v=""/>
    <s v="NAC-CEL"/>
    <s v="NACIONAL"/>
    <s v="PAIS-CELULAR"/>
    <n v="0"/>
    <n v="0"/>
    <n v="0"/>
    <n v="0"/>
    <s v="BL"/>
    <n v="3"/>
    <n v="2459"/>
    <s v="NotSet"/>
    <n v="37"/>
    <n v="0"/>
    <n v="0"/>
    <s v=""/>
    <s v="|0||SIP/SERVICIOS_SIP-000152c1|1780000641.86734|16:Normal Clearing|17:Network|3||-1|NotSet|"/>
    <s v=""/>
  </r>
  <r>
    <x v="17"/>
    <n v="1156144228"/>
    <x v="0"/>
    <x v="0"/>
    <x v="0"/>
    <x v="0"/>
    <x v="1"/>
    <x v="3"/>
    <s v="No"/>
    <n v="20260528"/>
    <n v="149389023"/>
    <s v="SERVICIOS_SIP"/>
    <s v="NEO1"/>
    <n v="0"/>
    <n v="0"/>
    <s v="CAMPAÑA"/>
    <n v="150"/>
    <s v="8864 - González, Maitena"/>
    <n v="27"/>
    <s v="ANSWER"/>
    <s v="AGENT"/>
    <d v="2026-05-28T17:22:29"/>
    <d v="2026-05-28T17:22:29"/>
    <d v="2026-05-28T17:28:59"/>
    <s v="01152741410"/>
    <s v="1156144228"/>
    <s v="ENTRANTE"/>
    <s v="FULL"/>
    <s v="1156144228-149389023-20260528172228.mp3"/>
    <s v=""/>
    <s v="NAC-CEL"/>
    <s v="NACIONAL"/>
    <s v="PAIS-CELULAR"/>
    <n v="0"/>
    <n v="0"/>
    <n v="0"/>
    <n v="0"/>
    <s v="BL"/>
    <n v="3"/>
    <n v="391"/>
    <s v="NotSet"/>
    <n v="37"/>
    <n v="202"/>
    <n v="2503297"/>
    <s v=""/>
    <s v="|0||SIP/SERVICIOS_SIP-00014e2f|1779999839.85562|16:Normal Clearing|16:PBX|18|SIP/GQ198-00014e41|-1|NotSet|"/>
    <s v=""/>
  </r>
  <r>
    <x v="17"/>
    <n v="1128614148"/>
    <x v="0"/>
    <x v="0"/>
    <x v="0"/>
    <x v="0"/>
    <x v="1"/>
    <x v="3"/>
    <s v="No"/>
    <n v="20260528"/>
    <n v="149388828"/>
    <s v="SERVICIOS_SIP"/>
    <s v="NEO1"/>
    <n v="0"/>
    <n v="0"/>
    <s v="CAMPAÑA"/>
    <n v="150"/>
    <s v="8995 - March, Lucas Ezequiel"/>
    <n v="27"/>
    <s v="ANSWER"/>
    <s v="AGENT"/>
    <d v="2026-05-28T17:10:37"/>
    <d v="2026-05-28T17:10:38"/>
    <d v="2026-05-28T17:25:25"/>
    <s v="01152741410"/>
    <s v="1128614148"/>
    <s v="ENTRANTE"/>
    <s v="FULL"/>
    <s v="1128614148-149388828-20260528171037.mp3"/>
    <s v=""/>
    <s v="LOC-FIJO"/>
    <s v="LOCAL-FIJO"/>
    <s v="LOCAL-FIJO"/>
    <n v="0"/>
    <n v="0"/>
    <n v="0"/>
    <n v="0"/>
    <s v="BL"/>
    <n v="3"/>
    <n v="888"/>
    <s v="NotSet"/>
    <n v="37"/>
    <n v="201"/>
    <n v="2507767"/>
    <s v=""/>
    <s v="|0||SIP/SERVICIOS_SIP-00014a98|1779999128.84641|16:Normal Clearing|17:Network|13||-1|NotSet|"/>
    <s v=""/>
  </r>
  <r>
    <x v="17"/>
    <n v="2996568948"/>
    <x v="0"/>
    <x v="0"/>
    <x v="0"/>
    <x v="0"/>
    <x v="1"/>
    <x v="4"/>
    <s v="No"/>
    <n v="20260528"/>
    <n v="149388556"/>
    <s v="SERVICIOS_SIP"/>
    <s v="NEO1"/>
    <n v="0"/>
    <n v="0"/>
    <s v="CAMPAÑA"/>
    <n v="150"/>
    <s v="8995 - March, Lucas Ezequiel"/>
    <n v="27"/>
    <s v="ANSWER"/>
    <s v="AGENT"/>
    <d v="2026-05-28T16:55:14"/>
    <d v="2026-05-28T16:55:14"/>
    <d v="2026-05-28T16:57:26"/>
    <s v="01152741410"/>
    <s v="2996568948"/>
    <s v="ENTRANTE"/>
    <s v="FULL"/>
    <s v="2996568948-149388556-20260528165514.mp3"/>
    <s v=""/>
    <s v="NAC-FIJO"/>
    <s v="NEUQUEN"/>
    <s v="NEUQUEN"/>
    <n v="0"/>
    <n v="0"/>
    <n v="0"/>
    <n v="0"/>
    <s v="BL"/>
    <n v="3"/>
    <n v="132"/>
    <s v="NotSet"/>
    <n v="37"/>
    <n v="202"/>
    <n v="2507714"/>
    <s v=""/>
    <s v="|0||SIP/SERVICIOS_SIP-000145e5|1779998205.83438|16:Normal Clearing|17:Network|8||-1|NotSet|"/>
    <s v=""/>
  </r>
  <r>
    <x v="17"/>
    <n v="1160269326"/>
    <x v="0"/>
    <x v="0"/>
    <x v="0"/>
    <x v="0"/>
    <x v="1"/>
    <x v="4"/>
    <s v="No"/>
    <n v="20260528"/>
    <n v="149388240"/>
    <s v="SERVICIOS_SIP"/>
    <s v="NEO1"/>
    <n v="0"/>
    <n v="0"/>
    <s v="CAMPAÑA"/>
    <n v="150"/>
    <s v="8995 - March, Lucas Ezequiel"/>
    <n v="27"/>
    <s v="ANSWER"/>
    <s v="AGENT"/>
    <d v="2026-05-28T16:39:18"/>
    <d v="2026-05-28T16:39:18"/>
    <d v="2026-05-28T16:54:41"/>
    <s v="01152741410"/>
    <s v="1160269326"/>
    <s v="ENTRANTE"/>
    <s v="FULL"/>
    <s v="1160269326-149388240-20260528163917.mp3"/>
    <s v=""/>
    <s v="NAC-CEL"/>
    <s v="NACIONAL"/>
    <s v="PAIS-CELULAR"/>
    <n v="0"/>
    <n v="0"/>
    <n v="0"/>
    <n v="0"/>
    <s v="BL"/>
    <n v="3"/>
    <n v="923"/>
    <s v="NotSet"/>
    <n v="37"/>
    <n v="202"/>
    <n v="2507601"/>
    <s v=""/>
    <s v="|0||SIP/SERVICIOS_SIP-00014052|1779997248.82011|16:Normal Clearing|16:PBX|27||-1|NotSet|"/>
    <s v=""/>
  </r>
  <r>
    <x v="17"/>
    <n v="1143633800"/>
    <x v="0"/>
    <x v="0"/>
    <x v="0"/>
    <x v="0"/>
    <x v="1"/>
    <x v="5"/>
    <s v="No"/>
    <n v="20260528"/>
    <n v="149386614"/>
    <s v="SERVICIOS_SIP"/>
    <s v="NEO1"/>
    <n v="0"/>
    <n v="0"/>
    <s v="CAMPAÑA"/>
    <n v="150"/>
    <s v="8995 - March, Lucas Ezequiel"/>
    <n v="27"/>
    <s v="ANSWER"/>
    <s v="AGENT"/>
    <d v="2026-05-28T15:12:40"/>
    <d v="2026-05-28T15:12:40"/>
    <d v="2026-05-28T15:16:30"/>
    <s v="01152741410"/>
    <s v="1143633800"/>
    <s v="ENTRANTE"/>
    <s v="FULL"/>
    <s v="1143633800-149386614-20260528151240.mp3"/>
    <s v=""/>
    <s v="LOC-FIJO"/>
    <s v="LOCAL-FIJO"/>
    <s v="LOCAL-FIJO"/>
    <n v="0"/>
    <n v="0"/>
    <n v="0"/>
    <n v="0"/>
    <s v="BL"/>
    <n v="3"/>
    <n v="231"/>
    <s v="NotSet"/>
    <n v="37"/>
    <n v="0"/>
    <n v="0"/>
    <s v=""/>
    <s v="|0||SIP/SERVICIOS_SIP-0001216d|1779992051.74100|16:Normal Clearing|16:PBX|17|SIP/GQ113-0001217f|-1|NotSet|"/>
    <s v=""/>
  </r>
  <r>
    <x v="17"/>
    <n v="1158624619"/>
    <x v="0"/>
    <x v="0"/>
    <x v="0"/>
    <x v="0"/>
    <x v="0"/>
    <x v="6"/>
    <s v="No"/>
    <n v="20260528"/>
    <n v="149386440"/>
    <s v="SERVICIOS_SIP"/>
    <s v="NEO1"/>
    <n v="0"/>
    <n v="0"/>
    <s v="CAMPAÑA"/>
    <n v="150"/>
    <s v="8927 - Lizarrondo, Candela"/>
    <n v="26"/>
    <s v="ANSWER"/>
    <s v="AGENT"/>
    <d v="2026-05-28T14:59:17"/>
    <d v="2026-05-28T14:59:18"/>
    <d v="2026-05-28T15:06:15"/>
    <s v="01152741410"/>
    <s v="1158624619"/>
    <s v="ENTRANTE"/>
    <s v="FULL"/>
    <s v="1158624619-149386440-20260528145917.mp3"/>
    <s v=""/>
    <s v="NAC-CEL"/>
    <s v="NACIONAL"/>
    <s v="PAIS-CELULAR"/>
    <n v="0"/>
    <n v="0"/>
    <n v="0"/>
    <n v="0"/>
    <s v="BL"/>
    <n v="3"/>
    <n v="417"/>
    <s v="NotSet"/>
    <n v="37"/>
    <n v="1"/>
    <n v="2508095"/>
    <s v="May 28 2026  3:00PM"/>
    <s v="|0||SIP/SERVICIOS_SIP-00011dc9|1779991248.73168|16:Normal Clearing|16:PBX|10|SIP/GQ108-00011de9|-1|NotSet|"/>
    <s v=""/>
  </r>
  <r>
    <x v="17"/>
    <n v="1122840350"/>
    <x v="0"/>
    <x v="0"/>
    <x v="0"/>
    <x v="0"/>
    <x v="0"/>
    <x v="6"/>
    <s v="No"/>
    <n v="20260528"/>
    <n v="149386358"/>
    <s v="SERVICIOS_SIP"/>
    <s v="NEO1"/>
    <n v="0"/>
    <n v="0"/>
    <s v="CAMPAÑA"/>
    <n v="150"/>
    <s v="8861 - Caceres, Martina"/>
    <n v="26"/>
    <s v="ANSWER"/>
    <s v="AGENT"/>
    <d v="2026-05-28T14:56:00"/>
    <d v="2026-05-28T14:56:00"/>
    <d v="2026-05-28T15:06:46"/>
    <s v="01152741410"/>
    <s v="1122840350"/>
    <s v="ENTRANTE"/>
    <s v="FULL"/>
    <s v="1122840350-149386358-20260528145559.mp3"/>
    <s v=""/>
    <s v="LOC-FIJO"/>
    <s v="LOCAL-FIJO"/>
    <s v="LOCAL-FIJO"/>
    <n v="0"/>
    <n v="0"/>
    <n v="0"/>
    <n v="0"/>
    <s v="BL"/>
    <n v="3"/>
    <n v="647"/>
    <s v="NotSet"/>
    <n v="37"/>
    <n v="1"/>
    <n v="2508090"/>
    <s v=""/>
    <s v="|0||SIP/SERVICIOS_SIP-00011c98|1779991050.72863|16:Normal Clearing|16:PBX|3|SIP/GQ106-00011cc3|-1|NotSet|"/>
    <s v=""/>
  </r>
  <r>
    <x v="17"/>
    <n v="2984120341"/>
    <x v="0"/>
    <x v="0"/>
    <x v="0"/>
    <x v="0"/>
    <x v="0"/>
    <x v="7"/>
    <s v="No"/>
    <n v="20260528"/>
    <n v="149385229"/>
    <s v="SERVICIOS_SIP"/>
    <s v="NEO1"/>
    <n v="0"/>
    <n v="0"/>
    <s v="CAMPAÑA"/>
    <n v="150"/>
    <s v="8160 - QUEVEDO, JOAHANA"/>
    <n v="26"/>
    <s v="ANSWER"/>
    <s v="AGENT"/>
    <d v="2026-05-28T13:55:07"/>
    <d v="2026-05-28T13:55:07"/>
    <d v="2026-05-28T14:02:35"/>
    <s v="01152741410"/>
    <s v="2984120341"/>
    <s v="ENTRANTE"/>
    <s v="FULL"/>
    <s v="2984120341-149385229-20260528135507.mp3"/>
    <s v=""/>
    <s v="NAC-FIJO"/>
    <s v="RIO NEGRO"/>
    <s v="GENERAL ROCA (PROV. RIO NEGRO)"/>
    <n v="0"/>
    <n v="0"/>
    <n v="0"/>
    <n v="0"/>
    <s v="BL"/>
    <n v="3"/>
    <n v="448"/>
    <s v="NotSet"/>
    <n v="37"/>
    <n v="201"/>
    <n v="2506159"/>
    <s v=""/>
    <s v="|0||SIP/SERVICIOS_SIP-000109c6|1779987398.68044|16:Normal Clearing|16:PBX|5|SIP/GQ198-000109cd|-1|NotSet|"/>
    <s v=""/>
  </r>
  <r>
    <x v="17"/>
    <n v="1125961690"/>
    <x v="0"/>
    <x v="0"/>
    <x v="0"/>
    <x v="0"/>
    <x v="0"/>
    <x v="7"/>
    <s v="No"/>
    <n v="20260528"/>
    <n v="149385117"/>
    <s v="SERVICIOS_SIP"/>
    <s v="NEO1"/>
    <n v="0"/>
    <n v="0"/>
    <s v="CAMPAÑA"/>
    <n v="150"/>
    <s v="8160 - QUEVEDO, JOAHANA"/>
    <n v="26"/>
    <s v="ANSWER"/>
    <s v="AGENT"/>
    <d v="2026-05-28T13:45:45"/>
    <d v="2026-05-28T13:45:45"/>
    <d v="2026-05-28T13:48:21"/>
    <s v="01152741410"/>
    <s v="1125961690"/>
    <s v="ENTRANTE"/>
    <s v="FULL"/>
    <s v="1125961690-149385117-20260528134544.mp3"/>
    <s v=""/>
    <s v="LOC-FIJO"/>
    <s v="LOCAL-FIJO"/>
    <s v="LOCAL-FIJO"/>
    <n v="0"/>
    <n v="0"/>
    <n v="0"/>
    <n v="0"/>
    <s v="BL"/>
    <n v="3"/>
    <n v="156"/>
    <s v="NotSet"/>
    <n v="37"/>
    <n v="201"/>
    <n v="2508012"/>
    <s v=""/>
    <s v="|0||SIP/SERVICIOS_SIP-0001074e|1779986836.67412|16:Normal Clearing|17:Network|4||-1|NotSet|"/>
    <s v=""/>
  </r>
  <r>
    <x v="17"/>
    <n v="3794378545"/>
    <x v="0"/>
    <x v="0"/>
    <x v="0"/>
    <x v="0"/>
    <x v="0"/>
    <x v="7"/>
    <s v="No"/>
    <n v="20260528"/>
    <n v="149384931"/>
    <s v="SERVICIOS_SIP"/>
    <s v="NEO1"/>
    <n v="0"/>
    <n v="0"/>
    <s v="CAMPAÑA"/>
    <n v="150"/>
    <s v="8787 - Lescano, Eugenia"/>
    <n v="26"/>
    <s v="ANSWER"/>
    <s v="AGENT"/>
    <d v="2026-05-28T13:36:09"/>
    <d v="2026-05-28T13:36:09"/>
    <d v="2026-05-28T13:47:21"/>
    <s v="01152741410"/>
    <s v="3794378545"/>
    <s v="ENTRANTE"/>
    <s v="FULL"/>
    <s v="3794378545-149384931-20260528133608.mp3"/>
    <s v=""/>
    <s v="NAC-CEL"/>
    <s v="NACIONAL"/>
    <s v="PAIS-CELULAR"/>
    <n v="0"/>
    <n v="0"/>
    <n v="0"/>
    <n v="0"/>
    <s v="BL"/>
    <n v="3"/>
    <n v="673"/>
    <s v="NotSet"/>
    <n v="37"/>
    <n v="164"/>
    <n v="2508009"/>
    <s v=""/>
    <s v="|0||SIP/SERVICIOS_SIP-00010461|1779986260.66663|16:Normal Clearing|16:PBX|19|SIP/GQ118-00010478|-1|NotSet|"/>
    <s v=""/>
  </r>
  <r>
    <x v="17"/>
    <n v="1136351100"/>
    <x v="0"/>
    <x v="0"/>
    <x v="0"/>
    <x v="0"/>
    <x v="0"/>
    <x v="8"/>
    <s v="No"/>
    <n v="20260528"/>
    <n v="149383806"/>
    <s v="SERVICIOS_SIP"/>
    <s v="NEO1"/>
    <n v="0"/>
    <n v="0"/>
    <s v="CAMPAÑA"/>
    <n v="150"/>
    <s v="8160 - QUEVEDO, JOAHANA"/>
    <n v="26"/>
    <s v="ANSWER"/>
    <s v="AGENT"/>
    <d v="2026-05-28T12:46:16"/>
    <d v="2026-05-28T12:46:16"/>
    <d v="2026-05-28T12:52:23"/>
    <s v="01152741410"/>
    <s v="1136351100"/>
    <s v="ENTRANTE"/>
    <s v="FULL"/>
    <s v="1136351100-149383806-20260528124616.mp3"/>
    <s v=""/>
    <s v="NAC-CEL"/>
    <s v="NACIONAL"/>
    <s v="PAIS-CELULAR"/>
    <n v="0"/>
    <n v="0"/>
    <n v="0"/>
    <n v="0"/>
    <s v="BL"/>
    <n v="3"/>
    <n v="367"/>
    <s v="NotSet"/>
    <n v="37"/>
    <n v="201"/>
    <n v="2499489"/>
    <s v=""/>
    <s v="|0||SIP/SERVICIOS_SIP-0000f378|1779983267.62334|16:Normal Clearing|17:Network|14||-1|NotSet|"/>
    <s v=""/>
  </r>
  <r>
    <x v="17"/>
    <n v="2975095182"/>
    <x v="0"/>
    <x v="0"/>
    <x v="0"/>
    <x v="0"/>
    <x v="0"/>
    <x v="8"/>
    <s v="No"/>
    <n v="20260528"/>
    <n v="149383671"/>
    <s v="SERVICIOS_SIP"/>
    <s v="NEO1"/>
    <n v="0"/>
    <n v="0"/>
    <s v="CAMPAÑA"/>
    <n v="150"/>
    <s v="8160 - QUEVEDO, JOAHANA"/>
    <n v="26"/>
    <s v="ANSWER"/>
    <s v="AGENT"/>
    <d v="2026-05-28T12:38:25"/>
    <d v="2026-05-28T12:38:25"/>
    <d v="2026-05-28T12:44:03"/>
    <s v="01152741410"/>
    <s v="2975095182"/>
    <s v="ENTRANTE"/>
    <s v="FULL"/>
    <s v="2975095182-149383671-20260528123824.mp3"/>
    <s v=""/>
    <s v="NAC-CEL"/>
    <s v="NACIONAL"/>
    <s v="PAIS-CELULAR"/>
    <n v="0"/>
    <n v="0"/>
    <n v="0"/>
    <n v="0"/>
    <s v="BL"/>
    <n v="3"/>
    <n v="338"/>
    <s v="NotSet"/>
    <n v="37"/>
    <n v="201"/>
    <n v="2507945"/>
    <s v=""/>
    <s v="|0||SIP/SERVICIOS_SIP-0000f11f|1779982796.61733|16:Normal Clearing|16:PBX|14||-1|NotSet|"/>
    <s v=""/>
  </r>
  <r>
    <x v="17"/>
    <n v="1130749091"/>
    <x v="0"/>
    <x v="0"/>
    <x v="0"/>
    <x v="0"/>
    <x v="0"/>
    <x v="8"/>
    <s v="No"/>
    <n v="20260528"/>
    <n v="149383463"/>
    <s v="SERVICIOS_SIP"/>
    <s v="NEO1"/>
    <n v="0"/>
    <n v="0"/>
    <s v="CAMPAÑA"/>
    <n v="150"/>
    <s v="8160 - QUEVEDO, JOAHANA"/>
    <n v="26"/>
    <s v="ANSWER"/>
    <s v="AGENT"/>
    <d v="2026-05-28T12:26:49"/>
    <d v="2026-05-28T12:26:49"/>
    <d v="2026-05-28T12:31:36"/>
    <s v="01152741410"/>
    <s v="1130749091"/>
    <s v="ENTRANTE"/>
    <s v="FULL"/>
    <s v="1130749091-149383463-20260528122649.mp3"/>
    <s v=""/>
    <s v="NAC-CEL"/>
    <s v="NACIONAL"/>
    <s v="PAIS-CELULAR"/>
    <n v="0"/>
    <n v="0"/>
    <n v="0"/>
    <n v="0"/>
    <s v="BL"/>
    <n v="3"/>
    <n v="288"/>
    <s v="NotSet"/>
    <n v="37"/>
    <n v="147"/>
    <n v="2507773"/>
    <s v=""/>
    <s v="|0||SIP/SERVICIOS_SIP-0000eda9|1779982100.60847|16:Normal Clearing|17:Network|21||-1|NotSet|"/>
    <s v=""/>
  </r>
  <r>
    <x v="17"/>
    <n v="1159005436"/>
    <x v="0"/>
    <x v="0"/>
    <x v="0"/>
    <x v="0"/>
    <x v="2"/>
    <x v="9"/>
    <s v="No"/>
    <n v="20260528"/>
    <n v="149382701"/>
    <s v="SERVICIOS_SIP"/>
    <s v="NEO1"/>
    <n v="0"/>
    <n v="0"/>
    <s v="CAMPAÑA"/>
    <n v="150"/>
    <s v="8370 - Carrizo, Rocio Anabel"/>
    <n v="0"/>
    <s v="ANSWER"/>
    <s v="AGENT"/>
    <d v="2026-05-28T11:53:14"/>
    <d v="2026-05-28T11:53:14"/>
    <d v="2026-05-28T12:03:05"/>
    <s v="01152741410"/>
    <s v="1159005436"/>
    <s v="ENTRANTE"/>
    <s v="FULL"/>
    <s v="1159005436-149382701-20260528115313.mp3"/>
    <s v=""/>
    <s v="NAC-CEL"/>
    <s v="NACIONAL"/>
    <s v="PAIS-CELULAR"/>
    <n v="0"/>
    <n v="0"/>
    <n v="0"/>
    <n v="0"/>
    <s v="BL"/>
    <n v="3"/>
    <n v="592"/>
    <s v="NotSet"/>
    <n v="37"/>
    <n v="175"/>
    <n v="2456314"/>
    <s v=""/>
    <s v="|0||SIP/SERVICIOS_SIP-0000e27c|1779980084.57986|16:Normal Clearing|17:Network|23||-1|NotSet|"/>
    <s v=""/>
  </r>
  <r>
    <x v="17"/>
    <n v="3735477939"/>
    <x v="0"/>
    <x v="0"/>
    <x v="0"/>
    <x v="0"/>
    <x v="0"/>
    <x v="10"/>
    <s v="No"/>
    <n v="20260528"/>
    <n v="149381275"/>
    <s v="SERVICIOS_SIP"/>
    <s v="NEO1"/>
    <n v="0"/>
    <n v="0"/>
    <s v="CAMPAÑA"/>
    <n v="150"/>
    <s v="8647 - Molina, Rocio"/>
    <n v="26"/>
    <s v="ANSWER"/>
    <s v="AGENT"/>
    <d v="2026-05-28T10:54:29"/>
    <d v="2026-05-28T10:54:29"/>
    <d v="2026-05-28T11:04:14"/>
    <s v="01152741410"/>
    <s v="3735477939"/>
    <s v="ENTRANTE"/>
    <s v="FULL"/>
    <s v="3735477939-149381275-20260528105429.mp3"/>
    <s v=""/>
    <s v="NAC-CEL"/>
    <s v="NACIONAL"/>
    <s v="PAIS-CELULAR"/>
    <n v="0"/>
    <n v="0"/>
    <n v="0"/>
    <n v="0"/>
    <s v="BL"/>
    <n v="3"/>
    <n v="585"/>
    <s v="NotSet"/>
    <n v="37"/>
    <n v="1"/>
    <n v="2507825"/>
    <s v=""/>
    <s v="|0||SIP/SERVICIOS_SIP-0000ce76|1779976560.52859|16:Normal Clearing|17:Network|21||-1|NotSet|"/>
    <s v=""/>
  </r>
  <r>
    <x v="17"/>
    <n v="1154778350"/>
    <x v="0"/>
    <x v="0"/>
    <x v="0"/>
    <x v="0"/>
    <x v="0"/>
    <x v="10"/>
    <s v="No"/>
    <n v="20260528"/>
    <n v="149381229"/>
    <s v="SERVICIOS_SIP"/>
    <s v="NEO1"/>
    <n v="0"/>
    <n v="0"/>
    <s v="CAMPAÑA"/>
    <n v="150"/>
    <s v="8160 - QUEVEDO, JOAHANA"/>
    <n v="26"/>
    <s v="ANSWER"/>
    <s v="AGENT"/>
    <d v="2026-05-28T10:52:41"/>
    <d v="2026-05-28T10:52:41"/>
    <d v="2026-05-28T10:58:40"/>
    <s v="01152741410"/>
    <s v="1154778350"/>
    <s v="ENTRANTE"/>
    <s v="FULL"/>
    <s v="1154778350-149381229-20260528105240.mp3"/>
    <s v=""/>
    <s v="NAC-CEL"/>
    <s v="NACIONAL"/>
    <s v="PAIS-CELULAR"/>
    <n v="0"/>
    <n v="0"/>
    <n v="0"/>
    <n v="0"/>
    <s v="BL"/>
    <n v="3"/>
    <n v="360"/>
    <s v="NotSet"/>
    <n v="37"/>
    <n v="196"/>
    <n v="2424435"/>
    <s v=""/>
    <s v="|0||SIP/SERVICIOS_SIP-0000cdd4|1779976451.52697|16:Normal Clearing|17:Network|22||-1|NotSet|"/>
    <s v=""/>
  </r>
  <r>
    <x v="17"/>
    <n v="1124278889"/>
    <x v="0"/>
    <x v="0"/>
    <x v="0"/>
    <x v="0"/>
    <x v="0"/>
    <x v="10"/>
    <s v="No"/>
    <n v="20260528"/>
    <n v="149381164"/>
    <s v="SERVICIOS_SIP"/>
    <s v="NEO1"/>
    <n v="0"/>
    <n v="0"/>
    <s v="CAMPAÑA"/>
    <n v="150"/>
    <s v="8787 - Lescano, Eugenia"/>
    <n v="26"/>
    <s v="ANSWER"/>
    <s v="AGENT"/>
    <d v="2026-05-28T10:50:59"/>
    <d v="2026-05-28T10:50:59"/>
    <d v="2026-05-28T10:55:35"/>
    <s v="01152741410"/>
    <s v="1124278889"/>
    <s v="ENTRANTE"/>
    <s v="FULL"/>
    <s v="1124278889-149381164-20260528105058.mp3"/>
    <s v=""/>
    <s v="LOC-FIJO"/>
    <s v="LOCAL-FIJO"/>
    <s v="LOCAL-FIJO"/>
    <n v="0"/>
    <n v="0"/>
    <n v="0"/>
    <n v="0"/>
    <s v="BL"/>
    <n v="3"/>
    <n v="277"/>
    <s v="NotSet"/>
    <n v="37"/>
    <n v="164"/>
    <n v="2507819"/>
    <s v=""/>
    <s v="|0||SIP/SERVICIOS_SIP-0000cd11|1779976350.52502|16:Normal Clearing|17:Network|16||-1|NotSet|"/>
    <s v=""/>
  </r>
  <r>
    <x v="17"/>
    <n v="1124932161"/>
    <x v="0"/>
    <x v="0"/>
    <x v="0"/>
    <x v="0"/>
    <x v="0"/>
    <x v="10"/>
    <s v="No"/>
    <n v="20260528"/>
    <n v="149381137"/>
    <s v="SERVICIOS_SIP"/>
    <s v="NEO1"/>
    <n v="0"/>
    <n v="0"/>
    <s v="CAMPAÑA"/>
    <n v="150"/>
    <s v="8861 - Caceres, Martina"/>
    <n v="26"/>
    <s v="ANSWER"/>
    <s v="AGENT"/>
    <d v="2026-05-28T10:50:12"/>
    <d v="2026-05-28T10:50:12"/>
    <d v="2026-05-28T10:50:55"/>
    <s v="01152741410"/>
    <s v="1124932161"/>
    <s v="ENTRANTE"/>
    <s v="FULL"/>
    <s v="1124932161-149381137-20260528105011.mp3"/>
    <s v=""/>
    <s v="LOC-FIJO"/>
    <s v="LOCAL-FIJO"/>
    <s v="LOCAL-FIJO"/>
    <n v="0"/>
    <n v="0"/>
    <n v="0"/>
    <n v="0"/>
    <s v="BL"/>
    <n v="3"/>
    <n v="44"/>
    <s v="NotSet"/>
    <n v="37"/>
    <n v="201"/>
    <n v="2486153"/>
    <s v=""/>
    <s v="|0||SIP/SERVICIOS_SIP-0000ccb6|1779976303.52411|16:Normal Clearing|17:Network|18||-1|NotSet|"/>
    <s v=""/>
  </r>
  <r>
    <x v="17"/>
    <n v="1168785671"/>
    <x v="0"/>
    <x v="0"/>
    <x v="0"/>
    <x v="0"/>
    <x v="3"/>
    <x v="10"/>
    <s v="No"/>
    <n v="20260528"/>
    <n v="149380720"/>
    <s v="SERVICIOS_SIP"/>
    <s v="NEO1"/>
    <n v="0"/>
    <n v="0"/>
    <s v="CAMPAÑA"/>
    <n v="150"/>
    <s v="8160 - QUEVEDO, JOAHANA"/>
    <n v="5"/>
    <s v="ANSWER"/>
    <s v="AGENT"/>
    <d v="2026-05-28T10:33:44"/>
    <d v="2026-05-28T10:33:44"/>
    <d v="2026-05-28T10:35:12"/>
    <s v="01152741410"/>
    <s v="1168785671"/>
    <s v="ENTRANTE"/>
    <s v="FULL"/>
    <s v="1168785671-149380720-20260528103343.mp3"/>
    <s v=""/>
    <s v="NAC-CEL"/>
    <s v="NACIONAL"/>
    <s v="PAIS-CELULAR"/>
    <n v="0"/>
    <n v="0"/>
    <n v="0"/>
    <n v="0"/>
    <s v="BL"/>
    <n v="3"/>
    <n v="89"/>
    <s v="NotSet"/>
    <n v="37"/>
    <n v="0"/>
    <n v="0"/>
    <s v=""/>
    <s v="|0||SIP/SERVICIOS_SIP-0000c6e6|1779975314.50923|16:Normal Clearing|17:Network|22||-1|NotSet|"/>
    <s v=""/>
  </r>
  <r>
    <x v="17"/>
    <n v="1160652200"/>
    <x v="0"/>
    <x v="0"/>
    <x v="0"/>
    <x v="0"/>
    <x v="0"/>
    <x v="0"/>
    <s v="No"/>
    <n v="20260528"/>
    <n v="149379913"/>
    <s v="SERVICIOS_SIP"/>
    <s v="NEO1"/>
    <n v="0"/>
    <n v="0"/>
    <s v="CAMPAÑA"/>
    <n v="150"/>
    <s v="8861 - Caceres, Martina"/>
    <n v="26"/>
    <s v="ANSWER"/>
    <s v="AGENT"/>
    <d v="2026-05-28T09:57:32"/>
    <d v="2026-05-28T09:57:32"/>
    <d v="2026-05-28T10:06:02"/>
    <s v="01152741410"/>
    <s v="1160652200"/>
    <s v="ENTRANTE"/>
    <s v="FULL"/>
    <s v="1160652200-149379913-20260528095732.mp3"/>
    <s v=""/>
    <s v="LOC-FIJO"/>
    <s v="LOCAL-FIJO"/>
    <s v="LOCAL-FIJO"/>
    <n v="0"/>
    <n v="0"/>
    <n v="0"/>
    <n v="0"/>
    <s v="BL"/>
    <n v="3"/>
    <n v="511"/>
    <s v="NotSet"/>
    <n v="37"/>
    <n v="1"/>
    <n v="374350"/>
    <s v=""/>
    <s v="|0||SIP/SERVICIOS_SIP-0000ba0a|1779973143.47628|16:Normal Clearing|16:PBX|15|SIP/GQ106-0000ba2e|-1|NotSet|"/>
    <s v=""/>
  </r>
  <r>
    <x v="17"/>
    <n v="1124828590"/>
    <x v="0"/>
    <x v="0"/>
    <x v="0"/>
    <x v="0"/>
    <x v="0"/>
    <x v="0"/>
    <s v="No"/>
    <n v="20260528"/>
    <n v="149378884"/>
    <s v="SERVICIOS_SIP"/>
    <s v="NEO1"/>
    <n v="0"/>
    <n v="0"/>
    <s v="CAMPAÑA"/>
    <n v="150"/>
    <s v="8927 - Lizarrondo, Candela"/>
    <n v="26"/>
    <s v="ANSWER"/>
    <s v="AGENT"/>
    <d v="2026-05-28T09:09:44"/>
    <d v="2026-05-28T09:09:45"/>
    <d v="2026-05-28T09:11:55"/>
    <s v="01152741410"/>
    <s v="1124828590"/>
    <s v="ENTRANTE"/>
    <s v="FULL"/>
    <s v="1124828590-149378884-20260528090944.mp3"/>
    <s v=""/>
    <s v="LOC-FIJO"/>
    <s v="LOCAL-FIJO"/>
    <s v="LOCAL-FIJO"/>
    <n v="0"/>
    <n v="0"/>
    <n v="0"/>
    <n v="0"/>
    <s v="BL"/>
    <n v="3"/>
    <n v="131"/>
    <s v="NotSet"/>
    <n v="37"/>
    <n v="175"/>
    <n v="2026326"/>
    <s v=""/>
    <s v="|0||SIP/SERVICIOS_SIP-00005013|1779970275.20501|16:Normal Clearing|17:Network|1||-1|NotSet|"/>
    <s v=""/>
  </r>
  <r>
    <x v="17"/>
    <n v="1131845475"/>
    <x v="0"/>
    <x v="0"/>
    <x v="0"/>
    <x v="0"/>
    <x v="0"/>
    <x v="0"/>
    <s v="No"/>
    <n v="20260528"/>
    <n v="149378817"/>
    <s v="SERVICIOS_SIP"/>
    <s v="NEO1"/>
    <n v="0"/>
    <n v="0"/>
    <s v="CAMPAÑA"/>
    <n v="150"/>
    <s v="8861 - Caceres, Martina"/>
    <n v="26"/>
    <s v="ANSWER"/>
    <s v="AGENT"/>
    <d v="2026-05-28T09:06:28"/>
    <d v="2026-05-28T09:06:28"/>
    <d v="2026-05-28T09:51:00"/>
    <s v="01152741410"/>
    <s v="1131845475"/>
    <s v="ENTRANTE"/>
    <s v="FULL"/>
    <s v="1131845475-149378817-20260528090628.mp3"/>
    <s v=""/>
    <s v="NAC-CEL"/>
    <s v="NACIONAL"/>
    <s v="PAIS-CELULAR"/>
    <n v="0"/>
    <n v="0"/>
    <n v="0"/>
    <n v="0"/>
    <s v="BL"/>
    <n v="3"/>
    <n v="2672"/>
    <s v="NotSet"/>
    <n v="37"/>
    <n v="201"/>
    <n v="2503063"/>
    <s v=""/>
    <s v="|0||SIP/SERVICIOS_SIP-00004ec4|1779970079.20166|16:Normal Clearing|16:PBX|12|SIP/GQ106-00004edd|-1|NotSet|"/>
    <s v=""/>
  </r>
  <r>
    <x v="18"/>
    <n v="3434657088"/>
    <x v="0"/>
    <x v="0"/>
    <x v="0"/>
    <x v="0"/>
    <x v="1"/>
    <x v="11"/>
    <s v="No"/>
    <n v="20260529"/>
    <n v="149405570"/>
    <s v="SERVICIOS_SIP"/>
    <s v="NEO1"/>
    <n v="0"/>
    <n v="0"/>
    <s v="CAMPAÑA"/>
    <n v="150"/>
    <s v="8995 - March, Lucas Ezequiel"/>
    <n v="27"/>
    <s v="ANSWER"/>
    <s v="AGENT"/>
    <d v="2026-05-29T20:29:51"/>
    <d v="2026-05-29T20:29:51"/>
    <d v="2026-05-29T20:48:02"/>
    <s v="01152741410"/>
    <s v="3434657088"/>
    <s v="ENTRANTE"/>
    <s v="FULL"/>
    <s v="3434657088-149405570-20260529202950.mp3"/>
    <s v=""/>
    <s v="NAC-CEL"/>
    <s v="NACIONAL"/>
    <s v="PAIS-CELULAR"/>
    <n v="0"/>
    <n v="0"/>
    <n v="0"/>
    <n v="0"/>
    <s v="BL"/>
    <n v="3"/>
    <n v="1092"/>
    <s v="NotSet"/>
    <n v="37"/>
    <n v="191"/>
    <n v="2337032"/>
    <s v=""/>
    <s v="|0||SIP/SERVICIOS_SIP-000258b7|1780097484.153792|16:Normal Clearing|17:Network|7||-1|NotSet|"/>
    <s v=""/>
  </r>
  <r>
    <x v="18"/>
    <n v="1165922569"/>
    <x v="0"/>
    <x v="0"/>
    <x v="0"/>
    <x v="0"/>
    <x v="1"/>
    <x v="1"/>
    <s v="No"/>
    <n v="20260529"/>
    <n v="149405048"/>
    <s v="SERVICIOS_SIP"/>
    <s v="NEO1"/>
    <n v="0"/>
    <n v="0"/>
    <s v="CAMPAÑA"/>
    <n v="150"/>
    <s v="8864 - González, Maitena"/>
    <n v="27"/>
    <s v="ANSWER"/>
    <s v="AGENT"/>
    <d v="2026-05-29T19:56:34"/>
    <d v="2026-05-29T19:56:34"/>
    <d v="2026-05-29T20:04:16"/>
    <s v="01152741410"/>
    <s v="1165922569"/>
    <s v="ENTRANTE"/>
    <s v="FULL"/>
    <s v="1165922569-149405048-20260529195633.mp3"/>
    <s v=""/>
    <s v="NAC-CEL"/>
    <s v="NACIONAL"/>
    <s v="PAIS-CELULAR"/>
    <n v="0"/>
    <n v="0"/>
    <n v="0"/>
    <n v="0"/>
    <s v="BL"/>
    <n v="3"/>
    <n v="463"/>
    <s v="NotSet"/>
    <n v="37"/>
    <n v="201"/>
    <n v="2509156"/>
    <s v=""/>
    <s v="|0||SIP/SERVICIOS_SIP-0002534d|1780095487.152406|16:Normal Clearing|16:PBX|23|SIP/GQ135-00025358|-1|NotSet|"/>
    <s v=""/>
  </r>
  <r>
    <x v="18"/>
    <n v="1122741132"/>
    <x v="0"/>
    <x v="0"/>
    <x v="0"/>
    <x v="0"/>
    <x v="1"/>
    <x v="1"/>
    <s v="No"/>
    <n v="20260529"/>
    <n v="149405047"/>
    <s v="SERVICIOS_SIP"/>
    <s v="NEO1"/>
    <n v="0"/>
    <n v="0"/>
    <s v="CAMPAÑA"/>
    <n v="150"/>
    <s v="8995 - March, Lucas Ezequiel"/>
    <n v="27"/>
    <s v="ANSWER"/>
    <s v="AGENT"/>
    <d v="2026-05-29T19:56:32"/>
    <d v="2026-05-29T19:56:33"/>
    <d v="2026-05-29T20:00:12"/>
    <s v="01152741410"/>
    <s v="1122741132"/>
    <s v="ENTRANTE"/>
    <s v="FULL"/>
    <s v="1122741132-149405047-20260529195632.mp3"/>
    <s v=""/>
    <s v="LOC-FIJO"/>
    <s v="LOCAL-FIJO"/>
    <s v="LOCAL-FIJO"/>
    <n v="0"/>
    <n v="0"/>
    <n v="0"/>
    <n v="0"/>
    <s v="BL"/>
    <n v="3"/>
    <n v="220"/>
    <s v="NotSet"/>
    <n v="37"/>
    <n v="0"/>
    <n v="0"/>
    <s v=""/>
    <s v="|0||SIP/SERVICIOS_SIP-0002534b|1780095485.152404|16:Normal Clearing|16:PBX|22|SIP/GQ109-0002535d|-1|NotSet|"/>
    <s v=""/>
  </r>
  <r>
    <x v="18"/>
    <n v="3585180073"/>
    <x v="0"/>
    <x v="0"/>
    <x v="0"/>
    <x v="0"/>
    <x v="1"/>
    <x v="1"/>
    <s v="No"/>
    <n v="20260529"/>
    <n v="149404429"/>
    <s v="SERVICIOS_SIP"/>
    <s v="NEO1"/>
    <n v="0"/>
    <n v="0"/>
    <s v="CAMPAÑA"/>
    <n v="150"/>
    <s v="8864 - González, Maitena"/>
    <n v="27"/>
    <s v="ANSWER"/>
    <s v="AGENT"/>
    <d v="2026-05-29T19:23:13"/>
    <d v="2026-05-29T19:23:13"/>
    <d v="2026-05-29T19:27:41"/>
    <s v="01152741410"/>
    <s v="3585180073"/>
    <s v="ENTRANTE"/>
    <s v="FULL"/>
    <s v="3585180073-149404429-20260529192313.mp3"/>
    <s v=""/>
    <s v="NAC-FIJO"/>
    <s v="CORDOBA"/>
    <s v="ADELIA MARIA"/>
    <n v="0"/>
    <n v="0"/>
    <n v="0"/>
    <n v="0"/>
    <s v="BL"/>
    <n v="3"/>
    <n v="268"/>
    <s v="NotSet"/>
    <n v="37"/>
    <n v="201"/>
    <n v="2506526"/>
    <s v=""/>
    <s v="|0||SIP/SERVICIOS_SIP-00024d1f|1780093486.150824|16:Normal Clearing|16:PBX|4|SIP/GQ135-00024d2f|-1|NotSet|"/>
    <s v=""/>
  </r>
  <r>
    <x v="18"/>
    <n v="2616821075"/>
    <x v="0"/>
    <x v="0"/>
    <x v="0"/>
    <x v="0"/>
    <x v="1"/>
    <x v="1"/>
    <s v="No"/>
    <n v="20260529"/>
    <n v="149404376"/>
    <s v="SERVICIOS_SIP"/>
    <s v="NEO1"/>
    <n v="0"/>
    <n v="0"/>
    <s v="CAMPAÑA"/>
    <n v="150"/>
    <s v="8864 - González, Maitena"/>
    <n v="27"/>
    <s v="ANSWER"/>
    <s v="AGENT"/>
    <d v="2026-05-29T19:20:37"/>
    <d v="2026-05-29T19:20:37"/>
    <d v="2026-05-29T19:22:59"/>
    <s v="01152741410"/>
    <s v="2616821075"/>
    <s v="ENTRANTE"/>
    <s v="FULL"/>
    <s v="2616821075-149404376-20260529192036.mp3"/>
    <s v=""/>
    <s v="NAC-CEL"/>
    <s v="NACIONAL"/>
    <s v="PAIS-CELULAR"/>
    <n v="0"/>
    <n v="0"/>
    <n v="0"/>
    <n v="0"/>
    <s v="BL"/>
    <n v="3"/>
    <n v="143"/>
    <s v="NotSet"/>
    <n v="37"/>
    <n v="0"/>
    <n v="0"/>
    <s v=""/>
    <s v="|0||SIP/SERVICIOS_SIP-00024ca0|1780093329.150697|16:Normal Clearing|16:PBX|3|SIP/GQ135-00024cb4|-1|NotSet|"/>
    <s v=""/>
  </r>
  <r>
    <x v="18"/>
    <n v="2302349967"/>
    <x v="0"/>
    <x v="0"/>
    <x v="0"/>
    <x v="0"/>
    <x v="1"/>
    <x v="3"/>
    <s v="No"/>
    <n v="20260529"/>
    <n v="149402683"/>
    <s v="SERVICIOS_SIP"/>
    <s v="NEO1"/>
    <n v="0"/>
    <n v="0"/>
    <s v="CAMPAÑA"/>
    <n v="150"/>
    <s v="8864 - González, Maitena"/>
    <n v="27"/>
    <s v="ANSWER"/>
    <s v="AGENT"/>
    <d v="2026-05-29T17:41:43"/>
    <d v="2026-05-29T17:41:44"/>
    <d v="2026-05-29T17:53:42"/>
    <s v="01152741410"/>
    <s v="2302349967"/>
    <s v="ENTRANTE"/>
    <s v="FULL"/>
    <s v="2302349967-149402683-20260529174143.mp3"/>
    <s v=""/>
    <s v="NAC-FIJO"/>
    <s v="LA PAMPA"/>
    <s v="GENERAL PICO"/>
    <n v="0"/>
    <n v="0"/>
    <n v="0"/>
    <n v="0"/>
    <s v="BL"/>
    <n v="3"/>
    <n v="719"/>
    <s v="NotSet"/>
    <n v="37"/>
    <n v="0"/>
    <n v="0"/>
    <s v=""/>
    <s v="|0||SIP/SERVICIOS_SIP-0001ef10|1780087396.126745|16:Normal Clearing|16:PBX|8|SIP/GQ135-0001ef31|-1|NotSet|"/>
    <s v=""/>
  </r>
  <r>
    <x v="18"/>
    <n v="1165132086"/>
    <x v="0"/>
    <x v="0"/>
    <x v="0"/>
    <x v="0"/>
    <x v="1"/>
    <x v="3"/>
    <s v="No"/>
    <n v="20260529"/>
    <n v="149402567"/>
    <s v="SERVICIOS_SIP"/>
    <s v="NEO1"/>
    <n v="0"/>
    <n v="0"/>
    <s v="CAMPAÑA"/>
    <n v="150"/>
    <s v="8864 - González, Maitena"/>
    <n v="27"/>
    <s v="ANSWER"/>
    <s v="AGENT"/>
    <d v="2026-05-29T17:32:52"/>
    <d v="2026-05-29T17:32:52"/>
    <d v="2026-05-29T17:35:36"/>
    <s v="01152741410"/>
    <s v="1165132086"/>
    <s v="ENTRANTE"/>
    <s v="FULL"/>
    <s v="1165132086-149402567-20260529173252.mp3"/>
    <s v=""/>
    <s v="NAC-CEL"/>
    <s v="NACIONAL"/>
    <s v="PAIS-CELULAR"/>
    <n v="0"/>
    <n v="0"/>
    <n v="0"/>
    <n v="0"/>
    <s v="BL"/>
    <n v="3"/>
    <n v="164"/>
    <s v="NotSet"/>
    <n v="37"/>
    <n v="201"/>
    <n v="2509070"/>
    <s v=""/>
    <s v="|0||SIP/SERVICIOS_SIP-0001ee08|1780086865.126481|16:Normal Clearing|17:Network|6||-1|NotSet|"/>
    <s v=""/>
  </r>
  <r>
    <x v="18"/>
    <n v="1159489179"/>
    <x v="0"/>
    <x v="0"/>
    <x v="0"/>
    <x v="0"/>
    <x v="1"/>
    <x v="3"/>
    <s v="No"/>
    <n v="20260529"/>
    <n v="149402254"/>
    <s v="SERVICIOS_SIP"/>
    <s v="NEO1"/>
    <n v="0"/>
    <n v="0"/>
    <s v="CAMPAÑA"/>
    <n v="150"/>
    <s v="8864 - González, Maitena"/>
    <n v="27"/>
    <s v="ANSWER"/>
    <s v="AGENT"/>
    <d v="2026-05-29T17:15:06"/>
    <d v="2026-05-29T17:15:06"/>
    <d v="2026-05-29T17:19:33"/>
    <s v="01152741410"/>
    <s v="1159489179"/>
    <s v="ENTRANTE"/>
    <s v="FULL"/>
    <s v="1159489179-149402254-20260529171506.mp3"/>
    <s v=""/>
    <s v="NAC-CEL"/>
    <s v="NACIONAL"/>
    <s v="PAIS-CELULAR"/>
    <n v="0"/>
    <n v="0"/>
    <n v="0"/>
    <n v="0"/>
    <s v="BL"/>
    <n v="3"/>
    <n v="267"/>
    <s v="NotSet"/>
    <n v="37"/>
    <n v="202"/>
    <n v="2505884"/>
    <s v=""/>
    <s v="|0||SIP/SERVICIOS_SIP-00019e1b|1780085799.106020|16:Normal Clearing|16:PBX|7||-1|NotSet|"/>
    <s v=""/>
  </r>
  <r>
    <x v="18"/>
    <n v="2994280550"/>
    <x v="0"/>
    <x v="0"/>
    <x v="0"/>
    <x v="0"/>
    <x v="2"/>
    <x v="4"/>
    <s v="No"/>
    <n v="20260529"/>
    <n v="149401863"/>
    <s v="SERVICIOS_SIP"/>
    <s v="NEO1"/>
    <n v="0"/>
    <n v="0"/>
    <s v="CAMPAÑA"/>
    <n v="150"/>
    <s v="8984 - Cejas, Nahuel"/>
    <n v="0"/>
    <s v="ANSWER"/>
    <s v="AGENT"/>
    <d v="2026-05-29T16:54:30"/>
    <d v="2026-05-29T16:54:30"/>
    <d v="2026-05-29T17:11:57"/>
    <s v="01152741410"/>
    <s v="2994280550"/>
    <s v="ENTRANTE"/>
    <s v="FULL"/>
    <s v="2994280550-149401863-20260529165429.mp3"/>
    <s v=""/>
    <s v="NAC-CEL"/>
    <s v="NACIONAL"/>
    <s v="PAIS-CELULAR"/>
    <n v="0"/>
    <n v="0"/>
    <n v="0"/>
    <n v="0"/>
    <s v="BL"/>
    <n v="3"/>
    <n v="1047"/>
    <s v="NotSet"/>
    <n v="37"/>
    <n v="202"/>
    <n v="2508229"/>
    <s v=""/>
    <s v="|0||SIP/SERVICIOS_SIP-00019ae4|1780084563.105197|16:Normal Clearing|16:PBX|0||-1|NotSet|"/>
    <s v=""/>
  </r>
  <r>
    <x v="18"/>
    <n v="1153331172"/>
    <x v="0"/>
    <x v="0"/>
    <x v="0"/>
    <x v="0"/>
    <x v="1"/>
    <x v="4"/>
    <s v="No"/>
    <n v="20260529"/>
    <n v="149401398"/>
    <s v="SERVICIOS_SIP"/>
    <s v="NEO1"/>
    <n v="0"/>
    <n v="0"/>
    <s v="CAMPAÑA"/>
    <n v="150"/>
    <s v="8995 - March, Lucas Ezequiel"/>
    <n v="27"/>
    <s v="ANSWER"/>
    <s v="AGENT"/>
    <d v="2026-05-29T16:32:01"/>
    <d v="2026-05-29T16:32:02"/>
    <d v="2026-05-29T16:34:43"/>
    <s v="01152741410"/>
    <s v="1153331172"/>
    <s v="ENTRANTE"/>
    <s v="FULL"/>
    <s v="1153331172-149401398-20260529163201.mp3"/>
    <s v=""/>
    <s v="NAC-CEL"/>
    <s v="NACIONAL"/>
    <s v="PAIS-CELULAR"/>
    <n v="0"/>
    <n v="0"/>
    <n v="0"/>
    <n v="0"/>
    <s v="BL"/>
    <n v="3"/>
    <n v="162"/>
    <s v="NotSet"/>
    <n v="37"/>
    <n v="0"/>
    <n v="0"/>
    <s v=""/>
    <s v="|0||SIP/SERVICIOS_SIP-000196fb|1780083214.104196|16:Normal Clearing|16:PBX|14|SIP/GQ109-0001971d|-1|NotSet|"/>
    <s v=""/>
  </r>
  <r>
    <x v="18"/>
    <n v="1153257382"/>
    <x v="0"/>
    <x v="0"/>
    <x v="0"/>
    <x v="0"/>
    <x v="2"/>
    <x v="4"/>
    <s v="No"/>
    <n v="20260529"/>
    <n v="149401180"/>
    <s v="SERVICIOS_SIP"/>
    <s v="NEO1"/>
    <n v="0"/>
    <n v="0"/>
    <s v="CAMPAÑA"/>
    <n v="150"/>
    <s v="8957 - Bustos, Juan Ignacio"/>
    <n v="0"/>
    <s v="ANSWER"/>
    <s v="AGENT"/>
    <d v="2026-05-29T16:20:27"/>
    <d v="2026-05-29T16:20:27"/>
    <d v="2026-05-29T16:36:23"/>
    <s v="01152741410"/>
    <s v="1153257382"/>
    <s v="ENTRANTE"/>
    <s v="FULL"/>
    <s v="1153257382-149401180-20260529162027.mp3"/>
    <s v=""/>
    <s v="NAC-CEL"/>
    <s v="NACIONAL"/>
    <s v="PAIS-CELULAR"/>
    <n v="0"/>
    <n v="0"/>
    <n v="0"/>
    <n v="0"/>
    <s v="BL"/>
    <n v="3"/>
    <n v="956"/>
    <s v="NotSet"/>
    <n v="37"/>
    <n v="202"/>
    <n v="2501107"/>
    <s v=""/>
    <s v="|0||SIP/SERVICIOS_SIP-00014806|1780082520.83983|16:Normal Clearing|16:PBX|16||-1|NotSet|"/>
    <s v=""/>
  </r>
  <r>
    <x v="18"/>
    <n v="1130321018"/>
    <x v="0"/>
    <x v="0"/>
    <x v="0"/>
    <x v="0"/>
    <x v="1"/>
    <x v="5"/>
    <s v="No"/>
    <n v="20260529"/>
    <n v="149400288"/>
    <s v="SERVICIOS_SIP"/>
    <s v="NEO1"/>
    <n v="0"/>
    <n v="0"/>
    <s v="CAMPAÑA"/>
    <n v="150"/>
    <s v="8995 - March, Lucas Ezequiel"/>
    <n v="27"/>
    <s v="ANSWER"/>
    <s v="AGENT"/>
    <d v="2026-05-29T15:30:18"/>
    <d v="2026-05-29T15:30:18"/>
    <d v="2026-05-29T15:42:56"/>
    <s v="01152741410"/>
    <s v="1130321018"/>
    <s v="ENTRANTE"/>
    <s v="FULL"/>
    <s v="1130321018-149400288-20260529153017.mp3"/>
    <s v=""/>
    <s v="NAC-CEL"/>
    <s v="NACIONAL"/>
    <s v="PAIS-CELULAR"/>
    <n v="0"/>
    <n v="0"/>
    <n v="0"/>
    <n v="0"/>
    <s v="BL"/>
    <n v="3"/>
    <n v="758"/>
    <s v="NotSet"/>
    <n v="37"/>
    <n v="201"/>
    <n v="2506722"/>
    <s v=""/>
    <s v="|0||SIP/SERVICIOS_SIP-00013e4e|1780079511.81493|16:Normal Clearing|16:PBX|14|SIP/GQ109-00013e59|-1|NotSet|"/>
    <s v=""/>
  </r>
  <r>
    <x v="18"/>
    <n v="1158421482"/>
    <x v="0"/>
    <x v="0"/>
    <x v="0"/>
    <x v="0"/>
    <x v="2"/>
    <x v="7"/>
    <s v="No"/>
    <n v="20260529"/>
    <n v="149398499"/>
    <s v="SERVICIOS_SIP"/>
    <s v="NEO1"/>
    <n v="0"/>
    <n v="0"/>
    <s v="CAMPAÑA"/>
    <n v="150"/>
    <s v="8988 - Gudiño, Yamil"/>
    <n v="0"/>
    <s v="ANSWER"/>
    <s v="AGENT"/>
    <d v="2026-05-29T13:34:46"/>
    <d v="2026-05-29T13:34:46"/>
    <d v="2026-05-29T13:41:59"/>
    <s v="01152741410"/>
    <s v="1158421482"/>
    <s v="ENTRANTE"/>
    <s v="FULL"/>
    <s v="1158421482-149398499-20260529133446.mp3"/>
    <s v=""/>
    <s v="NAC-CEL"/>
    <s v="NACIONAL"/>
    <s v="PAIS-CELULAR"/>
    <n v="0"/>
    <n v="0"/>
    <n v="0"/>
    <n v="0"/>
    <s v="BL"/>
    <n v="3"/>
    <n v="433"/>
    <s v="NotSet"/>
    <n v="37"/>
    <n v="199"/>
    <n v="2477350"/>
    <s v=""/>
    <s v="|0||SIP/SERVICIOS_SIP-0000ddf7|1780072579.56828|16:Normal Clearing|16:PBX|2||-1|NotSet|"/>
    <s v=""/>
  </r>
  <r>
    <x v="18"/>
    <n v="3812498030"/>
    <x v="0"/>
    <x v="0"/>
    <x v="0"/>
    <x v="0"/>
    <x v="0"/>
    <x v="7"/>
    <s v="No"/>
    <n v="20260529"/>
    <n v="149398242"/>
    <s v="SERVICIOS_SIP"/>
    <s v="NEO1"/>
    <n v="0"/>
    <n v="0"/>
    <s v="CAMPAÑA"/>
    <n v="150"/>
    <s v="8160 - QUEVEDO, JOAHANA"/>
    <n v="26"/>
    <s v="ANSWER"/>
    <s v="AGENT"/>
    <d v="2026-05-29T13:17:16"/>
    <d v="2026-05-29T13:17:16"/>
    <d v="2026-05-29T13:27:18"/>
    <s v="01152741410"/>
    <s v="3812498030"/>
    <s v="ENTRANTE"/>
    <s v="FULL"/>
    <s v="3812498030-149398242-20260529131716.mp3"/>
    <s v=""/>
    <s v="NAC-FIJO"/>
    <s v="TUCUMAN"/>
    <s v="SAN MIGUEL DE TUCUMAN"/>
    <n v="0"/>
    <n v="0"/>
    <n v="0"/>
    <n v="0"/>
    <s v="BL"/>
    <n v="3"/>
    <n v="602"/>
    <s v="NotSet"/>
    <n v="37"/>
    <n v="201"/>
    <n v="2508856"/>
    <s v=""/>
    <s v="|0||SIP/SERVICIOS_SIP-0000db49|1780071529.56142|16:Normal Clearing|17:Network|17||-1|NotSet|"/>
    <s v=""/>
  </r>
  <r>
    <x v="18"/>
    <n v="1166378034"/>
    <x v="0"/>
    <x v="0"/>
    <x v="0"/>
    <x v="0"/>
    <x v="0"/>
    <x v="8"/>
    <s v="No"/>
    <n v="20260529"/>
    <n v="149397492"/>
    <s v="SERVICIOS_SIP"/>
    <s v="NEO1"/>
    <n v="0"/>
    <n v="0"/>
    <s v="CAMPAÑA"/>
    <n v="150"/>
    <s v="8160 - QUEVEDO, JOAHANA"/>
    <n v="26"/>
    <s v="ANSWER"/>
    <s v="AGENT"/>
    <d v="2026-05-29T12:38:13"/>
    <d v="2026-05-29T12:38:13"/>
    <d v="2026-05-29T12:46:43"/>
    <s v="01152741410"/>
    <s v="1166378034"/>
    <s v="ENTRANTE"/>
    <s v="FULL"/>
    <s v="1166378034-149397492-20260529123813.mp3"/>
    <s v=""/>
    <s v="NAC-CEL"/>
    <s v="NACIONAL"/>
    <s v="PAIS-CELULAR"/>
    <n v="0"/>
    <n v="0"/>
    <n v="0"/>
    <n v="0"/>
    <s v="BL"/>
    <n v="3"/>
    <n v="510"/>
    <s v="NotSet"/>
    <n v="37"/>
    <n v="1"/>
    <n v="2508821"/>
    <s v="May 29 2026 12:39PM"/>
    <s v="|0||SIP/SERVICIOS_SIP-0000d3d7|1780069186.54236|16:Normal Clearing|17:Network|3||-1|NotSet|"/>
    <s v=""/>
  </r>
  <r>
    <x v="18"/>
    <n v="1161247926"/>
    <x v="0"/>
    <x v="0"/>
    <x v="0"/>
    <x v="0"/>
    <x v="0"/>
    <x v="9"/>
    <s v="No"/>
    <n v="20260529"/>
    <n v="149395569"/>
    <s v="SERVICIOS_SIP"/>
    <s v="NEO1"/>
    <n v="0"/>
    <n v="0"/>
    <s v="CAMPAÑA"/>
    <n v="150"/>
    <s v="8160 - QUEVEDO, JOAHANA"/>
    <n v="26"/>
    <s v="ANSWER"/>
    <s v="AGENT"/>
    <d v="2026-05-29T11:09:47"/>
    <d v="2026-05-29T11:09:47"/>
    <d v="2026-05-29T11:15:53"/>
    <s v="01152741410"/>
    <s v="1161247926"/>
    <s v="ENTRANTE"/>
    <s v="FULL"/>
    <s v="1161247926-149395569-20260529110947.mp3"/>
    <s v=""/>
    <s v="NAC-CEL"/>
    <s v="NACIONAL"/>
    <s v="PAIS-CELULAR"/>
    <n v="0"/>
    <n v="0"/>
    <n v="0"/>
    <n v="0"/>
    <s v="BL"/>
    <n v="3"/>
    <n v="366"/>
    <s v="NotSet"/>
    <n v="37"/>
    <n v="1"/>
    <n v="2508745"/>
    <s v="May 29 2026 11:11AM"/>
    <s v="|0||SIP/SERVICIOS_SIP-00003f21|1780063880.16165|16:Normal Clearing|17:Network|5||-1|NotSet|"/>
    <s v=""/>
  </r>
  <r>
    <x v="18"/>
    <n v="3418382668"/>
    <x v="0"/>
    <x v="0"/>
    <x v="0"/>
    <x v="0"/>
    <x v="0"/>
    <x v="0"/>
    <s v="No"/>
    <n v="20260529"/>
    <n v="149393952"/>
    <s v="SERVICIOS_SIP"/>
    <s v="NEO1"/>
    <n v="0"/>
    <n v="0"/>
    <s v="CAMPAÑA"/>
    <n v="150"/>
    <s v="8160 - QUEVEDO, JOAHANA"/>
    <n v="26"/>
    <s v="ANSWER"/>
    <s v="AGENT"/>
    <d v="2026-05-29T09:54:59"/>
    <d v="2026-05-29T09:54:59"/>
    <d v="2026-05-29T10:15:45"/>
    <s v="01152741410"/>
    <s v="3418382668"/>
    <s v="ENTRANTE"/>
    <s v="FULL"/>
    <s v="3418382668-149393952-20260529095459.mp3"/>
    <s v=""/>
    <s v="NAC-FIJO"/>
    <s v="SANTA FE"/>
    <s v="ROSARIO"/>
    <n v="0"/>
    <n v="0"/>
    <n v="0"/>
    <n v="0"/>
    <s v="BL"/>
    <n v="3"/>
    <n v="1246"/>
    <s v="NotSet"/>
    <n v="37"/>
    <n v="175"/>
    <n v="2287474"/>
    <s v=""/>
    <s v="|0||SIP/SERVICIOS_SIP-000018d2|1780059393.6357|16:Normal Clearing|16:PBX|0|SIP/GQ192-000018e6|-1|NotSet|"/>
    <s v=""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m/>
    <x v="1"/>
    <x v="1"/>
    <x v="1"/>
    <x v="1"/>
    <x v="5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0D391-168A-4004-BEE3-CA585069CA67}" name="TablaDinámica1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Horario">
  <location ref="A8:U22" firstHeaderRow="1" firstDataRow="2" firstDataCol="1"/>
  <pivotFields count="47">
    <pivotField axis="axisCol" dataField="1" showAll="0" sortType="a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6">
        <item x="0"/>
        <item x="10"/>
        <item x="9"/>
        <item x="8"/>
        <item x="7"/>
        <item x="6"/>
        <item x="5"/>
        <item x="4"/>
        <item x="3"/>
        <item x="2"/>
        <item x="1"/>
        <item x="11"/>
        <item h="1" x="12"/>
        <item m="1" x="14"/>
        <item h="1"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Fecha." fld="0" subtotal="count" baseField="0" baseItem="0"/>
  </dataFields>
  <formats count="14">
    <format dxfId="22">
      <pivotArea type="all" dataOnly="0" outline="0" fieldPosition="0"/>
    </format>
    <format dxfId="23">
      <pivotArea outline="0" collapsedLevelsAreSubtotals="1" fieldPosition="0"/>
    </format>
    <format dxfId="24">
      <pivotArea type="origin" dataOnly="0" labelOnly="1" outline="0" fieldPosition="0"/>
    </format>
    <format dxfId="25">
      <pivotArea field="0" type="button" dataOnly="0" labelOnly="1" outline="0" axis="axisCol" fieldPosition="0"/>
    </format>
    <format dxfId="26">
      <pivotArea type="topRight" dataOnly="0" labelOnly="1" outline="0" fieldPosition="0"/>
    </format>
    <format dxfId="27">
      <pivotArea field="7" type="button" dataOnly="0" labelOnly="1" outline="0" axis="axisRow" fieldPosition="0"/>
    </format>
    <format dxfId="28">
      <pivotArea dataOnly="0" labelOnly="1" fieldPosition="0">
        <references count="1">
          <reference field="7" count="0"/>
        </references>
      </pivotArea>
    </format>
    <format dxfId="29">
      <pivotArea dataOnly="0" labelOnly="1" grandRow="1" outline="0" fieldPosition="0"/>
    </format>
    <format dxfId="30">
      <pivotArea dataOnly="0" labelOnly="1" fieldPosition="0">
        <references count="1">
          <reference field="0" count="0"/>
        </references>
      </pivotArea>
    </format>
    <format dxfId="31">
      <pivotArea dataOnly="0" labelOnly="1" grandCol="1" outline="0" fieldPosition="0"/>
    </format>
    <format dxfId="32">
      <pivotArea dataOnly="0" labelOnly="1" fieldPosition="0">
        <references count="1">
          <reference field="7" count="0"/>
        </references>
      </pivotArea>
    </format>
    <format dxfId="33">
      <pivotArea dataOnly="0" labelOnly="1" fieldPosition="0">
        <references count="1">
          <reference field="7" count="0"/>
        </references>
      </pivotArea>
    </format>
    <format dxfId="34">
      <pivotArea dataOnly="0" labelOnly="1" fieldPosition="0">
        <references count="1">
          <reference field="7" count="0"/>
        </references>
      </pivotArea>
    </format>
    <format dxfId="35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1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7" firstHeaderRow="0" firstDataRow="1" firstDataCol="1" rowPageCount="1" colPageCount="1"/>
  <pivotFields count="47">
    <pivotField axis="axisPage" showAll="0">
      <items count="21">
        <item x="19"/>
        <item x="18"/>
        <item x="17"/>
        <item x="16"/>
        <item x="15"/>
        <item x="0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t="default"/>
      </items>
    </pivotField>
    <pivotField showAll="0"/>
    <pivotField showAll="0">
      <items count="4">
        <item h="1" m="1" x="2"/>
        <item x="0"/>
        <item h="1" x="1"/>
        <item t="default"/>
      </items>
    </pivotField>
    <pivotField showAll="0">
      <items count="5">
        <item x="0"/>
        <item h="1" m="1" x="2"/>
        <item h="1" m="1" x="3"/>
        <item h="1" x="1"/>
        <item t="default"/>
      </items>
    </pivotField>
    <pivotField axis="axisRow" dataField="1" showAll="0">
      <items count="5">
        <item x="0"/>
        <item m="1" x="2"/>
        <item h="1" x="1"/>
        <item h="1" m="1" x="3"/>
        <item t="default"/>
      </items>
    </pivotField>
    <pivotField showAll="0">
      <items count="6">
        <item h="1" m="1" x="2"/>
        <item h="1" m="1" x="4"/>
        <item x="0"/>
        <item h="1" m="1" x="3"/>
        <item h="1" x="1"/>
        <item t="default"/>
      </items>
    </pivotField>
    <pivotField showAll="0">
      <items count="10">
        <item x="2"/>
        <item x="3"/>
        <item m="1" x="6"/>
        <item m="1" x="7"/>
        <item x="4"/>
        <item x="0"/>
        <item x="1"/>
        <item m="1" x="8"/>
        <item x="5"/>
        <item t="default"/>
      </items>
    </pivotField>
    <pivotField axis="axisRow" showAll="0">
      <items count="16">
        <item x="0"/>
        <item x="10"/>
        <item x="9"/>
        <item x="8"/>
        <item x="7"/>
        <item x="6"/>
        <item x="5"/>
        <item x="4"/>
        <item x="3"/>
        <item x="2"/>
        <item x="1"/>
        <item x="11"/>
        <item x="12"/>
        <item m="1" x="14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7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Cuenta de Conexión" fld="4" subtotal="count" baseField="0" baseItem="0"/>
    <dataField name="%" fld="4" subtotal="count" showDataAs="percentOfTotal" baseField="4" baseItem="0" numFmtId="10"/>
  </dataFields>
  <formats count="4">
    <format dxfId="18">
      <pivotArea type="all" dataOnly="0" outline="0" fieldPosition="0"/>
    </format>
    <format dxfId="19">
      <pivotArea outline="0" collapsedLevelsAreSubtotals="1" fieldPosition="0"/>
    </format>
    <format dxfId="20">
      <pivotArea dataOnly="0" labelOnly="1" grandRow="1" outline="0" fieldPosition="0"/>
    </format>
    <format dxfId="2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Dark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real2" xr10:uid="{00000000-0013-0000-FFFF-FFFF10000000}" sourceName="fecha real">
  <pivotTables>
    <pivotTable tabId="6" name="TablaDinámica1"/>
  </pivotTables>
  <data>
    <tabular pivotCacheId="1115776470">
      <items count="2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reccion2" xr10:uid="{00000000-0013-0000-FFFF-FFFF11000000}" sourceName="Direccion">
  <pivotTables>
    <pivotTable tabId="6" name="TablaDinámica1"/>
  </pivotTables>
  <data>
    <tabular pivotCacheId="1115776470">
      <items count="3">
        <i x="0" s="1"/>
        <i x="2" nd="1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m" xr10:uid="{00000000-0013-0000-FFFF-FFFF12000000}" sourceName="Crm">
  <pivotTables>
    <pivotTable tabId="6" name="TablaDinámica1"/>
  </pivotTables>
  <data>
    <tabular pivotCacheId="1115776470">
      <items count="5">
        <i x="0" s="1"/>
        <i x="2" nd="1"/>
        <i x="4" nd="1"/>
        <i x="3" nd="1"/>
        <i x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la" xr10:uid="{00000000-0013-0000-FFFF-FFFF13000000}" sourceName="cola">
  <pivotTables>
    <pivotTable tabId="6" name="TablaDinámica1"/>
  </pivotTables>
  <data>
    <tabular pivotCacheId="1115776470">
      <items count="9">
        <i x="2" s="1"/>
        <i x="3" s="1"/>
        <i x="4" s="1"/>
        <i x="0" s="1"/>
        <i x="1" s="1"/>
        <i x="6" s="1" nd="1"/>
        <i x="7" s="1" nd="1"/>
        <i x="8" s="1" nd="1"/>
        <i x="5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mpaña2" xr10:uid="{00000000-0013-0000-FFFF-FFFF14000000}" sourceName="campaña">
  <pivotTables>
    <pivotTable tabId="6" name="TablaDinámica1"/>
  </pivotTables>
  <data>
    <tabular pivotCacheId="1115776470">
      <items count="4">
        <i x="0" s="1"/>
        <i x="2" nd="1"/>
        <i x="3" nd="1"/>
        <i x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real" xr10:uid="{806E30C6-5098-45F3-8A57-0D9C1F4F17B1}" sourceName="fecha real">
  <pivotTables>
    <pivotTable tabId="7" name="TablaDinámica1"/>
  </pivotTables>
  <data>
    <tabular pivotCacheId="1115776470">
      <items count="2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real" xr10:uid="{9AE331F6-73D0-4784-9C64-CF8E3156E943}" cache="SegmentaciónDeDatos_fecha_real" caption="fecha real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real 1" xr10:uid="{00000000-0014-0000-FFFF-FFFF04000000}" cache="SegmentaciónDeDatos_fecha_real2" caption="fecha real" rowHeight="247650"/>
  <slicer name="Direccion 1" xr10:uid="{00000000-0014-0000-FFFF-FFFF05000000}" cache="SegmentaciónDeDatos_Direccion2" caption="Direccion" rowHeight="247650"/>
  <slicer name="Crm" xr10:uid="{00000000-0014-0000-FFFF-FFFF06000000}" cache="SegmentaciónDeDatos_Crm" caption="Crm" rowHeight="247650"/>
  <slicer name="cola" xr10:uid="{00000000-0014-0000-FFFF-FFFF07000000}" cache="SegmentaciónDeDatos_cola" caption="cola" rowHeight="247650"/>
  <slicer name="campaña 1" xr10:uid="{00000000-0014-0000-FFFF-FFFF08000000}" cache="SegmentaciónDeDatos_campaña2" caption="campaña" rowHeight="2476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1"/>
  <sheetViews>
    <sheetView workbookViewId="0">
      <selection activeCell="I9" sqref="I9:I10"/>
    </sheetView>
  </sheetViews>
  <sheetFormatPr baseColWidth="10" defaultColWidth="11.42578125" defaultRowHeight="15" x14ac:dyDescent="0.25"/>
  <cols>
    <col min="1" max="1" width="10.42578125" style="20" bestFit="1" customWidth="1"/>
    <col min="2" max="2" width="11" style="20" bestFit="1" customWidth="1"/>
    <col min="3" max="3" width="10.140625" style="20" customWidth="1"/>
    <col min="4" max="4" width="17.85546875" style="20" customWidth="1"/>
    <col min="5" max="5" width="11.42578125" style="20" bestFit="1" customWidth="1"/>
    <col min="6" max="6" width="4.5703125" style="20" bestFit="1" customWidth="1"/>
    <col min="7" max="7" width="7" style="20" bestFit="1" customWidth="1"/>
    <col min="8" max="8" width="15.85546875" style="20" bestFit="1" customWidth="1"/>
    <col min="9" max="9" width="16.28515625" style="20" bestFit="1" customWidth="1"/>
    <col min="10" max="10" width="9" style="20" bestFit="1" customWidth="1"/>
    <col min="11" max="11" width="11.140625" style="20" bestFit="1" customWidth="1"/>
    <col min="12" max="12" width="13.5703125" style="20" bestFit="1" customWidth="1"/>
    <col min="13" max="13" width="8.140625" style="20" bestFit="1" customWidth="1"/>
    <col min="14" max="14" width="6" style="20" bestFit="1" customWidth="1"/>
    <col min="15" max="15" width="4.28515625" style="20" bestFit="1" customWidth="1"/>
    <col min="16" max="16" width="10.42578125" style="20" bestFit="1" customWidth="1"/>
    <col min="17" max="17" width="13.140625" style="20" bestFit="1" customWidth="1"/>
    <col min="18" max="18" width="27.42578125" style="20" bestFit="1" customWidth="1"/>
    <col min="19" max="19" width="5" style="20" bestFit="1" customWidth="1"/>
    <col min="20" max="20" width="8.42578125" style="20" bestFit="1" customWidth="1"/>
    <col min="21" max="21" width="11" style="20" bestFit="1" customWidth="1"/>
    <col min="22" max="24" width="10.42578125" style="20" bestFit="1" customWidth="1"/>
    <col min="25" max="25" width="12" style="20" bestFit="1" customWidth="1"/>
    <col min="26" max="26" width="12.42578125" style="20" bestFit="1" customWidth="1"/>
    <col min="27" max="27" width="10.140625" style="20" bestFit="1" customWidth="1"/>
    <col min="28" max="28" width="14.5703125" style="20" bestFit="1" customWidth="1"/>
    <col min="29" max="29" width="41" style="20" bestFit="1" customWidth="1"/>
    <col min="30" max="30" width="30" style="20" bestFit="1" customWidth="1"/>
    <col min="31" max="31" width="10.85546875" style="20" bestFit="1" customWidth="1"/>
    <col min="32" max="32" width="20.7109375" style="20" bestFit="1" customWidth="1"/>
    <col min="33" max="33" width="36.140625" style="20" bestFit="1" customWidth="1"/>
    <col min="34" max="34" width="6" style="20" bestFit="1" customWidth="1"/>
    <col min="35" max="35" width="6.5703125" style="20" bestFit="1" customWidth="1"/>
    <col min="36" max="36" width="13.28515625" style="20" bestFit="1" customWidth="1"/>
    <col min="37" max="37" width="13.85546875" style="20" bestFit="1" customWidth="1"/>
    <col min="38" max="38" width="9.85546875" style="20" bestFit="1" customWidth="1"/>
    <col min="39" max="39" width="7.140625" style="20" bestFit="1" customWidth="1"/>
    <col min="40" max="40" width="9.140625" style="20" bestFit="1" customWidth="1"/>
    <col min="41" max="41" width="15" style="20" bestFit="1" customWidth="1"/>
    <col min="42" max="42" width="4.85546875" style="20" bestFit="1" customWidth="1"/>
    <col min="43" max="43" width="5.28515625" style="20" bestFit="1" customWidth="1"/>
    <col min="44" max="44" width="11.5703125" style="20" bestFit="1" customWidth="1"/>
    <col min="45" max="45" width="18.140625" style="20" bestFit="1" customWidth="1"/>
    <col min="46" max="46" width="115.140625" style="20" bestFit="1" customWidth="1"/>
    <col min="47" max="47" width="10.5703125" style="20" bestFit="1" customWidth="1"/>
    <col min="48" max="264" width="8.85546875" style="20" customWidth="1"/>
    <col min="265" max="265" width="9" style="20" bestFit="1" customWidth="1"/>
    <col min="266" max="266" width="10" style="20" bestFit="1" customWidth="1"/>
    <col min="267" max="267" width="10.85546875" style="20" bestFit="1" customWidth="1"/>
    <col min="268" max="268" width="7.85546875" style="20" bestFit="1" customWidth="1"/>
    <col min="269" max="269" width="5.140625" style="20" bestFit="1" customWidth="1"/>
    <col min="270" max="270" width="4" style="20" bestFit="1" customWidth="1"/>
    <col min="271" max="271" width="9.42578125" style="20" bestFit="1" customWidth="1"/>
    <col min="272" max="272" width="11.85546875" style="20" bestFit="1" customWidth="1"/>
    <col min="273" max="273" width="31.140625" style="20" bestFit="1" customWidth="1"/>
    <col min="274" max="274" width="7" style="20" bestFit="1" customWidth="1"/>
    <col min="275" max="275" width="13" style="20" bestFit="1" customWidth="1"/>
    <col min="276" max="276" width="10" style="20" bestFit="1" customWidth="1"/>
    <col min="277" max="277" width="10.140625" style="20" bestFit="1" customWidth="1"/>
    <col min="278" max="278" width="17.85546875" style="20" bestFit="1" customWidth="1"/>
    <col min="279" max="279" width="10.140625" style="20" bestFit="1" customWidth="1"/>
    <col min="280" max="280" width="4.85546875" style="20" bestFit="1" customWidth="1"/>
    <col min="281" max="281" width="14" style="20" bestFit="1" customWidth="1"/>
    <col min="282" max="282" width="8.5703125" style="20" bestFit="1" customWidth="1"/>
    <col min="283" max="283" width="13.140625" style="20" bestFit="1" customWidth="1"/>
    <col min="284" max="284" width="42.140625" style="20" bestFit="1" customWidth="1"/>
    <col min="285" max="285" width="28.5703125" style="20" bestFit="1" customWidth="1"/>
    <col min="286" max="286" width="8.42578125" style="20" bestFit="1" customWidth="1"/>
    <col min="287" max="287" width="13" style="20" bestFit="1" customWidth="1"/>
    <col min="288" max="288" width="14.85546875" style="20" bestFit="1" customWidth="1"/>
    <col min="289" max="289" width="5.5703125" style="20" bestFit="1" customWidth="1"/>
    <col min="290" max="290" width="6" style="20" bestFit="1" customWidth="1"/>
    <col min="291" max="291" width="12.42578125" style="20" bestFit="1" customWidth="1"/>
    <col min="292" max="292" width="12.85546875" style="20" bestFit="1" customWidth="1"/>
    <col min="293" max="293" width="9.140625" style="20" bestFit="1" customWidth="1"/>
    <col min="294" max="294" width="6.85546875" style="20" bestFit="1" customWidth="1"/>
    <col min="295" max="295" width="8.140625" style="20" bestFit="1" customWidth="1"/>
    <col min="296" max="296" width="14.140625" style="20" bestFit="1" customWidth="1"/>
    <col min="297" max="298" width="4.85546875" style="20" bestFit="1" customWidth="1"/>
    <col min="299" max="299" width="10.85546875" style="20" bestFit="1" customWidth="1"/>
    <col min="300" max="300" width="17.85546875" style="20" bestFit="1" customWidth="1"/>
    <col min="301" max="301" width="148.140625" style="20" bestFit="1" customWidth="1"/>
    <col min="302" max="302" width="9.85546875" style="20" bestFit="1" customWidth="1"/>
    <col min="303" max="520" width="8.85546875" style="20" customWidth="1"/>
    <col min="521" max="521" width="9" style="20" bestFit="1" customWidth="1"/>
    <col min="522" max="522" width="10" style="20" bestFit="1" customWidth="1"/>
    <col min="523" max="523" width="10.85546875" style="20" bestFit="1" customWidth="1"/>
    <col min="524" max="524" width="7.85546875" style="20" bestFit="1" customWidth="1"/>
    <col min="525" max="525" width="5.140625" style="20" bestFit="1" customWidth="1"/>
    <col min="526" max="526" width="4" style="20" bestFit="1" customWidth="1"/>
    <col min="527" max="527" width="9.42578125" style="20" bestFit="1" customWidth="1"/>
    <col min="528" max="528" width="11.85546875" style="20" bestFit="1" customWidth="1"/>
    <col min="529" max="529" width="31.140625" style="20" bestFit="1" customWidth="1"/>
    <col min="530" max="530" width="7" style="20" bestFit="1" customWidth="1"/>
    <col min="531" max="531" width="13" style="20" bestFit="1" customWidth="1"/>
    <col min="532" max="532" width="10" style="20" bestFit="1" customWidth="1"/>
    <col min="533" max="533" width="10.140625" style="20" bestFit="1" customWidth="1"/>
    <col min="534" max="534" width="17.85546875" style="20" bestFit="1" customWidth="1"/>
    <col min="535" max="535" width="10.140625" style="20" bestFit="1" customWidth="1"/>
    <col min="536" max="536" width="4.85546875" style="20" bestFit="1" customWidth="1"/>
    <col min="537" max="537" width="14" style="20" bestFit="1" customWidth="1"/>
    <col min="538" max="538" width="8.5703125" style="20" bestFit="1" customWidth="1"/>
    <col min="539" max="539" width="13.140625" style="20" bestFit="1" customWidth="1"/>
    <col min="540" max="540" width="42.140625" style="20" bestFit="1" customWidth="1"/>
    <col min="541" max="541" width="28.5703125" style="20" bestFit="1" customWidth="1"/>
    <col min="542" max="542" width="8.42578125" style="20" bestFit="1" customWidth="1"/>
    <col min="543" max="543" width="13" style="20" bestFit="1" customWidth="1"/>
    <col min="544" max="544" width="14.85546875" style="20" bestFit="1" customWidth="1"/>
    <col min="545" max="545" width="5.5703125" style="20" bestFit="1" customWidth="1"/>
    <col min="546" max="546" width="6" style="20" bestFit="1" customWidth="1"/>
    <col min="547" max="547" width="12.42578125" style="20" bestFit="1" customWidth="1"/>
    <col min="548" max="548" width="12.85546875" style="20" bestFit="1" customWidth="1"/>
    <col min="549" max="549" width="9.140625" style="20" bestFit="1" customWidth="1"/>
    <col min="550" max="550" width="6.85546875" style="20" bestFit="1" customWidth="1"/>
    <col min="551" max="551" width="8.140625" style="20" bestFit="1" customWidth="1"/>
    <col min="552" max="552" width="14.140625" style="20" bestFit="1" customWidth="1"/>
    <col min="553" max="554" width="4.85546875" style="20" bestFit="1" customWidth="1"/>
    <col min="555" max="555" width="10.85546875" style="20" bestFit="1" customWidth="1"/>
    <col min="556" max="556" width="17.85546875" style="20" bestFit="1" customWidth="1"/>
    <col min="557" max="557" width="148.140625" style="20" bestFit="1" customWidth="1"/>
    <col min="558" max="558" width="9.85546875" style="20" bestFit="1" customWidth="1"/>
    <col min="559" max="776" width="8.85546875" style="20" customWidth="1"/>
    <col min="777" max="777" width="9" style="20" bestFit="1" customWidth="1"/>
    <col min="778" max="778" width="10" style="20" bestFit="1" customWidth="1"/>
    <col min="779" max="779" width="10.85546875" style="20" bestFit="1" customWidth="1"/>
    <col min="780" max="780" width="7.85546875" style="20" bestFit="1" customWidth="1"/>
    <col min="781" max="781" width="5.140625" style="20" bestFit="1" customWidth="1"/>
    <col min="782" max="782" width="4" style="20" bestFit="1" customWidth="1"/>
    <col min="783" max="783" width="9.42578125" style="20" bestFit="1" customWidth="1"/>
    <col min="784" max="784" width="11.85546875" style="20" bestFit="1" customWidth="1"/>
    <col min="785" max="785" width="31.140625" style="20" bestFit="1" customWidth="1"/>
    <col min="786" max="786" width="7" style="20" bestFit="1" customWidth="1"/>
    <col min="787" max="787" width="13" style="20" bestFit="1" customWidth="1"/>
    <col min="788" max="788" width="10" style="20" bestFit="1" customWidth="1"/>
    <col min="789" max="789" width="10.140625" style="20" bestFit="1" customWidth="1"/>
    <col min="790" max="790" width="17.85546875" style="20" bestFit="1" customWidth="1"/>
    <col min="791" max="791" width="10.140625" style="20" bestFit="1" customWidth="1"/>
    <col min="792" max="792" width="4.85546875" style="20" bestFit="1" customWidth="1"/>
    <col min="793" max="793" width="14" style="20" bestFit="1" customWidth="1"/>
    <col min="794" max="794" width="8.5703125" style="20" bestFit="1" customWidth="1"/>
    <col min="795" max="795" width="13.140625" style="20" bestFit="1" customWidth="1"/>
    <col min="796" max="796" width="42.140625" style="20" bestFit="1" customWidth="1"/>
    <col min="797" max="797" width="28.5703125" style="20" bestFit="1" customWidth="1"/>
    <col min="798" max="798" width="8.42578125" style="20" bestFit="1" customWidth="1"/>
    <col min="799" max="799" width="13" style="20" bestFit="1" customWidth="1"/>
    <col min="800" max="800" width="14.85546875" style="20" bestFit="1" customWidth="1"/>
    <col min="801" max="801" width="5.5703125" style="20" bestFit="1" customWidth="1"/>
    <col min="802" max="802" width="6" style="20" bestFit="1" customWidth="1"/>
    <col min="803" max="803" width="12.42578125" style="20" bestFit="1" customWidth="1"/>
    <col min="804" max="804" width="12.85546875" style="20" bestFit="1" customWidth="1"/>
    <col min="805" max="805" width="9.140625" style="20" bestFit="1" customWidth="1"/>
    <col min="806" max="806" width="6.85546875" style="20" bestFit="1" customWidth="1"/>
    <col min="807" max="807" width="8.140625" style="20" bestFit="1" customWidth="1"/>
    <col min="808" max="808" width="14.140625" style="20" bestFit="1" customWidth="1"/>
    <col min="809" max="810" width="4.85546875" style="20" bestFit="1" customWidth="1"/>
    <col min="811" max="811" width="10.85546875" style="20" bestFit="1" customWidth="1"/>
    <col min="812" max="812" width="17.85546875" style="20" bestFit="1" customWidth="1"/>
    <col min="813" max="813" width="148.140625" style="20" bestFit="1" customWidth="1"/>
    <col min="814" max="814" width="9.85546875" style="20" bestFit="1" customWidth="1"/>
    <col min="815" max="1032" width="8.85546875" style="20" customWidth="1"/>
    <col min="1033" max="1033" width="9" style="20" bestFit="1" customWidth="1"/>
    <col min="1034" max="1034" width="10" style="20" bestFit="1" customWidth="1"/>
    <col min="1035" max="1035" width="10.85546875" style="20" bestFit="1" customWidth="1"/>
    <col min="1036" max="1036" width="7.85546875" style="20" bestFit="1" customWidth="1"/>
    <col min="1037" max="1037" width="5.140625" style="20" bestFit="1" customWidth="1"/>
    <col min="1038" max="1038" width="4" style="20" bestFit="1" customWidth="1"/>
    <col min="1039" max="1039" width="9.42578125" style="20" bestFit="1" customWidth="1"/>
    <col min="1040" max="1040" width="11.85546875" style="20" bestFit="1" customWidth="1"/>
    <col min="1041" max="1041" width="31.140625" style="20" bestFit="1" customWidth="1"/>
    <col min="1042" max="1042" width="7" style="20" bestFit="1" customWidth="1"/>
    <col min="1043" max="1043" width="13" style="20" bestFit="1" customWidth="1"/>
    <col min="1044" max="1044" width="10" style="20" bestFit="1" customWidth="1"/>
    <col min="1045" max="1045" width="10.140625" style="20" bestFit="1" customWidth="1"/>
    <col min="1046" max="1046" width="17.85546875" style="20" bestFit="1" customWidth="1"/>
    <col min="1047" max="1047" width="10.140625" style="20" bestFit="1" customWidth="1"/>
    <col min="1048" max="1048" width="4.85546875" style="20" bestFit="1" customWidth="1"/>
    <col min="1049" max="1049" width="14" style="20" bestFit="1" customWidth="1"/>
    <col min="1050" max="1050" width="8.5703125" style="20" bestFit="1" customWidth="1"/>
    <col min="1051" max="1051" width="13.140625" style="20" bestFit="1" customWidth="1"/>
    <col min="1052" max="1052" width="42.140625" style="20" bestFit="1" customWidth="1"/>
    <col min="1053" max="1053" width="28.5703125" style="20" bestFit="1" customWidth="1"/>
    <col min="1054" max="1054" width="8.42578125" style="20" bestFit="1" customWidth="1"/>
    <col min="1055" max="1055" width="13" style="20" bestFit="1" customWidth="1"/>
    <col min="1056" max="1056" width="14.85546875" style="20" bestFit="1" customWidth="1"/>
    <col min="1057" max="1057" width="5.5703125" style="20" bestFit="1" customWidth="1"/>
    <col min="1058" max="1058" width="6" style="20" bestFit="1" customWidth="1"/>
    <col min="1059" max="1059" width="12.42578125" style="20" bestFit="1" customWidth="1"/>
    <col min="1060" max="1060" width="12.85546875" style="20" bestFit="1" customWidth="1"/>
    <col min="1061" max="1061" width="9.140625" style="20" bestFit="1" customWidth="1"/>
    <col min="1062" max="1062" width="6.85546875" style="20" bestFit="1" customWidth="1"/>
    <col min="1063" max="1063" width="8.140625" style="20" bestFit="1" customWidth="1"/>
    <col min="1064" max="1064" width="14.140625" style="20" bestFit="1" customWidth="1"/>
    <col min="1065" max="1066" width="4.85546875" style="20" bestFit="1" customWidth="1"/>
    <col min="1067" max="1067" width="10.85546875" style="20" bestFit="1" customWidth="1"/>
    <col min="1068" max="1068" width="17.85546875" style="20" bestFit="1" customWidth="1"/>
    <col min="1069" max="1069" width="148.140625" style="20" bestFit="1" customWidth="1"/>
    <col min="1070" max="1070" width="9.85546875" style="20" bestFit="1" customWidth="1"/>
    <col min="1071" max="1288" width="8.85546875" style="20" customWidth="1"/>
    <col min="1289" max="1289" width="9" style="20" bestFit="1" customWidth="1"/>
    <col min="1290" max="1290" width="10" style="20" bestFit="1" customWidth="1"/>
    <col min="1291" max="1291" width="10.85546875" style="20" bestFit="1" customWidth="1"/>
    <col min="1292" max="1292" width="7.85546875" style="20" bestFit="1" customWidth="1"/>
    <col min="1293" max="1293" width="5.140625" style="20" bestFit="1" customWidth="1"/>
    <col min="1294" max="1294" width="4" style="20" bestFit="1" customWidth="1"/>
    <col min="1295" max="1295" width="9.42578125" style="20" bestFit="1" customWidth="1"/>
    <col min="1296" max="1296" width="11.85546875" style="20" bestFit="1" customWidth="1"/>
    <col min="1297" max="1297" width="31.140625" style="20" bestFit="1" customWidth="1"/>
    <col min="1298" max="1298" width="7" style="20" bestFit="1" customWidth="1"/>
    <col min="1299" max="1299" width="13" style="20" bestFit="1" customWidth="1"/>
    <col min="1300" max="1300" width="10" style="20" bestFit="1" customWidth="1"/>
    <col min="1301" max="1301" width="10.140625" style="20" bestFit="1" customWidth="1"/>
    <col min="1302" max="1302" width="17.85546875" style="20" bestFit="1" customWidth="1"/>
    <col min="1303" max="1303" width="10.140625" style="20" bestFit="1" customWidth="1"/>
    <col min="1304" max="1304" width="4.85546875" style="20" bestFit="1" customWidth="1"/>
    <col min="1305" max="1305" width="14" style="20" bestFit="1" customWidth="1"/>
    <col min="1306" max="1306" width="8.5703125" style="20" bestFit="1" customWidth="1"/>
    <col min="1307" max="1307" width="13.140625" style="20" bestFit="1" customWidth="1"/>
    <col min="1308" max="1308" width="42.140625" style="20" bestFit="1" customWidth="1"/>
    <col min="1309" max="1309" width="28.5703125" style="20" bestFit="1" customWidth="1"/>
    <col min="1310" max="1310" width="8.42578125" style="20" bestFit="1" customWidth="1"/>
    <col min="1311" max="1311" width="13" style="20" bestFit="1" customWidth="1"/>
    <col min="1312" max="1312" width="14.85546875" style="20" bestFit="1" customWidth="1"/>
    <col min="1313" max="1313" width="5.5703125" style="20" bestFit="1" customWidth="1"/>
    <col min="1314" max="1314" width="6" style="20" bestFit="1" customWidth="1"/>
    <col min="1315" max="1315" width="12.42578125" style="20" bestFit="1" customWidth="1"/>
    <col min="1316" max="1316" width="12.85546875" style="20" bestFit="1" customWidth="1"/>
    <col min="1317" max="1317" width="9.140625" style="20" bestFit="1" customWidth="1"/>
    <col min="1318" max="1318" width="6.85546875" style="20" bestFit="1" customWidth="1"/>
    <col min="1319" max="1319" width="8.140625" style="20" bestFit="1" customWidth="1"/>
    <col min="1320" max="1320" width="14.140625" style="20" bestFit="1" customWidth="1"/>
    <col min="1321" max="1322" width="4.85546875" style="20" bestFit="1" customWidth="1"/>
    <col min="1323" max="1323" width="10.85546875" style="20" bestFit="1" customWidth="1"/>
    <col min="1324" max="1324" width="17.85546875" style="20" bestFit="1" customWidth="1"/>
    <col min="1325" max="1325" width="148.140625" style="20" bestFit="1" customWidth="1"/>
    <col min="1326" max="1326" width="9.85546875" style="20" bestFit="1" customWidth="1"/>
    <col min="1327" max="1544" width="8.85546875" style="20" customWidth="1"/>
    <col min="1545" max="1545" width="9" style="20" bestFit="1" customWidth="1"/>
    <col min="1546" max="1546" width="10" style="20" bestFit="1" customWidth="1"/>
    <col min="1547" max="1547" width="10.85546875" style="20" bestFit="1" customWidth="1"/>
    <col min="1548" max="1548" width="7.85546875" style="20" bestFit="1" customWidth="1"/>
    <col min="1549" max="1549" width="5.140625" style="20" bestFit="1" customWidth="1"/>
    <col min="1550" max="1550" width="4" style="20" bestFit="1" customWidth="1"/>
    <col min="1551" max="1551" width="9.42578125" style="20" bestFit="1" customWidth="1"/>
    <col min="1552" max="1552" width="11.85546875" style="20" bestFit="1" customWidth="1"/>
    <col min="1553" max="1553" width="31.140625" style="20" bestFit="1" customWidth="1"/>
    <col min="1554" max="1554" width="7" style="20" bestFit="1" customWidth="1"/>
    <col min="1555" max="1555" width="13" style="20" bestFit="1" customWidth="1"/>
    <col min="1556" max="1556" width="10" style="20" bestFit="1" customWidth="1"/>
    <col min="1557" max="1557" width="10.140625" style="20" bestFit="1" customWidth="1"/>
    <col min="1558" max="1558" width="17.85546875" style="20" bestFit="1" customWidth="1"/>
    <col min="1559" max="1559" width="10.140625" style="20" bestFit="1" customWidth="1"/>
    <col min="1560" max="1560" width="4.85546875" style="20" bestFit="1" customWidth="1"/>
    <col min="1561" max="1561" width="14" style="20" bestFit="1" customWidth="1"/>
    <col min="1562" max="1562" width="8.5703125" style="20" bestFit="1" customWidth="1"/>
    <col min="1563" max="1563" width="13.140625" style="20" bestFit="1" customWidth="1"/>
    <col min="1564" max="1564" width="42.140625" style="20" bestFit="1" customWidth="1"/>
    <col min="1565" max="1565" width="28.5703125" style="20" bestFit="1" customWidth="1"/>
    <col min="1566" max="1566" width="8.42578125" style="20" bestFit="1" customWidth="1"/>
    <col min="1567" max="1567" width="13" style="20" bestFit="1" customWidth="1"/>
    <col min="1568" max="1568" width="14.85546875" style="20" bestFit="1" customWidth="1"/>
    <col min="1569" max="1569" width="5.5703125" style="20" bestFit="1" customWidth="1"/>
    <col min="1570" max="1570" width="6" style="20" bestFit="1" customWidth="1"/>
    <col min="1571" max="1571" width="12.42578125" style="20" bestFit="1" customWidth="1"/>
    <col min="1572" max="1572" width="12.85546875" style="20" bestFit="1" customWidth="1"/>
    <col min="1573" max="1573" width="9.140625" style="20" bestFit="1" customWidth="1"/>
    <col min="1574" max="1574" width="6.85546875" style="20" bestFit="1" customWidth="1"/>
    <col min="1575" max="1575" width="8.140625" style="20" bestFit="1" customWidth="1"/>
    <col min="1576" max="1576" width="14.140625" style="20" bestFit="1" customWidth="1"/>
    <col min="1577" max="1578" width="4.85546875" style="20" bestFit="1" customWidth="1"/>
    <col min="1579" max="1579" width="10.85546875" style="20" bestFit="1" customWidth="1"/>
    <col min="1580" max="1580" width="17.85546875" style="20" bestFit="1" customWidth="1"/>
    <col min="1581" max="1581" width="148.140625" style="20" bestFit="1" customWidth="1"/>
    <col min="1582" max="1582" width="9.85546875" style="20" bestFit="1" customWidth="1"/>
    <col min="1583" max="1800" width="8.85546875" style="20" customWidth="1"/>
    <col min="1801" max="1801" width="9" style="20" bestFit="1" customWidth="1"/>
    <col min="1802" max="1802" width="10" style="20" bestFit="1" customWidth="1"/>
    <col min="1803" max="1803" width="10.85546875" style="20" bestFit="1" customWidth="1"/>
    <col min="1804" max="1804" width="7.85546875" style="20" bestFit="1" customWidth="1"/>
    <col min="1805" max="1805" width="5.140625" style="20" bestFit="1" customWidth="1"/>
    <col min="1806" max="1806" width="4" style="20" bestFit="1" customWidth="1"/>
    <col min="1807" max="1807" width="9.42578125" style="20" bestFit="1" customWidth="1"/>
    <col min="1808" max="1808" width="11.85546875" style="20" bestFit="1" customWidth="1"/>
    <col min="1809" max="1809" width="31.140625" style="20" bestFit="1" customWidth="1"/>
    <col min="1810" max="1810" width="7" style="20" bestFit="1" customWidth="1"/>
    <col min="1811" max="1811" width="13" style="20" bestFit="1" customWidth="1"/>
    <col min="1812" max="1812" width="10" style="20" bestFit="1" customWidth="1"/>
    <col min="1813" max="1813" width="10.140625" style="20" bestFit="1" customWidth="1"/>
    <col min="1814" max="1814" width="17.85546875" style="20" bestFit="1" customWidth="1"/>
    <col min="1815" max="1815" width="10.140625" style="20" bestFit="1" customWidth="1"/>
    <col min="1816" max="1816" width="4.85546875" style="20" bestFit="1" customWidth="1"/>
    <col min="1817" max="1817" width="14" style="20" bestFit="1" customWidth="1"/>
    <col min="1818" max="1818" width="8.5703125" style="20" bestFit="1" customWidth="1"/>
    <col min="1819" max="1819" width="13.140625" style="20" bestFit="1" customWidth="1"/>
    <col min="1820" max="1820" width="42.140625" style="20" bestFit="1" customWidth="1"/>
    <col min="1821" max="1821" width="28.5703125" style="20" bestFit="1" customWidth="1"/>
    <col min="1822" max="1822" width="8.42578125" style="20" bestFit="1" customWidth="1"/>
    <col min="1823" max="1823" width="13" style="20" bestFit="1" customWidth="1"/>
    <col min="1824" max="1824" width="14.85546875" style="20" bestFit="1" customWidth="1"/>
    <col min="1825" max="1825" width="5.5703125" style="20" bestFit="1" customWidth="1"/>
    <col min="1826" max="1826" width="6" style="20" bestFit="1" customWidth="1"/>
    <col min="1827" max="1827" width="12.42578125" style="20" bestFit="1" customWidth="1"/>
    <col min="1828" max="1828" width="12.85546875" style="20" bestFit="1" customWidth="1"/>
    <col min="1829" max="1829" width="9.140625" style="20" bestFit="1" customWidth="1"/>
    <col min="1830" max="1830" width="6.85546875" style="20" bestFit="1" customWidth="1"/>
    <col min="1831" max="1831" width="8.140625" style="20" bestFit="1" customWidth="1"/>
    <col min="1832" max="1832" width="14.140625" style="20" bestFit="1" customWidth="1"/>
    <col min="1833" max="1834" width="4.85546875" style="20" bestFit="1" customWidth="1"/>
    <col min="1835" max="1835" width="10.85546875" style="20" bestFit="1" customWidth="1"/>
    <col min="1836" max="1836" width="17.85546875" style="20" bestFit="1" customWidth="1"/>
    <col min="1837" max="1837" width="148.140625" style="20" bestFit="1" customWidth="1"/>
    <col min="1838" max="1838" width="9.85546875" style="20" bestFit="1" customWidth="1"/>
    <col min="1839" max="2056" width="8.85546875" style="20" customWidth="1"/>
    <col min="2057" max="2057" width="9" style="20" bestFit="1" customWidth="1"/>
    <col min="2058" max="2058" width="10" style="20" bestFit="1" customWidth="1"/>
    <col min="2059" max="2059" width="10.85546875" style="20" bestFit="1" customWidth="1"/>
    <col min="2060" max="2060" width="7.85546875" style="20" bestFit="1" customWidth="1"/>
    <col min="2061" max="2061" width="5.140625" style="20" bestFit="1" customWidth="1"/>
    <col min="2062" max="2062" width="4" style="20" bestFit="1" customWidth="1"/>
    <col min="2063" max="2063" width="9.42578125" style="20" bestFit="1" customWidth="1"/>
    <col min="2064" max="2064" width="11.85546875" style="20" bestFit="1" customWidth="1"/>
    <col min="2065" max="2065" width="31.140625" style="20" bestFit="1" customWidth="1"/>
    <col min="2066" max="2066" width="7" style="20" bestFit="1" customWidth="1"/>
    <col min="2067" max="2067" width="13" style="20" bestFit="1" customWidth="1"/>
    <col min="2068" max="2068" width="10" style="20" bestFit="1" customWidth="1"/>
    <col min="2069" max="2069" width="10.140625" style="20" bestFit="1" customWidth="1"/>
    <col min="2070" max="2070" width="17.85546875" style="20" bestFit="1" customWidth="1"/>
    <col min="2071" max="2071" width="10.140625" style="20" bestFit="1" customWidth="1"/>
    <col min="2072" max="2072" width="4.85546875" style="20" bestFit="1" customWidth="1"/>
    <col min="2073" max="2073" width="14" style="20" bestFit="1" customWidth="1"/>
    <col min="2074" max="2074" width="8.5703125" style="20" bestFit="1" customWidth="1"/>
    <col min="2075" max="2075" width="13.140625" style="20" bestFit="1" customWidth="1"/>
    <col min="2076" max="2076" width="42.140625" style="20" bestFit="1" customWidth="1"/>
    <col min="2077" max="2077" width="28.5703125" style="20" bestFit="1" customWidth="1"/>
    <col min="2078" max="2078" width="8.42578125" style="20" bestFit="1" customWidth="1"/>
    <col min="2079" max="2079" width="13" style="20" bestFit="1" customWidth="1"/>
    <col min="2080" max="2080" width="14.85546875" style="20" bestFit="1" customWidth="1"/>
    <col min="2081" max="2081" width="5.5703125" style="20" bestFit="1" customWidth="1"/>
    <col min="2082" max="2082" width="6" style="20" bestFit="1" customWidth="1"/>
    <col min="2083" max="2083" width="12.42578125" style="20" bestFit="1" customWidth="1"/>
    <col min="2084" max="2084" width="12.85546875" style="20" bestFit="1" customWidth="1"/>
    <col min="2085" max="2085" width="9.140625" style="20" bestFit="1" customWidth="1"/>
    <col min="2086" max="2086" width="6.85546875" style="20" bestFit="1" customWidth="1"/>
    <col min="2087" max="2087" width="8.140625" style="20" bestFit="1" customWidth="1"/>
    <col min="2088" max="2088" width="14.140625" style="20" bestFit="1" customWidth="1"/>
    <col min="2089" max="2090" width="4.85546875" style="20" bestFit="1" customWidth="1"/>
    <col min="2091" max="2091" width="10.85546875" style="20" bestFit="1" customWidth="1"/>
    <col min="2092" max="2092" width="17.85546875" style="20" bestFit="1" customWidth="1"/>
    <col min="2093" max="2093" width="148.140625" style="20" bestFit="1" customWidth="1"/>
    <col min="2094" max="2094" width="9.85546875" style="20" bestFit="1" customWidth="1"/>
    <col min="2095" max="2312" width="8.85546875" style="20" customWidth="1"/>
    <col min="2313" max="2313" width="9" style="20" bestFit="1" customWidth="1"/>
    <col min="2314" max="2314" width="10" style="20" bestFit="1" customWidth="1"/>
    <col min="2315" max="2315" width="10.85546875" style="20" bestFit="1" customWidth="1"/>
    <col min="2316" max="2316" width="7.85546875" style="20" bestFit="1" customWidth="1"/>
    <col min="2317" max="2317" width="5.140625" style="20" bestFit="1" customWidth="1"/>
    <col min="2318" max="2318" width="4" style="20" bestFit="1" customWidth="1"/>
    <col min="2319" max="2319" width="9.42578125" style="20" bestFit="1" customWidth="1"/>
    <col min="2320" max="2320" width="11.85546875" style="20" bestFit="1" customWidth="1"/>
    <col min="2321" max="2321" width="31.140625" style="20" bestFit="1" customWidth="1"/>
    <col min="2322" max="2322" width="7" style="20" bestFit="1" customWidth="1"/>
    <col min="2323" max="2323" width="13" style="20" bestFit="1" customWidth="1"/>
    <col min="2324" max="2324" width="10" style="20" bestFit="1" customWidth="1"/>
    <col min="2325" max="2325" width="10.140625" style="20" bestFit="1" customWidth="1"/>
    <col min="2326" max="2326" width="17.85546875" style="20" bestFit="1" customWidth="1"/>
    <col min="2327" max="2327" width="10.140625" style="20" bestFit="1" customWidth="1"/>
    <col min="2328" max="2328" width="4.85546875" style="20" bestFit="1" customWidth="1"/>
    <col min="2329" max="2329" width="14" style="20" bestFit="1" customWidth="1"/>
    <col min="2330" max="2330" width="8.5703125" style="20" bestFit="1" customWidth="1"/>
    <col min="2331" max="2331" width="13.140625" style="20" bestFit="1" customWidth="1"/>
    <col min="2332" max="2332" width="42.140625" style="20" bestFit="1" customWidth="1"/>
    <col min="2333" max="2333" width="28.5703125" style="20" bestFit="1" customWidth="1"/>
    <col min="2334" max="2334" width="8.42578125" style="20" bestFit="1" customWidth="1"/>
    <col min="2335" max="2335" width="13" style="20" bestFit="1" customWidth="1"/>
    <col min="2336" max="2336" width="14.85546875" style="20" bestFit="1" customWidth="1"/>
    <col min="2337" max="2337" width="5.5703125" style="20" bestFit="1" customWidth="1"/>
    <col min="2338" max="2338" width="6" style="20" bestFit="1" customWidth="1"/>
    <col min="2339" max="2339" width="12.42578125" style="20" bestFit="1" customWidth="1"/>
    <col min="2340" max="2340" width="12.85546875" style="20" bestFit="1" customWidth="1"/>
    <col min="2341" max="2341" width="9.140625" style="20" bestFit="1" customWidth="1"/>
    <col min="2342" max="2342" width="6.85546875" style="20" bestFit="1" customWidth="1"/>
    <col min="2343" max="2343" width="8.140625" style="20" bestFit="1" customWidth="1"/>
    <col min="2344" max="2344" width="14.140625" style="20" bestFit="1" customWidth="1"/>
    <col min="2345" max="2346" width="4.85546875" style="20" bestFit="1" customWidth="1"/>
    <col min="2347" max="2347" width="10.85546875" style="20" bestFit="1" customWidth="1"/>
    <col min="2348" max="2348" width="17.85546875" style="20" bestFit="1" customWidth="1"/>
    <col min="2349" max="2349" width="148.140625" style="20" bestFit="1" customWidth="1"/>
    <col min="2350" max="2350" width="9.85546875" style="20" bestFit="1" customWidth="1"/>
    <col min="2351" max="2568" width="8.85546875" style="20" customWidth="1"/>
    <col min="2569" max="2569" width="9" style="20" bestFit="1" customWidth="1"/>
    <col min="2570" max="2570" width="10" style="20" bestFit="1" customWidth="1"/>
    <col min="2571" max="2571" width="10.85546875" style="20" bestFit="1" customWidth="1"/>
    <col min="2572" max="2572" width="7.85546875" style="20" bestFit="1" customWidth="1"/>
    <col min="2573" max="2573" width="5.140625" style="20" bestFit="1" customWidth="1"/>
    <col min="2574" max="2574" width="4" style="20" bestFit="1" customWidth="1"/>
    <col min="2575" max="2575" width="9.42578125" style="20" bestFit="1" customWidth="1"/>
    <col min="2576" max="2576" width="11.85546875" style="20" bestFit="1" customWidth="1"/>
    <col min="2577" max="2577" width="31.140625" style="20" bestFit="1" customWidth="1"/>
    <col min="2578" max="2578" width="7" style="20" bestFit="1" customWidth="1"/>
    <col min="2579" max="2579" width="13" style="20" bestFit="1" customWidth="1"/>
    <col min="2580" max="2580" width="10" style="20" bestFit="1" customWidth="1"/>
    <col min="2581" max="2581" width="10.140625" style="20" bestFit="1" customWidth="1"/>
    <col min="2582" max="2582" width="17.85546875" style="20" bestFit="1" customWidth="1"/>
    <col min="2583" max="2583" width="10.140625" style="20" bestFit="1" customWidth="1"/>
    <col min="2584" max="2584" width="4.85546875" style="20" bestFit="1" customWidth="1"/>
    <col min="2585" max="2585" width="14" style="20" bestFit="1" customWidth="1"/>
    <col min="2586" max="2586" width="8.5703125" style="20" bestFit="1" customWidth="1"/>
    <col min="2587" max="2587" width="13.140625" style="20" bestFit="1" customWidth="1"/>
    <col min="2588" max="2588" width="42.140625" style="20" bestFit="1" customWidth="1"/>
    <col min="2589" max="2589" width="28.5703125" style="20" bestFit="1" customWidth="1"/>
    <col min="2590" max="2590" width="8.42578125" style="20" bestFit="1" customWidth="1"/>
    <col min="2591" max="2591" width="13" style="20" bestFit="1" customWidth="1"/>
    <col min="2592" max="2592" width="14.85546875" style="20" bestFit="1" customWidth="1"/>
    <col min="2593" max="2593" width="5.5703125" style="20" bestFit="1" customWidth="1"/>
    <col min="2594" max="2594" width="6" style="20" bestFit="1" customWidth="1"/>
    <col min="2595" max="2595" width="12.42578125" style="20" bestFit="1" customWidth="1"/>
    <col min="2596" max="2596" width="12.85546875" style="20" bestFit="1" customWidth="1"/>
    <col min="2597" max="2597" width="9.140625" style="20" bestFit="1" customWidth="1"/>
    <col min="2598" max="2598" width="6.85546875" style="20" bestFit="1" customWidth="1"/>
    <col min="2599" max="2599" width="8.140625" style="20" bestFit="1" customWidth="1"/>
    <col min="2600" max="2600" width="14.140625" style="20" bestFit="1" customWidth="1"/>
    <col min="2601" max="2602" width="4.85546875" style="20" bestFit="1" customWidth="1"/>
    <col min="2603" max="2603" width="10.85546875" style="20" bestFit="1" customWidth="1"/>
    <col min="2604" max="2604" width="17.85546875" style="20" bestFit="1" customWidth="1"/>
    <col min="2605" max="2605" width="148.140625" style="20" bestFit="1" customWidth="1"/>
    <col min="2606" max="2606" width="9.85546875" style="20" bestFit="1" customWidth="1"/>
    <col min="2607" max="2824" width="8.85546875" style="20" customWidth="1"/>
    <col min="2825" max="2825" width="9" style="20" bestFit="1" customWidth="1"/>
    <col min="2826" max="2826" width="10" style="20" bestFit="1" customWidth="1"/>
    <col min="2827" max="2827" width="10.85546875" style="20" bestFit="1" customWidth="1"/>
    <col min="2828" max="2828" width="7.85546875" style="20" bestFit="1" customWidth="1"/>
    <col min="2829" max="2829" width="5.140625" style="20" bestFit="1" customWidth="1"/>
    <col min="2830" max="2830" width="4" style="20" bestFit="1" customWidth="1"/>
    <col min="2831" max="2831" width="9.42578125" style="20" bestFit="1" customWidth="1"/>
    <col min="2832" max="2832" width="11.85546875" style="20" bestFit="1" customWidth="1"/>
    <col min="2833" max="2833" width="31.140625" style="20" bestFit="1" customWidth="1"/>
    <col min="2834" max="2834" width="7" style="20" bestFit="1" customWidth="1"/>
    <col min="2835" max="2835" width="13" style="20" bestFit="1" customWidth="1"/>
    <col min="2836" max="2836" width="10" style="20" bestFit="1" customWidth="1"/>
    <col min="2837" max="2837" width="10.140625" style="20" bestFit="1" customWidth="1"/>
    <col min="2838" max="2838" width="17.85546875" style="20" bestFit="1" customWidth="1"/>
    <col min="2839" max="2839" width="10.140625" style="20" bestFit="1" customWidth="1"/>
    <col min="2840" max="2840" width="4.85546875" style="20" bestFit="1" customWidth="1"/>
    <col min="2841" max="2841" width="14" style="20" bestFit="1" customWidth="1"/>
    <col min="2842" max="2842" width="8.5703125" style="20" bestFit="1" customWidth="1"/>
    <col min="2843" max="2843" width="13.140625" style="20" bestFit="1" customWidth="1"/>
    <col min="2844" max="2844" width="42.140625" style="20" bestFit="1" customWidth="1"/>
    <col min="2845" max="2845" width="28.5703125" style="20" bestFit="1" customWidth="1"/>
    <col min="2846" max="2846" width="8.42578125" style="20" bestFit="1" customWidth="1"/>
    <col min="2847" max="2847" width="13" style="20" bestFit="1" customWidth="1"/>
    <col min="2848" max="2848" width="14.85546875" style="20" bestFit="1" customWidth="1"/>
    <col min="2849" max="2849" width="5.5703125" style="20" bestFit="1" customWidth="1"/>
    <col min="2850" max="2850" width="6" style="20" bestFit="1" customWidth="1"/>
    <col min="2851" max="2851" width="12.42578125" style="20" bestFit="1" customWidth="1"/>
    <col min="2852" max="2852" width="12.85546875" style="20" bestFit="1" customWidth="1"/>
    <col min="2853" max="2853" width="9.140625" style="20" bestFit="1" customWidth="1"/>
    <col min="2854" max="2854" width="6.85546875" style="20" bestFit="1" customWidth="1"/>
    <col min="2855" max="2855" width="8.140625" style="20" bestFit="1" customWidth="1"/>
    <col min="2856" max="2856" width="14.140625" style="20" bestFit="1" customWidth="1"/>
    <col min="2857" max="2858" width="4.85546875" style="20" bestFit="1" customWidth="1"/>
    <col min="2859" max="2859" width="10.85546875" style="20" bestFit="1" customWidth="1"/>
    <col min="2860" max="2860" width="17.85546875" style="20" bestFit="1" customWidth="1"/>
    <col min="2861" max="2861" width="148.140625" style="20" bestFit="1" customWidth="1"/>
    <col min="2862" max="2862" width="9.85546875" style="20" bestFit="1" customWidth="1"/>
    <col min="2863" max="3080" width="8.85546875" style="20" customWidth="1"/>
    <col min="3081" max="3081" width="9" style="20" bestFit="1" customWidth="1"/>
    <col min="3082" max="3082" width="10" style="20" bestFit="1" customWidth="1"/>
    <col min="3083" max="3083" width="10.85546875" style="20" bestFit="1" customWidth="1"/>
    <col min="3084" max="3084" width="7.85546875" style="20" bestFit="1" customWidth="1"/>
    <col min="3085" max="3085" width="5.140625" style="20" bestFit="1" customWidth="1"/>
    <col min="3086" max="3086" width="4" style="20" bestFit="1" customWidth="1"/>
    <col min="3087" max="3087" width="9.42578125" style="20" bestFit="1" customWidth="1"/>
    <col min="3088" max="3088" width="11.85546875" style="20" bestFit="1" customWidth="1"/>
    <col min="3089" max="3089" width="31.140625" style="20" bestFit="1" customWidth="1"/>
    <col min="3090" max="3090" width="7" style="20" bestFit="1" customWidth="1"/>
    <col min="3091" max="3091" width="13" style="20" bestFit="1" customWidth="1"/>
    <col min="3092" max="3092" width="10" style="20" bestFit="1" customWidth="1"/>
    <col min="3093" max="3093" width="10.140625" style="20" bestFit="1" customWidth="1"/>
    <col min="3094" max="3094" width="17.85546875" style="20" bestFit="1" customWidth="1"/>
    <col min="3095" max="3095" width="10.140625" style="20" bestFit="1" customWidth="1"/>
    <col min="3096" max="3096" width="4.85546875" style="20" bestFit="1" customWidth="1"/>
    <col min="3097" max="3097" width="14" style="20" bestFit="1" customWidth="1"/>
    <col min="3098" max="3098" width="8.5703125" style="20" bestFit="1" customWidth="1"/>
    <col min="3099" max="3099" width="13.140625" style="20" bestFit="1" customWidth="1"/>
    <col min="3100" max="3100" width="42.140625" style="20" bestFit="1" customWidth="1"/>
    <col min="3101" max="3101" width="28.5703125" style="20" bestFit="1" customWidth="1"/>
    <col min="3102" max="3102" width="8.42578125" style="20" bestFit="1" customWidth="1"/>
    <col min="3103" max="3103" width="13" style="20" bestFit="1" customWidth="1"/>
    <col min="3104" max="3104" width="14.85546875" style="20" bestFit="1" customWidth="1"/>
    <col min="3105" max="3105" width="5.5703125" style="20" bestFit="1" customWidth="1"/>
    <col min="3106" max="3106" width="6" style="20" bestFit="1" customWidth="1"/>
    <col min="3107" max="3107" width="12.42578125" style="20" bestFit="1" customWidth="1"/>
    <col min="3108" max="3108" width="12.85546875" style="20" bestFit="1" customWidth="1"/>
    <col min="3109" max="3109" width="9.140625" style="20" bestFit="1" customWidth="1"/>
    <col min="3110" max="3110" width="6.85546875" style="20" bestFit="1" customWidth="1"/>
    <col min="3111" max="3111" width="8.140625" style="20" bestFit="1" customWidth="1"/>
    <col min="3112" max="3112" width="14.140625" style="20" bestFit="1" customWidth="1"/>
    <col min="3113" max="3114" width="4.85546875" style="20" bestFit="1" customWidth="1"/>
    <col min="3115" max="3115" width="10.85546875" style="20" bestFit="1" customWidth="1"/>
    <col min="3116" max="3116" width="17.85546875" style="20" bestFit="1" customWidth="1"/>
    <col min="3117" max="3117" width="148.140625" style="20" bestFit="1" customWidth="1"/>
    <col min="3118" max="3118" width="9.85546875" style="20" bestFit="1" customWidth="1"/>
    <col min="3119" max="3336" width="8.85546875" style="20" customWidth="1"/>
    <col min="3337" max="3337" width="9" style="20" bestFit="1" customWidth="1"/>
    <col min="3338" max="3338" width="10" style="20" bestFit="1" customWidth="1"/>
    <col min="3339" max="3339" width="10.85546875" style="20" bestFit="1" customWidth="1"/>
    <col min="3340" max="3340" width="7.85546875" style="20" bestFit="1" customWidth="1"/>
    <col min="3341" max="3341" width="5.140625" style="20" bestFit="1" customWidth="1"/>
    <col min="3342" max="3342" width="4" style="20" bestFit="1" customWidth="1"/>
    <col min="3343" max="3343" width="9.42578125" style="20" bestFit="1" customWidth="1"/>
    <col min="3344" max="3344" width="11.85546875" style="20" bestFit="1" customWidth="1"/>
    <col min="3345" max="3345" width="31.140625" style="20" bestFit="1" customWidth="1"/>
    <col min="3346" max="3346" width="7" style="20" bestFit="1" customWidth="1"/>
    <col min="3347" max="3347" width="13" style="20" bestFit="1" customWidth="1"/>
    <col min="3348" max="3348" width="10" style="20" bestFit="1" customWidth="1"/>
    <col min="3349" max="3349" width="10.140625" style="20" bestFit="1" customWidth="1"/>
    <col min="3350" max="3350" width="17.85546875" style="20" bestFit="1" customWidth="1"/>
    <col min="3351" max="3351" width="10.140625" style="20" bestFit="1" customWidth="1"/>
    <col min="3352" max="3352" width="4.85546875" style="20" bestFit="1" customWidth="1"/>
    <col min="3353" max="3353" width="14" style="20" bestFit="1" customWidth="1"/>
    <col min="3354" max="3354" width="8.5703125" style="20" bestFit="1" customWidth="1"/>
    <col min="3355" max="3355" width="13.140625" style="20" bestFit="1" customWidth="1"/>
    <col min="3356" max="3356" width="42.140625" style="20" bestFit="1" customWidth="1"/>
    <col min="3357" max="3357" width="28.5703125" style="20" bestFit="1" customWidth="1"/>
    <col min="3358" max="3358" width="8.42578125" style="20" bestFit="1" customWidth="1"/>
    <col min="3359" max="3359" width="13" style="20" bestFit="1" customWidth="1"/>
    <col min="3360" max="3360" width="14.85546875" style="20" bestFit="1" customWidth="1"/>
    <col min="3361" max="3361" width="5.5703125" style="20" bestFit="1" customWidth="1"/>
    <col min="3362" max="3362" width="6" style="20" bestFit="1" customWidth="1"/>
    <col min="3363" max="3363" width="12.42578125" style="20" bestFit="1" customWidth="1"/>
    <col min="3364" max="3364" width="12.85546875" style="20" bestFit="1" customWidth="1"/>
    <col min="3365" max="3365" width="9.140625" style="20" bestFit="1" customWidth="1"/>
    <col min="3366" max="3366" width="6.85546875" style="20" bestFit="1" customWidth="1"/>
    <col min="3367" max="3367" width="8.140625" style="20" bestFit="1" customWidth="1"/>
    <col min="3368" max="3368" width="14.140625" style="20" bestFit="1" customWidth="1"/>
    <col min="3369" max="3370" width="4.85546875" style="20" bestFit="1" customWidth="1"/>
    <col min="3371" max="3371" width="10.85546875" style="20" bestFit="1" customWidth="1"/>
    <col min="3372" max="3372" width="17.85546875" style="20" bestFit="1" customWidth="1"/>
    <col min="3373" max="3373" width="148.140625" style="20" bestFit="1" customWidth="1"/>
    <col min="3374" max="3374" width="9.85546875" style="20" bestFit="1" customWidth="1"/>
    <col min="3375" max="3592" width="8.85546875" style="20" customWidth="1"/>
    <col min="3593" max="3593" width="9" style="20" bestFit="1" customWidth="1"/>
    <col min="3594" max="3594" width="10" style="20" bestFit="1" customWidth="1"/>
    <col min="3595" max="3595" width="10.85546875" style="20" bestFit="1" customWidth="1"/>
    <col min="3596" max="3596" width="7.85546875" style="20" bestFit="1" customWidth="1"/>
    <col min="3597" max="3597" width="5.140625" style="20" bestFit="1" customWidth="1"/>
    <col min="3598" max="3598" width="4" style="20" bestFit="1" customWidth="1"/>
    <col min="3599" max="3599" width="9.42578125" style="20" bestFit="1" customWidth="1"/>
    <col min="3600" max="3600" width="11.85546875" style="20" bestFit="1" customWidth="1"/>
    <col min="3601" max="3601" width="31.140625" style="20" bestFit="1" customWidth="1"/>
    <col min="3602" max="3602" width="7" style="20" bestFit="1" customWidth="1"/>
    <col min="3603" max="3603" width="13" style="20" bestFit="1" customWidth="1"/>
    <col min="3604" max="3604" width="10" style="20" bestFit="1" customWidth="1"/>
    <col min="3605" max="3605" width="10.140625" style="20" bestFit="1" customWidth="1"/>
    <col min="3606" max="3606" width="17.85546875" style="20" bestFit="1" customWidth="1"/>
    <col min="3607" max="3607" width="10.140625" style="20" bestFit="1" customWidth="1"/>
    <col min="3608" max="3608" width="4.85546875" style="20" bestFit="1" customWidth="1"/>
    <col min="3609" max="3609" width="14" style="20" bestFit="1" customWidth="1"/>
    <col min="3610" max="3610" width="8.5703125" style="20" bestFit="1" customWidth="1"/>
    <col min="3611" max="3611" width="13.140625" style="20" bestFit="1" customWidth="1"/>
    <col min="3612" max="3612" width="42.140625" style="20" bestFit="1" customWidth="1"/>
    <col min="3613" max="3613" width="28.5703125" style="20" bestFit="1" customWidth="1"/>
    <col min="3614" max="3614" width="8.42578125" style="20" bestFit="1" customWidth="1"/>
    <col min="3615" max="3615" width="13" style="20" bestFit="1" customWidth="1"/>
    <col min="3616" max="3616" width="14.85546875" style="20" bestFit="1" customWidth="1"/>
    <col min="3617" max="3617" width="5.5703125" style="20" bestFit="1" customWidth="1"/>
    <col min="3618" max="3618" width="6" style="20" bestFit="1" customWidth="1"/>
    <col min="3619" max="3619" width="12.42578125" style="20" bestFit="1" customWidth="1"/>
    <col min="3620" max="3620" width="12.85546875" style="20" bestFit="1" customWidth="1"/>
    <col min="3621" max="3621" width="9.140625" style="20" bestFit="1" customWidth="1"/>
    <col min="3622" max="3622" width="6.85546875" style="20" bestFit="1" customWidth="1"/>
    <col min="3623" max="3623" width="8.140625" style="20" bestFit="1" customWidth="1"/>
    <col min="3624" max="3624" width="14.140625" style="20" bestFit="1" customWidth="1"/>
    <col min="3625" max="3626" width="4.85546875" style="20" bestFit="1" customWidth="1"/>
    <col min="3627" max="3627" width="10.85546875" style="20" bestFit="1" customWidth="1"/>
    <col min="3628" max="3628" width="17.85546875" style="20" bestFit="1" customWidth="1"/>
    <col min="3629" max="3629" width="148.140625" style="20" bestFit="1" customWidth="1"/>
    <col min="3630" max="3630" width="9.85546875" style="20" bestFit="1" customWidth="1"/>
    <col min="3631" max="3848" width="8.85546875" style="20" customWidth="1"/>
    <col min="3849" max="3849" width="9" style="20" bestFit="1" customWidth="1"/>
    <col min="3850" max="3850" width="10" style="20" bestFit="1" customWidth="1"/>
    <col min="3851" max="3851" width="10.85546875" style="20" bestFit="1" customWidth="1"/>
    <col min="3852" max="3852" width="7.85546875" style="20" bestFit="1" customWidth="1"/>
    <col min="3853" max="3853" width="5.140625" style="20" bestFit="1" customWidth="1"/>
    <col min="3854" max="3854" width="4" style="20" bestFit="1" customWidth="1"/>
    <col min="3855" max="3855" width="9.42578125" style="20" bestFit="1" customWidth="1"/>
    <col min="3856" max="3856" width="11.85546875" style="20" bestFit="1" customWidth="1"/>
    <col min="3857" max="3857" width="31.140625" style="20" bestFit="1" customWidth="1"/>
    <col min="3858" max="3858" width="7" style="20" bestFit="1" customWidth="1"/>
    <col min="3859" max="3859" width="13" style="20" bestFit="1" customWidth="1"/>
    <col min="3860" max="3860" width="10" style="20" bestFit="1" customWidth="1"/>
    <col min="3861" max="3861" width="10.140625" style="20" bestFit="1" customWidth="1"/>
    <col min="3862" max="3862" width="17.85546875" style="20" bestFit="1" customWidth="1"/>
    <col min="3863" max="3863" width="10.140625" style="20" bestFit="1" customWidth="1"/>
    <col min="3864" max="3864" width="4.85546875" style="20" bestFit="1" customWidth="1"/>
    <col min="3865" max="3865" width="14" style="20" bestFit="1" customWidth="1"/>
    <col min="3866" max="3866" width="8.5703125" style="20" bestFit="1" customWidth="1"/>
    <col min="3867" max="3867" width="13.140625" style="20" bestFit="1" customWidth="1"/>
    <col min="3868" max="3868" width="42.140625" style="20" bestFit="1" customWidth="1"/>
    <col min="3869" max="3869" width="28.5703125" style="20" bestFit="1" customWidth="1"/>
    <col min="3870" max="3870" width="8.42578125" style="20" bestFit="1" customWidth="1"/>
    <col min="3871" max="3871" width="13" style="20" bestFit="1" customWidth="1"/>
    <col min="3872" max="3872" width="14.85546875" style="20" bestFit="1" customWidth="1"/>
    <col min="3873" max="3873" width="5.5703125" style="20" bestFit="1" customWidth="1"/>
    <col min="3874" max="3874" width="6" style="20" bestFit="1" customWidth="1"/>
    <col min="3875" max="3875" width="12.42578125" style="20" bestFit="1" customWidth="1"/>
    <col min="3876" max="3876" width="12.85546875" style="20" bestFit="1" customWidth="1"/>
    <col min="3877" max="3877" width="9.140625" style="20" bestFit="1" customWidth="1"/>
    <col min="3878" max="3878" width="6.85546875" style="20" bestFit="1" customWidth="1"/>
    <col min="3879" max="3879" width="8.140625" style="20" bestFit="1" customWidth="1"/>
    <col min="3880" max="3880" width="14.140625" style="20" bestFit="1" customWidth="1"/>
    <col min="3881" max="3882" width="4.85546875" style="20" bestFit="1" customWidth="1"/>
    <col min="3883" max="3883" width="10.85546875" style="20" bestFit="1" customWidth="1"/>
    <col min="3884" max="3884" width="17.85546875" style="20" bestFit="1" customWidth="1"/>
    <col min="3885" max="3885" width="148.140625" style="20" bestFit="1" customWidth="1"/>
    <col min="3886" max="3886" width="9.85546875" style="20" bestFit="1" customWidth="1"/>
    <col min="3887" max="4104" width="8.85546875" style="20" customWidth="1"/>
    <col min="4105" max="4105" width="9" style="20" bestFit="1" customWidth="1"/>
    <col min="4106" max="4106" width="10" style="20" bestFit="1" customWidth="1"/>
    <col min="4107" max="4107" width="10.85546875" style="20" bestFit="1" customWidth="1"/>
    <col min="4108" max="4108" width="7.85546875" style="20" bestFit="1" customWidth="1"/>
    <col min="4109" max="4109" width="5.140625" style="20" bestFit="1" customWidth="1"/>
    <col min="4110" max="4110" width="4" style="20" bestFit="1" customWidth="1"/>
    <col min="4111" max="4111" width="9.42578125" style="20" bestFit="1" customWidth="1"/>
    <col min="4112" max="4112" width="11.85546875" style="20" bestFit="1" customWidth="1"/>
    <col min="4113" max="4113" width="31.140625" style="20" bestFit="1" customWidth="1"/>
    <col min="4114" max="4114" width="7" style="20" bestFit="1" customWidth="1"/>
    <col min="4115" max="4115" width="13" style="20" bestFit="1" customWidth="1"/>
    <col min="4116" max="4116" width="10" style="20" bestFit="1" customWidth="1"/>
    <col min="4117" max="4117" width="10.140625" style="20" bestFit="1" customWidth="1"/>
    <col min="4118" max="4118" width="17.85546875" style="20" bestFit="1" customWidth="1"/>
    <col min="4119" max="4119" width="10.140625" style="20" bestFit="1" customWidth="1"/>
    <col min="4120" max="4120" width="4.85546875" style="20" bestFit="1" customWidth="1"/>
    <col min="4121" max="4121" width="14" style="20" bestFit="1" customWidth="1"/>
    <col min="4122" max="4122" width="8.5703125" style="20" bestFit="1" customWidth="1"/>
    <col min="4123" max="4123" width="13.140625" style="20" bestFit="1" customWidth="1"/>
    <col min="4124" max="4124" width="42.140625" style="20" bestFit="1" customWidth="1"/>
    <col min="4125" max="4125" width="28.5703125" style="20" bestFit="1" customWidth="1"/>
    <col min="4126" max="4126" width="8.42578125" style="20" bestFit="1" customWidth="1"/>
    <col min="4127" max="4127" width="13" style="20" bestFit="1" customWidth="1"/>
    <col min="4128" max="4128" width="14.85546875" style="20" bestFit="1" customWidth="1"/>
    <col min="4129" max="4129" width="5.5703125" style="20" bestFit="1" customWidth="1"/>
    <col min="4130" max="4130" width="6" style="20" bestFit="1" customWidth="1"/>
    <col min="4131" max="4131" width="12.42578125" style="20" bestFit="1" customWidth="1"/>
    <col min="4132" max="4132" width="12.85546875" style="20" bestFit="1" customWidth="1"/>
    <col min="4133" max="4133" width="9.140625" style="20" bestFit="1" customWidth="1"/>
    <col min="4134" max="4134" width="6.85546875" style="20" bestFit="1" customWidth="1"/>
    <col min="4135" max="4135" width="8.140625" style="20" bestFit="1" customWidth="1"/>
    <col min="4136" max="4136" width="14.140625" style="20" bestFit="1" customWidth="1"/>
    <col min="4137" max="4138" width="4.85546875" style="20" bestFit="1" customWidth="1"/>
    <col min="4139" max="4139" width="10.85546875" style="20" bestFit="1" customWidth="1"/>
    <col min="4140" max="4140" width="17.85546875" style="20" bestFit="1" customWidth="1"/>
    <col min="4141" max="4141" width="148.140625" style="20" bestFit="1" customWidth="1"/>
    <col min="4142" max="4142" width="9.85546875" style="20" bestFit="1" customWidth="1"/>
    <col min="4143" max="4360" width="8.85546875" style="20" customWidth="1"/>
    <col min="4361" max="4361" width="9" style="20" bestFit="1" customWidth="1"/>
    <col min="4362" max="4362" width="10" style="20" bestFit="1" customWidth="1"/>
    <col min="4363" max="4363" width="10.85546875" style="20" bestFit="1" customWidth="1"/>
    <col min="4364" max="4364" width="7.85546875" style="20" bestFit="1" customWidth="1"/>
    <col min="4365" max="4365" width="5.140625" style="20" bestFit="1" customWidth="1"/>
    <col min="4366" max="4366" width="4" style="20" bestFit="1" customWidth="1"/>
    <col min="4367" max="4367" width="9.42578125" style="20" bestFit="1" customWidth="1"/>
    <col min="4368" max="4368" width="11.85546875" style="20" bestFit="1" customWidth="1"/>
    <col min="4369" max="4369" width="31.140625" style="20" bestFit="1" customWidth="1"/>
    <col min="4370" max="4370" width="7" style="20" bestFit="1" customWidth="1"/>
    <col min="4371" max="4371" width="13" style="20" bestFit="1" customWidth="1"/>
    <col min="4372" max="4372" width="10" style="20" bestFit="1" customWidth="1"/>
    <col min="4373" max="4373" width="10.140625" style="20" bestFit="1" customWidth="1"/>
    <col min="4374" max="4374" width="17.85546875" style="20" bestFit="1" customWidth="1"/>
    <col min="4375" max="4375" width="10.140625" style="20" bestFit="1" customWidth="1"/>
    <col min="4376" max="4376" width="4.85546875" style="20" bestFit="1" customWidth="1"/>
    <col min="4377" max="4377" width="14" style="20" bestFit="1" customWidth="1"/>
    <col min="4378" max="4378" width="8.5703125" style="20" bestFit="1" customWidth="1"/>
    <col min="4379" max="4379" width="13.140625" style="20" bestFit="1" customWidth="1"/>
    <col min="4380" max="4380" width="42.140625" style="20" bestFit="1" customWidth="1"/>
    <col min="4381" max="4381" width="28.5703125" style="20" bestFit="1" customWidth="1"/>
    <col min="4382" max="4382" width="8.42578125" style="20" bestFit="1" customWidth="1"/>
    <col min="4383" max="4383" width="13" style="20" bestFit="1" customWidth="1"/>
    <col min="4384" max="4384" width="14.85546875" style="20" bestFit="1" customWidth="1"/>
    <col min="4385" max="4385" width="5.5703125" style="20" bestFit="1" customWidth="1"/>
    <col min="4386" max="4386" width="6" style="20" bestFit="1" customWidth="1"/>
    <col min="4387" max="4387" width="12.42578125" style="20" bestFit="1" customWidth="1"/>
    <col min="4388" max="4388" width="12.85546875" style="20" bestFit="1" customWidth="1"/>
    <col min="4389" max="4389" width="9.140625" style="20" bestFit="1" customWidth="1"/>
    <col min="4390" max="4390" width="6.85546875" style="20" bestFit="1" customWidth="1"/>
    <col min="4391" max="4391" width="8.140625" style="20" bestFit="1" customWidth="1"/>
    <col min="4392" max="4392" width="14.140625" style="20" bestFit="1" customWidth="1"/>
    <col min="4393" max="4394" width="4.85546875" style="20" bestFit="1" customWidth="1"/>
    <col min="4395" max="4395" width="10.85546875" style="20" bestFit="1" customWidth="1"/>
    <col min="4396" max="4396" width="17.85546875" style="20" bestFit="1" customWidth="1"/>
    <col min="4397" max="4397" width="148.140625" style="20" bestFit="1" customWidth="1"/>
    <col min="4398" max="4398" width="9.85546875" style="20" bestFit="1" customWidth="1"/>
    <col min="4399" max="4616" width="8.85546875" style="20" customWidth="1"/>
    <col min="4617" max="4617" width="9" style="20" bestFit="1" customWidth="1"/>
    <col min="4618" max="4618" width="10" style="20" bestFit="1" customWidth="1"/>
    <col min="4619" max="4619" width="10.85546875" style="20" bestFit="1" customWidth="1"/>
    <col min="4620" max="4620" width="7.85546875" style="20" bestFit="1" customWidth="1"/>
    <col min="4621" max="4621" width="5.140625" style="20" bestFit="1" customWidth="1"/>
    <col min="4622" max="4622" width="4" style="20" bestFit="1" customWidth="1"/>
    <col min="4623" max="4623" width="9.42578125" style="20" bestFit="1" customWidth="1"/>
    <col min="4624" max="4624" width="11.85546875" style="20" bestFit="1" customWidth="1"/>
    <col min="4625" max="4625" width="31.140625" style="20" bestFit="1" customWidth="1"/>
    <col min="4626" max="4626" width="7" style="20" bestFit="1" customWidth="1"/>
    <col min="4627" max="4627" width="13" style="20" bestFit="1" customWidth="1"/>
    <col min="4628" max="4628" width="10" style="20" bestFit="1" customWidth="1"/>
    <col min="4629" max="4629" width="10.140625" style="20" bestFit="1" customWidth="1"/>
    <col min="4630" max="4630" width="17.85546875" style="20" bestFit="1" customWidth="1"/>
    <col min="4631" max="4631" width="10.140625" style="20" bestFit="1" customWidth="1"/>
    <col min="4632" max="4632" width="4.85546875" style="20" bestFit="1" customWidth="1"/>
    <col min="4633" max="4633" width="14" style="20" bestFit="1" customWidth="1"/>
    <col min="4634" max="4634" width="8.5703125" style="20" bestFit="1" customWidth="1"/>
    <col min="4635" max="4635" width="13.140625" style="20" bestFit="1" customWidth="1"/>
    <col min="4636" max="4636" width="42.140625" style="20" bestFit="1" customWidth="1"/>
    <col min="4637" max="4637" width="28.5703125" style="20" bestFit="1" customWidth="1"/>
    <col min="4638" max="4638" width="8.42578125" style="20" bestFit="1" customWidth="1"/>
    <col min="4639" max="4639" width="13" style="20" bestFit="1" customWidth="1"/>
    <col min="4640" max="4640" width="14.85546875" style="20" bestFit="1" customWidth="1"/>
    <col min="4641" max="4641" width="5.5703125" style="20" bestFit="1" customWidth="1"/>
    <col min="4642" max="4642" width="6" style="20" bestFit="1" customWidth="1"/>
    <col min="4643" max="4643" width="12.42578125" style="20" bestFit="1" customWidth="1"/>
    <col min="4644" max="4644" width="12.85546875" style="20" bestFit="1" customWidth="1"/>
    <col min="4645" max="4645" width="9.140625" style="20" bestFit="1" customWidth="1"/>
    <col min="4646" max="4646" width="6.85546875" style="20" bestFit="1" customWidth="1"/>
    <col min="4647" max="4647" width="8.140625" style="20" bestFit="1" customWidth="1"/>
    <col min="4648" max="4648" width="14.140625" style="20" bestFit="1" customWidth="1"/>
    <col min="4649" max="4650" width="4.85546875" style="20" bestFit="1" customWidth="1"/>
    <col min="4651" max="4651" width="10.85546875" style="20" bestFit="1" customWidth="1"/>
    <col min="4652" max="4652" width="17.85546875" style="20" bestFit="1" customWidth="1"/>
    <col min="4653" max="4653" width="148.140625" style="20" bestFit="1" customWidth="1"/>
    <col min="4654" max="4654" width="9.85546875" style="20" bestFit="1" customWidth="1"/>
    <col min="4655" max="4872" width="8.85546875" style="20" customWidth="1"/>
    <col min="4873" max="4873" width="9" style="20" bestFit="1" customWidth="1"/>
    <col min="4874" max="4874" width="10" style="20" bestFit="1" customWidth="1"/>
    <col min="4875" max="4875" width="10.85546875" style="20" bestFit="1" customWidth="1"/>
    <col min="4876" max="4876" width="7.85546875" style="20" bestFit="1" customWidth="1"/>
    <col min="4877" max="4877" width="5.140625" style="20" bestFit="1" customWidth="1"/>
    <col min="4878" max="4878" width="4" style="20" bestFit="1" customWidth="1"/>
    <col min="4879" max="4879" width="9.42578125" style="20" bestFit="1" customWidth="1"/>
    <col min="4880" max="4880" width="11.85546875" style="20" bestFit="1" customWidth="1"/>
    <col min="4881" max="4881" width="31.140625" style="20" bestFit="1" customWidth="1"/>
    <col min="4882" max="4882" width="7" style="20" bestFit="1" customWidth="1"/>
    <col min="4883" max="4883" width="13" style="20" bestFit="1" customWidth="1"/>
    <col min="4884" max="4884" width="10" style="20" bestFit="1" customWidth="1"/>
    <col min="4885" max="4885" width="10.140625" style="20" bestFit="1" customWidth="1"/>
    <col min="4886" max="4886" width="17.85546875" style="20" bestFit="1" customWidth="1"/>
    <col min="4887" max="4887" width="10.140625" style="20" bestFit="1" customWidth="1"/>
    <col min="4888" max="4888" width="4.85546875" style="20" bestFit="1" customWidth="1"/>
    <col min="4889" max="4889" width="14" style="20" bestFit="1" customWidth="1"/>
    <col min="4890" max="4890" width="8.5703125" style="20" bestFit="1" customWidth="1"/>
    <col min="4891" max="4891" width="13.140625" style="20" bestFit="1" customWidth="1"/>
    <col min="4892" max="4892" width="42.140625" style="20" bestFit="1" customWidth="1"/>
    <col min="4893" max="4893" width="28.5703125" style="20" bestFit="1" customWidth="1"/>
    <col min="4894" max="4894" width="8.42578125" style="20" bestFit="1" customWidth="1"/>
    <col min="4895" max="4895" width="13" style="20" bestFit="1" customWidth="1"/>
    <col min="4896" max="4896" width="14.85546875" style="20" bestFit="1" customWidth="1"/>
    <col min="4897" max="4897" width="5.5703125" style="20" bestFit="1" customWidth="1"/>
    <col min="4898" max="4898" width="6" style="20" bestFit="1" customWidth="1"/>
    <col min="4899" max="4899" width="12.42578125" style="20" bestFit="1" customWidth="1"/>
    <col min="4900" max="4900" width="12.85546875" style="20" bestFit="1" customWidth="1"/>
    <col min="4901" max="4901" width="9.140625" style="20" bestFit="1" customWidth="1"/>
    <col min="4902" max="4902" width="6.85546875" style="20" bestFit="1" customWidth="1"/>
    <col min="4903" max="4903" width="8.140625" style="20" bestFit="1" customWidth="1"/>
    <col min="4904" max="4904" width="14.140625" style="20" bestFit="1" customWidth="1"/>
    <col min="4905" max="4906" width="4.85546875" style="20" bestFit="1" customWidth="1"/>
    <col min="4907" max="4907" width="10.85546875" style="20" bestFit="1" customWidth="1"/>
    <col min="4908" max="4908" width="17.85546875" style="20" bestFit="1" customWidth="1"/>
    <col min="4909" max="4909" width="148.140625" style="20" bestFit="1" customWidth="1"/>
    <col min="4910" max="4910" width="9.85546875" style="20" bestFit="1" customWidth="1"/>
    <col min="4911" max="5128" width="8.85546875" style="20" customWidth="1"/>
    <col min="5129" max="5129" width="9" style="20" bestFit="1" customWidth="1"/>
    <col min="5130" max="5130" width="10" style="20" bestFit="1" customWidth="1"/>
    <col min="5131" max="5131" width="10.85546875" style="20" bestFit="1" customWidth="1"/>
    <col min="5132" max="5132" width="7.85546875" style="20" bestFit="1" customWidth="1"/>
    <col min="5133" max="5133" width="5.140625" style="20" bestFit="1" customWidth="1"/>
    <col min="5134" max="5134" width="4" style="20" bestFit="1" customWidth="1"/>
    <col min="5135" max="5135" width="9.42578125" style="20" bestFit="1" customWidth="1"/>
    <col min="5136" max="5136" width="11.85546875" style="20" bestFit="1" customWidth="1"/>
    <col min="5137" max="5137" width="31.140625" style="20" bestFit="1" customWidth="1"/>
    <col min="5138" max="5138" width="7" style="20" bestFit="1" customWidth="1"/>
    <col min="5139" max="5139" width="13" style="20" bestFit="1" customWidth="1"/>
    <col min="5140" max="5140" width="10" style="20" bestFit="1" customWidth="1"/>
    <col min="5141" max="5141" width="10.140625" style="20" bestFit="1" customWidth="1"/>
    <col min="5142" max="5142" width="17.85546875" style="20" bestFit="1" customWidth="1"/>
    <col min="5143" max="5143" width="10.140625" style="20" bestFit="1" customWidth="1"/>
    <col min="5144" max="5144" width="4.85546875" style="20" bestFit="1" customWidth="1"/>
    <col min="5145" max="5145" width="14" style="20" bestFit="1" customWidth="1"/>
    <col min="5146" max="5146" width="8.5703125" style="20" bestFit="1" customWidth="1"/>
    <col min="5147" max="5147" width="13.140625" style="20" bestFit="1" customWidth="1"/>
    <col min="5148" max="5148" width="42.140625" style="20" bestFit="1" customWidth="1"/>
    <col min="5149" max="5149" width="28.5703125" style="20" bestFit="1" customWidth="1"/>
    <col min="5150" max="5150" width="8.42578125" style="20" bestFit="1" customWidth="1"/>
    <col min="5151" max="5151" width="13" style="20" bestFit="1" customWidth="1"/>
    <col min="5152" max="5152" width="14.85546875" style="20" bestFit="1" customWidth="1"/>
    <col min="5153" max="5153" width="5.5703125" style="20" bestFit="1" customWidth="1"/>
    <col min="5154" max="5154" width="6" style="20" bestFit="1" customWidth="1"/>
    <col min="5155" max="5155" width="12.42578125" style="20" bestFit="1" customWidth="1"/>
    <col min="5156" max="5156" width="12.85546875" style="20" bestFit="1" customWidth="1"/>
    <col min="5157" max="5157" width="9.140625" style="20" bestFit="1" customWidth="1"/>
    <col min="5158" max="5158" width="6.85546875" style="20" bestFit="1" customWidth="1"/>
    <col min="5159" max="5159" width="8.140625" style="20" bestFit="1" customWidth="1"/>
    <col min="5160" max="5160" width="14.140625" style="20" bestFit="1" customWidth="1"/>
    <col min="5161" max="5162" width="4.85546875" style="20" bestFit="1" customWidth="1"/>
    <col min="5163" max="5163" width="10.85546875" style="20" bestFit="1" customWidth="1"/>
    <col min="5164" max="5164" width="17.85546875" style="20" bestFit="1" customWidth="1"/>
    <col min="5165" max="5165" width="148.140625" style="20" bestFit="1" customWidth="1"/>
    <col min="5166" max="5166" width="9.85546875" style="20" bestFit="1" customWidth="1"/>
    <col min="5167" max="5384" width="8.85546875" style="20" customWidth="1"/>
    <col min="5385" max="5385" width="9" style="20" bestFit="1" customWidth="1"/>
    <col min="5386" max="5386" width="10" style="20" bestFit="1" customWidth="1"/>
    <col min="5387" max="5387" width="10.85546875" style="20" bestFit="1" customWidth="1"/>
    <col min="5388" max="5388" width="7.85546875" style="20" bestFit="1" customWidth="1"/>
    <col min="5389" max="5389" width="5.140625" style="20" bestFit="1" customWidth="1"/>
    <col min="5390" max="5390" width="4" style="20" bestFit="1" customWidth="1"/>
    <col min="5391" max="5391" width="9.42578125" style="20" bestFit="1" customWidth="1"/>
    <col min="5392" max="5392" width="11.85546875" style="20" bestFit="1" customWidth="1"/>
    <col min="5393" max="5393" width="31.140625" style="20" bestFit="1" customWidth="1"/>
    <col min="5394" max="5394" width="7" style="20" bestFit="1" customWidth="1"/>
    <col min="5395" max="5395" width="13" style="20" bestFit="1" customWidth="1"/>
    <col min="5396" max="5396" width="10" style="20" bestFit="1" customWidth="1"/>
    <col min="5397" max="5397" width="10.140625" style="20" bestFit="1" customWidth="1"/>
    <col min="5398" max="5398" width="17.85546875" style="20" bestFit="1" customWidth="1"/>
    <col min="5399" max="5399" width="10.140625" style="20" bestFit="1" customWidth="1"/>
    <col min="5400" max="5400" width="4.85546875" style="20" bestFit="1" customWidth="1"/>
    <col min="5401" max="5401" width="14" style="20" bestFit="1" customWidth="1"/>
    <col min="5402" max="5402" width="8.5703125" style="20" bestFit="1" customWidth="1"/>
    <col min="5403" max="5403" width="13.140625" style="20" bestFit="1" customWidth="1"/>
    <col min="5404" max="5404" width="42.140625" style="20" bestFit="1" customWidth="1"/>
    <col min="5405" max="5405" width="28.5703125" style="20" bestFit="1" customWidth="1"/>
    <col min="5406" max="5406" width="8.42578125" style="20" bestFit="1" customWidth="1"/>
    <col min="5407" max="5407" width="13" style="20" bestFit="1" customWidth="1"/>
    <col min="5408" max="5408" width="14.85546875" style="20" bestFit="1" customWidth="1"/>
    <col min="5409" max="5409" width="5.5703125" style="20" bestFit="1" customWidth="1"/>
    <col min="5410" max="5410" width="6" style="20" bestFit="1" customWidth="1"/>
    <col min="5411" max="5411" width="12.42578125" style="20" bestFit="1" customWidth="1"/>
    <col min="5412" max="5412" width="12.85546875" style="20" bestFit="1" customWidth="1"/>
    <col min="5413" max="5413" width="9.140625" style="20" bestFit="1" customWidth="1"/>
    <col min="5414" max="5414" width="6.85546875" style="20" bestFit="1" customWidth="1"/>
    <col min="5415" max="5415" width="8.140625" style="20" bestFit="1" customWidth="1"/>
    <col min="5416" max="5416" width="14.140625" style="20" bestFit="1" customWidth="1"/>
    <col min="5417" max="5418" width="4.85546875" style="20" bestFit="1" customWidth="1"/>
    <col min="5419" max="5419" width="10.85546875" style="20" bestFit="1" customWidth="1"/>
    <col min="5420" max="5420" width="17.85546875" style="20" bestFit="1" customWidth="1"/>
    <col min="5421" max="5421" width="148.140625" style="20" bestFit="1" customWidth="1"/>
    <col min="5422" max="5422" width="9.85546875" style="20" bestFit="1" customWidth="1"/>
    <col min="5423" max="5640" width="8.85546875" style="20" customWidth="1"/>
    <col min="5641" max="5641" width="9" style="20" bestFit="1" customWidth="1"/>
    <col min="5642" max="5642" width="10" style="20" bestFit="1" customWidth="1"/>
    <col min="5643" max="5643" width="10.85546875" style="20" bestFit="1" customWidth="1"/>
    <col min="5644" max="5644" width="7.85546875" style="20" bestFit="1" customWidth="1"/>
    <col min="5645" max="5645" width="5.140625" style="20" bestFit="1" customWidth="1"/>
    <col min="5646" max="5646" width="4" style="20" bestFit="1" customWidth="1"/>
    <col min="5647" max="5647" width="9.42578125" style="20" bestFit="1" customWidth="1"/>
    <col min="5648" max="5648" width="11.85546875" style="20" bestFit="1" customWidth="1"/>
    <col min="5649" max="5649" width="31.140625" style="20" bestFit="1" customWidth="1"/>
    <col min="5650" max="5650" width="7" style="20" bestFit="1" customWidth="1"/>
    <col min="5651" max="5651" width="13" style="20" bestFit="1" customWidth="1"/>
    <col min="5652" max="5652" width="10" style="20" bestFit="1" customWidth="1"/>
    <col min="5653" max="5653" width="10.140625" style="20" bestFit="1" customWidth="1"/>
    <col min="5654" max="5654" width="17.85546875" style="20" bestFit="1" customWidth="1"/>
    <col min="5655" max="5655" width="10.140625" style="20" bestFit="1" customWidth="1"/>
    <col min="5656" max="5656" width="4.85546875" style="20" bestFit="1" customWidth="1"/>
    <col min="5657" max="5657" width="14" style="20" bestFit="1" customWidth="1"/>
    <col min="5658" max="5658" width="8.5703125" style="20" bestFit="1" customWidth="1"/>
    <col min="5659" max="5659" width="13.140625" style="20" bestFit="1" customWidth="1"/>
    <col min="5660" max="5660" width="42.140625" style="20" bestFit="1" customWidth="1"/>
    <col min="5661" max="5661" width="28.5703125" style="20" bestFit="1" customWidth="1"/>
    <col min="5662" max="5662" width="8.42578125" style="20" bestFit="1" customWidth="1"/>
    <col min="5663" max="5663" width="13" style="20" bestFit="1" customWidth="1"/>
    <col min="5664" max="5664" width="14.85546875" style="20" bestFit="1" customWidth="1"/>
    <col min="5665" max="5665" width="5.5703125" style="20" bestFit="1" customWidth="1"/>
    <col min="5666" max="5666" width="6" style="20" bestFit="1" customWidth="1"/>
    <col min="5667" max="5667" width="12.42578125" style="20" bestFit="1" customWidth="1"/>
    <col min="5668" max="5668" width="12.85546875" style="20" bestFit="1" customWidth="1"/>
    <col min="5669" max="5669" width="9.140625" style="20" bestFit="1" customWidth="1"/>
    <col min="5670" max="5670" width="6.85546875" style="20" bestFit="1" customWidth="1"/>
    <col min="5671" max="5671" width="8.140625" style="20" bestFit="1" customWidth="1"/>
    <col min="5672" max="5672" width="14.140625" style="20" bestFit="1" customWidth="1"/>
    <col min="5673" max="5674" width="4.85546875" style="20" bestFit="1" customWidth="1"/>
    <col min="5675" max="5675" width="10.85546875" style="20" bestFit="1" customWidth="1"/>
    <col min="5676" max="5676" width="17.85546875" style="20" bestFit="1" customWidth="1"/>
    <col min="5677" max="5677" width="148.140625" style="20" bestFit="1" customWidth="1"/>
    <col min="5678" max="5678" width="9.85546875" style="20" bestFit="1" customWidth="1"/>
    <col min="5679" max="5896" width="8.85546875" style="20" customWidth="1"/>
    <col min="5897" max="5897" width="9" style="20" bestFit="1" customWidth="1"/>
    <col min="5898" max="5898" width="10" style="20" bestFit="1" customWidth="1"/>
    <col min="5899" max="5899" width="10.85546875" style="20" bestFit="1" customWidth="1"/>
    <col min="5900" max="5900" width="7.85546875" style="20" bestFit="1" customWidth="1"/>
    <col min="5901" max="5901" width="5.140625" style="20" bestFit="1" customWidth="1"/>
    <col min="5902" max="5902" width="4" style="20" bestFit="1" customWidth="1"/>
    <col min="5903" max="5903" width="9.42578125" style="20" bestFit="1" customWidth="1"/>
    <col min="5904" max="5904" width="11.85546875" style="20" bestFit="1" customWidth="1"/>
    <col min="5905" max="5905" width="31.140625" style="20" bestFit="1" customWidth="1"/>
    <col min="5906" max="5906" width="7" style="20" bestFit="1" customWidth="1"/>
    <col min="5907" max="5907" width="13" style="20" bestFit="1" customWidth="1"/>
    <col min="5908" max="5908" width="10" style="20" bestFit="1" customWidth="1"/>
    <col min="5909" max="5909" width="10.140625" style="20" bestFit="1" customWidth="1"/>
    <col min="5910" max="5910" width="17.85546875" style="20" bestFit="1" customWidth="1"/>
    <col min="5911" max="5911" width="10.140625" style="20" bestFit="1" customWidth="1"/>
    <col min="5912" max="5912" width="4.85546875" style="20" bestFit="1" customWidth="1"/>
    <col min="5913" max="5913" width="14" style="20" bestFit="1" customWidth="1"/>
    <col min="5914" max="5914" width="8.5703125" style="20" bestFit="1" customWidth="1"/>
    <col min="5915" max="5915" width="13.140625" style="20" bestFit="1" customWidth="1"/>
    <col min="5916" max="5916" width="42.140625" style="20" bestFit="1" customWidth="1"/>
    <col min="5917" max="5917" width="28.5703125" style="20" bestFit="1" customWidth="1"/>
    <col min="5918" max="5918" width="8.42578125" style="20" bestFit="1" customWidth="1"/>
    <col min="5919" max="5919" width="13" style="20" bestFit="1" customWidth="1"/>
    <col min="5920" max="5920" width="14.85546875" style="20" bestFit="1" customWidth="1"/>
    <col min="5921" max="5921" width="5.5703125" style="20" bestFit="1" customWidth="1"/>
    <col min="5922" max="5922" width="6" style="20" bestFit="1" customWidth="1"/>
    <col min="5923" max="5923" width="12.42578125" style="20" bestFit="1" customWidth="1"/>
    <col min="5924" max="5924" width="12.85546875" style="20" bestFit="1" customWidth="1"/>
    <col min="5925" max="5925" width="9.140625" style="20" bestFit="1" customWidth="1"/>
    <col min="5926" max="5926" width="6.85546875" style="20" bestFit="1" customWidth="1"/>
    <col min="5927" max="5927" width="8.140625" style="20" bestFit="1" customWidth="1"/>
    <col min="5928" max="5928" width="14.140625" style="20" bestFit="1" customWidth="1"/>
    <col min="5929" max="5930" width="4.85546875" style="20" bestFit="1" customWidth="1"/>
    <col min="5931" max="5931" width="10.85546875" style="20" bestFit="1" customWidth="1"/>
    <col min="5932" max="5932" width="17.85546875" style="20" bestFit="1" customWidth="1"/>
    <col min="5933" max="5933" width="148.140625" style="20" bestFit="1" customWidth="1"/>
    <col min="5934" max="5934" width="9.85546875" style="20" bestFit="1" customWidth="1"/>
    <col min="5935" max="6152" width="8.85546875" style="20" customWidth="1"/>
    <col min="6153" max="6153" width="9" style="20" bestFit="1" customWidth="1"/>
    <col min="6154" max="6154" width="10" style="20" bestFit="1" customWidth="1"/>
    <col min="6155" max="6155" width="10.85546875" style="20" bestFit="1" customWidth="1"/>
    <col min="6156" max="6156" width="7.85546875" style="20" bestFit="1" customWidth="1"/>
    <col min="6157" max="6157" width="5.140625" style="20" bestFit="1" customWidth="1"/>
    <col min="6158" max="6158" width="4" style="20" bestFit="1" customWidth="1"/>
    <col min="6159" max="6159" width="9.42578125" style="20" bestFit="1" customWidth="1"/>
    <col min="6160" max="6160" width="11.85546875" style="20" bestFit="1" customWidth="1"/>
    <col min="6161" max="6161" width="31.140625" style="20" bestFit="1" customWidth="1"/>
    <col min="6162" max="6162" width="7" style="20" bestFit="1" customWidth="1"/>
    <col min="6163" max="6163" width="13" style="20" bestFit="1" customWidth="1"/>
    <col min="6164" max="6164" width="10" style="20" bestFit="1" customWidth="1"/>
    <col min="6165" max="6165" width="10.140625" style="20" bestFit="1" customWidth="1"/>
    <col min="6166" max="6166" width="17.85546875" style="20" bestFit="1" customWidth="1"/>
    <col min="6167" max="6167" width="10.140625" style="20" bestFit="1" customWidth="1"/>
    <col min="6168" max="6168" width="4.85546875" style="20" bestFit="1" customWidth="1"/>
    <col min="6169" max="6169" width="14" style="20" bestFit="1" customWidth="1"/>
    <col min="6170" max="6170" width="8.5703125" style="20" bestFit="1" customWidth="1"/>
    <col min="6171" max="6171" width="13.140625" style="20" bestFit="1" customWidth="1"/>
    <col min="6172" max="6172" width="42.140625" style="20" bestFit="1" customWidth="1"/>
    <col min="6173" max="6173" width="28.5703125" style="20" bestFit="1" customWidth="1"/>
    <col min="6174" max="6174" width="8.42578125" style="20" bestFit="1" customWidth="1"/>
    <col min="6175" max="6175" width="13" style="20" bestFit="1" customWidth="1"/>
    <col min="6176" max="6176" width="14.85546875" style="20" bestFit="1" customWidth="1"/>
    <col min="6177" max="6177" width="5.5703125" style="20" bestFit="1" customWidth="1"/>
    <col min="6178" max="6178" width="6" style="20" bestFit="1" customWidth="1"/>
    <col min="6179" max="6179" width="12.42578125" style="20" bestFit="1" customWidth="1"/>
    <col min="6180" max="6180" width="12.85546875" style="20" bestFit="1" customWidth="1"/>
    <col min="6181" max="6181" width="9.140625" style="20" bestFit="1" customWidth="1"/>
    <col min="6182" max="6182" width="6.85546875" style="20" bestFit="1" customWidth="1"/>
    <col min="6183" max="6183" width="8.140625" style="20" bestFit="1" customWidth="1"/>
    <col min="6184" max="6184" width="14.140625" style="20" bestFit="1" customWidth="1"/>
    <col min="6185" max="6186" width="4.85546875" style="20" bestFit="1" customWidth="1"/>
    <col min="6187" max="6187" width="10.85546875" style="20" bestFit="1" customWidth="1"/>
    <col min="6188" max="6188" width="17.85546875" style="20" bestFit="1" customWidth="1"/>
    <col min="6189" max="6189" width="148.140625" style="20" bestFit="1" customWidth="1"/>
    <col min="6190" max="6190" width="9.85546875" style="20" bestFit="1" customWidth="1"/>
    <col min="6191" max="6408" width="8.85546875" style="20" customWidth="1"/>
    <col min="6409" max="6409" width="9" style="20" bestFit="1" customWidth="1"/>
    <col min="6410" max="6410" width="10" style="20" bestFit="1" customWidth="1"/>
    <col min="6411" max="6411" width="10.85546875" style="20" bestFit="1" customWidth="1"/>
    <col min="6412" max="6412" width="7.85546875" style="20" bestFit="1" customWidth="1"/>
    <col min="6413" max="6413" width="5.140625" style="20" bestFit="1" customWidth="1"/>
    <col min="6414" max="6414" width="4" style="20" bestFit="1" customWidth="1"/>
    <col min="6415" max="6415" width="9.42578125" style="20" bestFit="1" customWidth="1"/>
    <col min="6416" max="6416" width="11.85546875" style="20" bestFit="1" customWidth="1"/>
    <col min="6417" max="6417" width="31.140625" style="20" bestFit="1" customWidth="1"/>
    <col min="6418" max="6418" width="7" style="20" bestFit="1" customWidth="1"/>
    <col min="6419" max="6419" width="13" style="20" bestFit="1" customWidth="1"/>
    <col min="6420" max="6420" width="10" style="20" bestFit="1" customWidth="1"/>
    <col min="6421" max="6421" width="10.140625" style="20" bestFit="1" customWidth="1"/>
    <col min="6422" max="6422" width="17.85546875" style="20" bestFit="1" customWidth="1"/>
    <col min="6423" max="6423" width="10.140625" style="20" bestFit="1" customWidth="1"/>
    <col min="6424" max="6424" width="4.85546875" style="20" bestFit="1" customWidth="1"/>
    <col min="6425" max="6425" width="14" style="20" bestFit="1" customWidth="1"/>
    <col min="6426" max="6426" width="8.5703125" style="20" bestFit="1" customWidth="1"/>
    <col min="6427" max="6427" width="13.140625" style="20" bestFit="1" customWidth="1"/>
    <col min="6428" max="6428" width="42.140625" style="20" bestFit="1" customWidth="1"/>
    <col min="6429" max="6429" width="28.5703125" style="20" bestFit="1" customWidth="1"/>
    <col min="6430" max="6430" width="8.42578125" style="20" bestFit="1" customWidth="1"/>
    <col min="6431" max="6431" width="13" style="20" bestFit="1" customWidth="1"/>
    <col min="6432" max="6432" width="14.85546875" style="20" bestFit="1" customWidth="1"/>
    <col min="6433" max="6433" width="5.5703125" style="20" bestFit="1" customWidth="1"/>
    <col min="6434" max="6434" width="6" style="20" bestFit="1" customWidth="1"/>
    <col min="6435" max="6435" width="12.42578125" style="20" bestFit="1" customWidth="1"/>
    <col min="6436" max="6436" width="12.85546875" style="20" bestFit="1" customWidth="1"/>
    <col min="6437" max="6437" width="9.140625" style="20" bestFit="1" customWidth="1"/>
    <col min="6438" max="6438" width="6.85546875" style="20" bestFit="1" customWidth="1"/>
    <col min="6439" max="6439" width="8.140625" style="20" bestFit="1" customWidth="1"/>
    <col min="6440" max="6440" width="14.140625" style="20" bestFit="1" customWidth="1"/>
    <col min="6441" max="6442" width="4.85546875" style="20" bestFit="1" customWidth="1"/>
    <col min="6443" max="6443" width="10.85546875" style="20" bestFit="1" customWidth="1"/>
    <col min="6444" max="6444" width="17.85546875" style="20" bestFit="1" customWidth="1"/>
    <col min="6445" max="6445" width="148.140625" style="20" bestFit="1" customWidth="1"/>
    <col min="6446" max="6446" width="9.85546875" style="20" bestFit="1" customWidth="1"/>
    <col min="6447" max="6664" width="8.85546875" style="20" customWidth="1"/>
    <col min="6665" max="6665" width="9" style="20" bestFit="1" customWidth="1"/>
    <col min="6666" max="6666" width="10" style="20" bestFit="1" customWidth="1"/>
    <col min="6667" max="6667" width="10.85546875" style="20" bestFit="1" customWidth="1"/>
    <col min="6668" max="6668" width="7.85546875" style="20" bestFit="1" customWidth="1"/>
    <col min="6669" max="6669" width="5.140625" style="20" bestFit="1" customWidth="1"/>
    <col min="6670" max="6670" width="4" style="20" bestFit="1" customWidth="1"/>
    <col min="6671" max="6671" width="9.42578125" style="20" bestFit="1" customWidth="1"/>
    <col min="6672" max="6672" width="11.85546875" style="20" bestFit="1" customWidth="1"/>
    <col min="6673" max="6673" width="31.140625" style="20" bestFit="1" customWidth="1"/>
    <col min="6674" max="6674" width="7" style="20" bestFit="1" customWidth="1"/>
    <col min="6675" max="6675" width="13" style="20" bestFit="1" customWidth="1"/>
    <col min="6676" max="6676" width="10" style="20" bestFit="1" customWidth="1"/>
    <col min="6677" max="6677" width="10.140625" style="20" bestFit="1" customWidth="1"/>
    <col min="6678" max="6678" width="17.85546875" style="20" bestFit="1" customWidth="1"/>
    <col min="6679" max="6679" width="10.140625" style="20" bestFit="1" customWidth="1"/>
    <col min="6680" max="6680" width="4.85546875" style="20" bestFit="1" customWidth="1"/>
    <col min="6681" max="6681" width="14" style="20" bestFit="1" customWidth="1"/>
    <col min="6682" max="6682" width="8.5703125" style="20" bestFit="1" customWidth="1"/>
    <col min="6683" max="6683" width="13.140625" style="20" bestFit="1" customWidth="1"/>
    <col min="6684" max="6684" width="42.140625" style="20" bestFit="1" customWidth="1"/>
    <col min="6685" max="6685" width="28.5703125" style="20" bestFit="1" customWidth="1"/>
    <col min="6686" max="6686" width="8.42578125" style="20" bestFit="1" customWidth="1"/>
    <col min="6687" max="6687" width="13" style="20" bestFit="1" customWidth="1"/>
    <col min="6688" max="6688" width="14.85546875" style="20" bestFit="1" customWidth="1"/>
    <col min="6689" max="6689" width="5.5703125" style="20" bestFit="1" customWidth="1"/>
    <col min="6690" max="6690" width="6" style="20" bestFit="1" customWidth="1"/>
    <col min="6691" max="6691" width="12.42578125" style="20" bestFit="1" customWidth="1"/>
    <col min="6692" max="6692" width="12.85546875" style="20" bestFit="1" customWidth="1"/>
    <col min="6693" max="6693" width="9.140625" style="20" bestFit="1" customWidth="1"/>
    <col min="6694" max="6694" width="6.85546875" style="20" bestFit="1" customWidth="1"/>
    <col min="6695" max="6695" width="8.140625" style="20" bestFit="1" customWidth="1"/>
    <col min="6696" max="6696" width="14.140625" style="20" bestFit="1" customWidth="1"/>
    <col min="6697" max="6698" width="4.85546875" style="20" bestFit="1" customWidth="1"/>
    <col min="6699" max="6699" width="10.85546875" style="20" bestFit="1" customWidth="1"/>
    <col min="6700" max="6700" width="17.85546875" style="20" bestFit="1" customWidth="1"/>
    <col min="6701" max="6701" width="148.140625" style="20" bestFit="1" customWidth="1"/>
    <col min="6702" max="6702" width="9.85546875" style="20" bestFit="1" customWidth="1"/>
    <col min="6703" max="6920" width="8.85546875" style="20" customWidth="1"/>
    <col min="6921" max="6921" width="9" style="20" bestFit="1" customWidth="1"/>
    <col min="6922" max="6922" width="10" style="20" bestFit="1" customWidth="1"/>
    <col min="6923" max="6923" width="10.85546875" style="20" bestFit="1" customWidth="1"/>
    <col min="6924" max="6924" width="7.85546875" style="20" bestFit="1" customWidth="1"/>
    <col min="6925" max="6925" width="5.140625" style="20" bestFit="1" customWidth="1"/>
    <col min="6926" max="6926" width="4" style="20" bestFit="1" customWidth="1"/>
    <col min="6927" max="6927" width="9.42578125" style="20" bestFit="1" customWidth="1"/>
    <col min="6928" max="6928" width="11.85546875" style="20" bestFit="1" customWidth="1"/>
    <col min="6929" max="6929" width="31.140625" style="20" bestFit="1" customWidth="1"/>
    <col min="6930" max="6930" width="7" style="20" bestFit="1" customWidth="1"/>
    <col min="6931" max="6931" width="13" style="20" bestFit="1" customWidth="1"/>
    <col min="6932" max="6932" width="10" style="20" bestFit="1" customWidth="1"/>
    <col min="6933" max="6933" width="10.140625" style="20" bestFit="1" customWidth="1"/>
    <col min="6934" max="6934" width="17.85546875" style="20" bestFit="1" customWidth="1"/>
    <col min="6935" max="6935" width="10.140625" style="20" bestFit="1" customWidth="1"/>
    <col min="6936" max="6936" width="4.85546875" style="20" bestFit="1" customWidth="1"/>
    <col min="6937" max="6937" width="14" style="20" bestFit="1" customWidth="1"/>
    <col min="6938" max="6938" width="8.5703125" style="20" bestFit="1" customWidth="1"/>
    <col min="6939" max="6939" width="13.140625" style="20" bestFit="1" customWidth="1"/>
    <col min="6940" max="6940" width="42.140625" style="20" bestFit="1" customWidth="1"/>
    <col min="6941" max="6941" width="28.5703125" style="20" bestFit="1" customWidth="1"/>
    <col min="6942" max="6942" width="8.42578125" style="20" bestFit="1" customWidth="1"/>
    <col min="6943" max="6943" width="13" style="20" bestFit="1" customWidth="1"/>
    <col min="6944" max="6944" width="14.85546875" style="20" bestFit="1" customWidth="1"/>
    <col min="6945" max="6945" width="5.5703125" style="20" bestFit="1" customWidth="1"/>
    <col min="6946" max="6946" width="6" style="20" bestFit="1" customWidth="1"/>
    <col min="6947" max="6947" width="12.42578125" style="20" bestFit="1" customWidth="1"/>
    <col min="6948" max="6948" width="12.85546875" style="20" bestFit="1" customWidth="1"/>
    <col min="6949" max="6949" width="9.140625" style="20" bestFit="1" customWidth="1"/>
    <col min="6950" max="6950" width="6.85546875" style="20" bestFit="1" customWidth="1"/>
    <col min="6951" max="6951" width="8.140625" style="20" bestFit="1" customWidth="1"/>
    <col min="6952" max="6952" width="14.140625" style="20" bestFit="1" customWidth="1"/>
    <col min="6953" max="6954" width="4.85546875" style="20" bestFit="1" customWidth="1"/>
    <col min="6955" max="6955" width="10.85546875" style="20" bestFit="1" customWidth="1"/>
    <col min="6956" max="6956" width="17.85546875" style="20" bestFit="1" customWidth="1"/>
    <col min="6957" max="6957" width="148.140625" style="20" bestFit="1" customWidth="1"/>
    <col min="6958" max="6958" width="9.85546875" style="20" bestFit="1" customWidth="1"/>
    <col min="6959" max="7176" width="8.85546875" style="20" customWidth="1"/>
    <col min="7177" max="7177" width="9" style="20" bestFit="1" customWidth="1"/>
    <col min="7178" max="7178" width="10" style="20" bestFit="1" customWidth="1"/>
    <col min="7179" max="7179" width="10.85546875" style="20" bestFit="1" customWidth="1"/>
    <col min="7180" max="7180" width="7.85546875" style="20" bestFit="1" customWidth="1"/>
    <col min="7181" max="7181" width="5.140625" style="20" bestFit="1" customWidth="1"/>
    <col min="7182" max="7182" width="4" style="20" bestFit="1" customWidth="1"/>
    <col min="7183" max="7183" width="9.42578125" style="20" bestFit="1" customWidth="1"/>
    <col min="7184" max="7184" width="11.85546875" style="20" bestFit="1" customWidth="1"/>
    <col min="7185" max="7185" width="31.140625" style="20" bestFit="1" customWidth="1"/>
    <col min="7186" max="7186" width="7" style="20" bestFit="1" customWidth="1"/>
    <col min="7187" max="7187" width="13" style="20" bestFit="1" customWidth="1"/>
    <col min="7188" max="7188" width="10" style="20" bestFit="1" customWidth="1"/>
    <col min="7189" max="7189" width="10.140625" style="20" bestFit="1" customWidth="1"/>
    <col min="7190" max="7190" width="17.85546875" style="20" bestFit="1" customWidth="1"/>
    <col min="7191" max="7191" width="10.140625" style="20" bestFit="1" customWidth="1"/>
    <col min="7192" max="7192" width="4.85546875" style="20" bestFit="1" customWidth="1"/>
    <col min="7193" max="7193" width="14" style="20" bestFit="1" customWidth="1"/>
    <col min="7194" max="7194" width="8.5703125" style="20" bestFit="1" customWidth="1"/>
    <col min="7195" max="7195" width="13.140625" style="20" bestFit="1" customWidth="1"/>
    <col min="7196" max="7196" width="42.140625" style="20" bestFit="1" customWidth="1"/>
    <col min="7197" max="7197" width="28.5703125" style="20" bestFit="1" customWidth="1"/>
    <col min="7198" max="7198" width="8.42578125" style="20" bestFit="1" customWidth="1"/>
    <col min="7199" max="7199" width="13" style="20" bestFit="1" customWidth="1"/>
    <col min="7200" max="7200" width="14.85546875" style="20" bestFit="1" customWidth="1"/>
    <col min="7201" max="7201" width="5.5703125" style="20" bestFit="1" customWidth="1"/>
    <col min="7202" max="7202" width="6" style="20" bestFit="1" customWidth="1"/>
    <col min="7203" max="7203" width="12.42578125" style="20" bestFit="1" customWidth="1"/>
    <col min="7204" max="7204" width="12.85546875" style="20" bestFit="1" customWidth="1"/>
    <col min="7205" max="7205" width="9.140625" style="20" bestFit="1" customWidth="1"/>
    <col min="7206" max="7206" width="6.85546875" style="20" bestFit="1" customWidth="1"/>
    <col min="7207" max="7207" width="8.140625" style="20" bestFit="1" customWidth="1"/>
    <col min="7208" max="7208" width="14.140625" style="20" bestFit="1" customWidth="1"/>
    <col min="7209" max="7210" width="4.85546875" style="20" bestFit="1" customWidth="1"/>
    <col min="7211" max="7211" width="10.85546875" style="20" bestFit="1" customWidth="1"/>
    <col min="7212" max="7212" width="17.85546875" style="20" bestFit="1" customWidth="1"/>
    <col min="7213" max="7213" width="148.140625" style="20" bestFit="1" customWidth="1"/>
    <col min="7214" max="7214" width="9.85546875" style="20" bestFit="1" customWidth="1"/>
    <col min="7215" max="7432" width="8.85546875" style="20" customWidth="1"/>
    <col min="7433" max="7433" width="9" style="20" bestFit="1" customWidth="1"/>
    <col min="7434" max="7434" width="10" style="20" bestFit="1" customWidth="1"/>
    <col min="7435" max="7435" width="10.85546875" style="20" bestFit="1" customWidth="1"/>
    <col min="7436" max="7436" width="7.85546875" style="20" bestFit="1" customWidth="1"/>
    <col min="7437" max="7437" width="5.140625" style="20" bestFit="1" customWidth="1"/>
    <col min="7438" max="7438" width="4" style="20" bestFit="1" customWidth="1"/>
    <col min="7439" max="7439" width="9.42578125" style="20" bestFit="1" customWidth="1"/>
    <col min="7440" max="7440" width="11.85546875" style="20" bestFit="1" customWidth="1"/>
    <col min="7441" max="7441" width="31.140625" style="20" bestFit="1" customWidth="1"/>
    <col min="7442" max="7442" width="7" style="20" bestFit="1" customWidth="1"/>
    <col min="7443" max="7443" width="13" style="20" bestFit="1" customWidth="1"/>
    <col min="7444" max="7444" width="10" style="20" bestFit="1" customWidth="1"/>
    <col min="7445" max="7445" width="10.140625" style="20" bestFit="1" customWidth="1"/>
    <col min="7446" max="7446" width="17.85546875" style="20" bestFit="1" customWidth="1"/>
    <col min="7447" max="7447" width="10.140625" style="20" bestFit="1" customWidth="1"/>
    <col min="7448" max="7448" width="4.85546875" style="20" bestFit="1" customWidth="1"/>
    <col min="7449" max="7449" width="14" style="20" bestFit="1" customWidth="1"/>
    <col min="7450" max="7450" width="8.5703125" style="20" bestFit="1" customWidth="1"/>
    <col min="7451" max="7451" width="13.140625" style="20" bestFit="1" customWidth="1"/>
    <col min="7452" max="7452" width="42.140625" style="20" bestFit="1" customWidth="1"/>
    <col min="7453" max="7453" width="28.5703125" style="20" bestFit="1" customWidth="1"/>
    <col min="7454" max="7454" width="8.42578125" style="20" bestFit="1" customWidth="1"/>
    <col min="7455" max="7455" width="13" style="20" bestFit="1" customWidth="1"/>
    <col min="7456" max="7456" width="14.85546875" style="20" bestFit="1" customWidth="1"/>
    <col min="7457" max="7457" width="5.5703125" style="20" bestFit="1" customWidth="1"/>
    <col min="7458" max="7458" width="6" style="20" bestFit="1" customWidth="1"/>
    <col min="7459" max="7459" width="12.42578125" style="20" bestFit="1" customWidth="1"/>
    <col min="7460" max="7460" width="12.85546875" style="20" bestFit="1" customWidth="1"/>
    <col min="7461" max="7461" width="9.140625" style="20" bestFit="1" customWidth="1"/>
    <col min="7462" max="7462" width="6.85546875" style="20" bestFit="1" customWidth="1"/>
    <col min="7463" max="7463" width="8.140625" style="20" bestFit="1" customWidth="1"/>
    <col min="7464" max="7464" width="14.140625" style="20" bestFit="1" customWidth="1"/>
    <col min="7465" max="7466" width="4.85546875" style="20" bestFit="1" customWidth="1"/>
    <col min="7467" max="7467" width="10.85546875" style="20" bestFit="1" customWidth="1"/>
    <col min="7468" max="7468" width="17.85546875" style="20" bestFit="1" customWidth="1"/>
    <col min="7469" max="7469" width="148.140625" style="20" bestFit="1" customWidth="1"/>
    <col min="7470" max="7470" width="9.85546875" style="20" bestFit="1" customWidth="1"/>
    <col min="7471" max="7688" width="8.85546875" style="20" customWidth="1"/>
    <col min="7689" max="7689" width="9" style="20" bestFit="1" customWidth="1"/>
    <col min="7690" max="7690" width="10" style="20" bestFit="1" customWidth="1"/>
    <col min="7691" max="7691" width="10.85546875" style="20" bestFit="1" customWidth="1"/>
    <col min="7692" max="7692" width="7.85546875" style="20" bestFit="1" customWidth="1"/>
    <col min="7693" max="7693" width="5.140625" style="20" bestFit="1" customWidth="1"/>
    <col min="7694" max="7694" width="4" style="20" bestFit="1" customWidth="1"/>
    <col min="7695" max="7695" width="9.42578125" style="20" bestFit="1" customWidth="1"/>
    <col min="7696" max="7696" width="11.85546875" style="20" bestFit="1" customWidth="1"/>
    <col min="7697" max="7697" width="31.140625" style="20" bestFit="1" customWidth="1"/>
    <col min="7698" max="7698" width="7" style="20" bestFit="1" customWidth="1"/>
    <col min="7699" max="7699" width="13" style="20" bestFit="1" customWidth="1"/>
    <col min="7700" max="7700" width="10" style="20" bestFit="1" customWidth="1"/>
    <col min="7701" max="7701" width="10.140625" style="20" bestFit="1" customWidth="1"/>
    <col min="7702" max="7702" width="17.85546875" style="20" bestFit="1" customWidth="1"/>
    <col min="7703" max="7703" width="10.140625" style="20" bestFit="1" customWidth="1"/>
    <col min="7704" max="7704" width="4.85546875" style="20" bestFit="1" customWidth="1"/>
    <col min="7705" max="7705" width="14" style="20" bestFit="1" customWidth="1"/>
    <col min="7706" max="7706" width="8.5703125" style="20" bestFit="1" customWidth="1"/>
    <col min="7707" max="7707" width="13.140625" style="20" bestFit="1" customWidth="1"/>
    <col min="7708" max="7708" width="42.140625" style="20" bestFit="1" customWidth="1"/>
    <col min="7709" max="7709" width="28.5703125" style="20" bestFit="1" customWidth="1"/>
    <col min="7710" max="7710" width="8.42578125" style="20" bestFit="1" customWidth="1"/>
    <col min="7711" max="7711" width="13" style="20" bestFit="1" customWidth="1"/>
    <col min="7712" max="7712" width="14.85546875" style="20" bestFit="1" customWidth="1"/>
    <col min="7713" max="7713" width="5.5703125" style="20" bestFit="1" customWidth="1"/>
    <col min="7714" max="7714" width="6" style="20" bestFit="1" customWidth="1"/>
    <col min="7715" max="7715" width="12.42578125" style="20" bestFit="1" customWidth="1"/>
    <col min="7716" max="7716" width="12.85546875" style="20" bestFit="1" customWidth="1"/>
    <col min="7717" max="7717" width="9.140625" style="20" bestFit="1" customWidth="1"/>
    <col min="7718" max="7718" width="6.85546875" style="20" bestFit="1" customWidth="1"/>
    <col min="7719" max="7719" width="8.140625" style="20" bestFit="1" customWidth="1"/>
    <col min="7720" max="7720" width="14.140625" style="20" bestFit="1" customWidth="1"/>
    <col min="7721" max="7722" width="4.85546875" style="20" bestFit="1" customWidth="1"/>
    <col min="7723" max="7723" width="10.85546875" style="20" bestFit="1" customWidth="1"/>
    <col min="7724" max="7724" width="17.85546875" style="20" bestFit="1" customWidth="1"/>
    <col min="7725" max="7725" width="148.140625" style="20" bestFit="1" customWidth="1"/>
    <col min="7726" max="7726" width="9.85546875" style="20" bestFit="1" customWidth="1"/>
    <col min="7727" max="7944" width="8.85546875" style="20" customWidth="1"/>
    <col min="7945" max="7945" width="9" style="20" bestFit="1" customWidth="1"/>
    <col min="7946" max="7946" width="10" style="20" bestFit="1" customWidth="1"/>
    <col min="7947" max="7947" width="10.85546875" style="20" bestFit="1" customWidth="1"/>
    <col min="7948" max="7948" width="7.85546875" style="20" bestFit="1" customWidth="1"/>
    <col min="7949" max="7949" width="5.140625" style="20" bestFit="1" customWidth="1"/>
    <col min="7950" max="7950" width="4" style="20" bestFit="1" customWidth="1"/>
    <col min="7951" max="7951" width="9.42578125" style="20" bestFit="1" customWidth="1"/>
    <col min="7952" max="7952" width="11.85546875" style="20" bestFit="1" customWidth="1"/>
    <col min="7953" max="7953" width="31.140625" style="20" bestFit="1" customWidth="1"/>
    <col min="7954" max="7954" width="7" style="20" bestFit="1" customWidth="1"/>
    <col min="7955" max="7955" width="13" style="20" bestFit="1" customWidth="1"/>
    <col min="7956" max="7956" width="10" style="20" bestFit="1" customWidth="1"/>
    <col min="7957" max="7957" width="10.140625" style="20" bestFit="1" customWidth="1"/>
    <col min="7958" max="7958" width="17.85546875" style="20" bestFit="1" customWidth="1"/>
    <col min="7959" max="7959" width="10.140625" style="20" bestFit="1" customWidth="1"/>
    <col min="7960" max="7960" width="4.85546875" style="20" bestFit="1" customWidth="1"/>
    <col min="7961" max="7961" width="14" style="20" bestFit="1" customWidth="1"/>
    <col min="7962" max="7962" width="8.5703125" style="20" bestFit="1" customWidth="1"/>
    <col min="7963" max="7963" width="13.140625" style="20" bestFit="1" customWidth="1"/>
    <col min="7964" max="7964" width="42.140625" style="20" bestFit="1" customWidth="1"/>
    <col min="7965" max="7965" width="28.5703125" style="20" bestFit="1" customWidth="1"/>
    <col min="7966" max="7966" width="8.42578125" style="20" bestFit="1" customWidth="1"/>
    <col min="7967" max="7967" width="13" style="20" bestFit="1" customWidth="1"/>
    <col min="7968" max="7968" width="14.85546875" style="20" bestFit="1" customWidth="1"/>
    <col min="7969" max="7969" width="5.5703125" style="20" bestFit="1" customWidth="1"/>
    <col min="7970" max="7970" width="6" style="20" bestFit="1" customWidth="1"/>
    <col min="7971" max="7971" width="12.42578125" style="20" bestFit="1" customWidth="1"/>
    <col min="7972" max="7972" width="12.85546875" style="20" bestFit="1" customWidth="1"/>
    <col min="7973" max="7973" width="9.140625" style="20" bestFit="1" customWidth="1"/>
    <col min="7974" max="7974" width="6.85546875" style="20" bestFit="1" customWidth="1"/>
    <col min="7975" max="7975" width="8.140625" style="20" bestFit="1" customWidth="1"/>
    <col min="7976" max="7976" width="14.140625" style="20" bestFit="1" customWidth="1"/>
    <col min="7977" max="7978" width="4.85546875" style="20" bestFit="1" customWidth="1"/>
    <col min="7979" max="7979" width="10.85546875" style="20" bestFit="1" customWidth="1"/>
    <col min="7980" max="7980" width="17.85546875" style="20" bestFit="1" customWidth="1"/>
    <col min="7981" max="7981" width="148.140625" style="20" bestFit="1" customWidth="1"/>
    <col min="7982" max="7982" width="9.85546875" style="20" bestFit="1" customWidth="1"/>
    <col min="7983" max="8200" width="8.85546875" style="20" customWidth="1"/>
    <col min="8201" max="8201" width="9" style="20" bestFit="1" customWidth="1"/>
    <col min="8202" max="8202" width="10" style="20" bestFit="1" customWidth="1"/>
    <col min="8203" max="8203" width="10.85546875" style="20" bestFit="1" customWidth="1"/>
    <col min="8204" max="8204" width="7.85546875" style="20" bestFit="1" customWidth="1"/>
    <col min="8205" max="8205" width="5.140625" style="20" bestFit="1" customWidth="1"/>
    <col min="8206" max="8206" width="4" style="20" bestFit="1" customWidth="1"/>
    <col min="8207" max="8207" width="9.42578125" style="20" bestFit="1" customWidth="1"/>
    <col min="8208" max="8208" width="11.85546875" style="20" bestFit="1" customWidth="1"/>
    <col min="8209" max="8209" width="31.140625" style="20" bestFit="1" customWidth="1"/>
    <col min="8210" max="8210" width="7" style="20" bestFit="1" customWidth="1"/>
    <col min="8211" max="8211" width="13" style="20" bestFit="1" customWidth="1"/>
    <col min="8212" max="8212" width="10" style="20" bestFit="1" customWidth="1"/>
    <col min="8213" max="8213" width="10.140625" style="20" bestFit="1" customWidth="1"/>
    <col min="8214" max="8214" width="17.85546875" style="20" bestFit="1" customWidth="1"/>
    <col min="8215" max="8215" width="10.140625" style="20" bestFit="1" customWidth="1"/>
    <col min="8216" max="8216" width="4.85546875" style="20" bestFit="1" customWidth="1"/>
    <col min="8217" max="8217" width="14" style="20" bestFit="1" customWidth="1"/>
    <col min="8218" max="8218" width="8.5703125" style="20" bestFit="1" customWidth="1"/>
    <col min="8219" max="8219" width="13.140625" style="20" bestFit="1" customWidth="1"/>
    <col min="8220" max="8220" width="42.140625" style="20" bestFit="1" customWidth="1"/>
    <col min="8221" max="8221" width="28.5703125" style="20" bestFit="1" customWidth="1"/>
    <col min="8222" max="8222" width="8.42578125" style="20" bestFit="1" customWidth="1"/>
    <col min="8223" max="8223" width="13" style="20" bestFit="1" customWidth="1"/>
    <col min="8224" max="8224" width="14.85546875" style="20" bestFit="1" customWidth="1"/>
    <col min="8225" max="8225" width="5.5703125" style="20" bestFit="1" customWidth="1"/>
    <col min="8226" max="8226" width="6" style="20" bestFit="1" customWidth="1"/>
    <col min="8227" max="8227" width="12.42578125" style="20" bestFit="1" customWidth="1"/>
    <col min="8228" max="8228" width="12.85546875" style="20" bestFit="1" customWidth="1"/>
    <col min="8229" max="8229" width="9.140625" style="20" bestFit="1" customWidth="1"/>
    <col min="8230" max="8230" width="6.85546875" style="20" bestFit="1" customWidth="1"/>
    <col min="8231" max="8231" width="8.140625" style="20" bestFit="1" customWidth="1"/>
    <col min="8232" max="8232" width="14.140625" style="20" bestFit="1" customWidth="1"/>
    <col min="8233" max="8234" width="4.85546875" style="20" bestFit="1" customWidth="1"/>
    <col min="8235" max="8235" width="10.85546875" style="20" bestFit="1" customWidth="1"/>
    <col min="8236" max="8236" width="17.85546875" style="20" bestFit="1" customWidth="1"/>
    <col min="8237" max="8237" width="148.140625" style="20" bestFit="1" customWidth="1"/>
    <col min="8238" max="8238" width="9.85546875" style="20" bestFit="1" customWidth="1"/>
    <col min="8239" max="8456" width="8.85546875" style="20" customWidth="1"/>
    <col min="8457" max="8457" width="9" style="20" bestFit="1" customWidth="1"/>
    <col min="8458" max="8458" width="10" style="20" bestFit="1" customWidth="1"/>
    <col min="8459" max="8459" width="10.85546875" style="20" bestFit="1" customWidth="1"/>
    <col min="8460" max="8460" width="7.85546875" style="20" bestFit="1" customWidth="1"/>
    <col min="8461" max="8461" width="5.140625" style="20" bestFit="1" customWidth="1"/>
    <col min="8462" max="8462" width="4" style="20" bestFit="1" customWidth="1"/>
    <col min="8463" max="8463" width="9.42578125" style="20" bestFit="1" customWidth="1"/>
    <col min="8464" max="8464" width="11.85546875" style="20" bestFit="1" customWidth="1"/>
    <col min="8465" max="8465" width="31.140625" style="20" bestFit="1" customWidth="1"/>
    <col min="8466" max="8466" width="7" style="20" bestFit="1" customWidth="1"/>
    <col min="8467" max="8467" width="13" style="20" bestFit="1" customWidth="1"/>
    <col min="8468" max="8468" width="10" style="20" bestFit="1" customWidth="1"/>
    <col min="8469" max="8469" width="10.140625" style="20" bestFit="1" customWidth="1"/>
    <col min="8470" max="8470" width="17.85546875" style="20" bestFit="1" customWidth="1"/>
    <col min="8471" max="8471" width="10.140625" style="20" bestFit="1" customWidth="1"/>
    <col min="8472" max="8472" width="4.85546875" style="20" bestFit="1" customWidth="1"/>
    <col min="8473" max="8473" width="14" style="20" bestFit="1" customWidth="1"/>
    <col min="8474" max="8474" width="8.5703125" style="20" bestFit="1" customWidth="1"/>
    <col min="8475" max="8475" width="13.140625" style="20" bestFit="1" customWidth="1"/>
    <col min="8476" max="8476" width="42.140625" style="20" bestFit="1" customWidth="1"/>
    <col min="8477" max="8477" width="28.5703125" style="20" bestFit="1" customWidth="1"/>
    <col min="8478" max="8478" width="8.42578125" style="20" bestFit="1" customWidth="1"/>
    <col min="8479" max="8479" width="13" style="20" bestFit="1" customWidth="1"/>
    <col min="8480" max="8480" width="14.85546875" style="20" bestFit="1" customWidth="1"/>
    <col min="8481" max="8481" width="5.5703125" style="20" bestFit="1" customWidth="1"/>
    <col min="8482" max="8482" width="6" style="20" bestFit="1" customWidth="1"/>
    <col min="8483" max="8483" width="12.42578125" style="20" bestFit="1" customWidth="1"/>
    <col min="8484" max="8484" width="12.85546875" style="20" bestFit="1" customWidth="1"/>
    <col min="8485" max="8485" width="9.140625" style="20" bestFit="1" customWidth="1"/>
    <col min="8486" max="8486" width="6.85546875" style="20" bestFit="1" customWidth="1"/>
    <col min="8487" max="8487" width="8.140625" style="20" bestFit="1" customWidth="1"/>
    <col min="8488" max="8488" width="14.140625" style="20" bestFit="1" customWidth="1"/>
    <col min="8489" max="8490" width="4.85546875" style="20" bestFit="1" customWidth="1"/>
    <col min="8491" max="8491" width="10.85546875" style="20" bestFit="1" customWidth="1"/>
    <col min="8492" max="8492" width="17.85546875" style="20" bestFit="1" customWidth="1"/>
    <col min="8493" max="8493" width="148.140625" style="20" bestFit="1" customWidth="1"/>
    <col min="8494" max="8494" width="9.85546875" style="20" bestFit="1" customWidth="1"/>
    <col min="8495" max="8712" width="8.85546875" style="20" customWidth="1"/>
    <col min="8713" max="8713" width="9" style="20" bestFit="1" customWidth="1"/>
    <col min="8714" max="8714" width="10" style="20" bestFit="1" customWidth="1"/>
    <col min="8715" max="8715" width="10.85546875" style="20" bestFit="1" customWidth="1"/>
    <col min="8716" max="8716" width="7.85546875" style="20" bestFit="1" customWidth="1"/>
    <col min="8717" max="8717" width="5.140625" style="20" bestFit="1" customWidth="1"/>
    <col min="8718" max="8718" width="4" style="20" bestFit="1" customWidth="1"/>
    <col min="8719" max="8719" width="9.42578125" style="20" bestFit="1" customWidth="1"/>
    <col min="8720" max="8720" width="11.85546875" style="20" bestFit="1" customWidth="1"/>
    <col min="8721" max="8721" width="31.140625" style="20" bestFit="1" customWidth="1"/>
    <col min="8722" max="8722" width="7" style="20" bestFit="1" customWidth="1"/>
    <col min="8723" max="8723" width="13" style="20" bestFit="1" customWidth="1"/>
    <col min="8724" max="8724" width="10" style="20" bestFit="1" customWidth="1"/>
    <col min="8725" max="8725" width="10.140625" style="20" bestFit="1" customWidth="1"/>
    <col min="8726" max="8726" width="17.85546875" style="20" bestFit="1" customWidth="1"/>
    <col min="8727" max="8727" width="10.140625" style="20" bestFit="1" customWidth="1"/>
    <col min="8728" max="8728" width="4.85546875" style="20" bestFit="1" customWidth="1"/>
    <col min="8729" max="8729" width="14" style="20" bestFit="1" customWidth="1"/>
    <col min="8730" max="8730" width="8.5703125" style="20" bestFit="1" customWidth="1"/>
    <col min="8731" max="8731" width="13.140625" style="20" bestFit="1" customWidth="1"/>
    <col min="8732" max="8732" width="42.140625" style="20" bestFit="1" customWidth="1"/>
    <col min="8733" max="8733" width="28.5703125" style="20" bestFit="1" customWidth="1"/>
    <col min="8734" max="8734" width="8.42578125" style="20" bestFit="1" customWidth="1"/>
    <col min="8735" max="8735" width="13" style="20" bestFit="1" customWidth="1"/>
    <col min="8736" max="8736" width="14.85546875" style="20" bestFit="1" customWidth="1"/>
    <col min="8737" max="8737" width="5.5703125" style="20" bestFit="1" customWidth="1"/>
    <col min="8738" max="8738" width="6" style="20" bestFit="1" customWidth="1"/>
    <col min="8739" max="8739" width="12.42578125" style="20" bestFit="1" customWidth="1"/>
    <col min="8740" max="8740" width="12.85546875" style="20" bestFit="1" customWidth="1"/>
    <col min="8741" max="8741" width="9.140625" style="20" bestFit="1" customWidth="1"/>
    <col min="8742" max="8742" width="6.85546875" style="20" bestFit="1" customWidth="1"/>
    <col min="8743" max="8743" width="8.140625" style="20" bestFit="1" customWidth="1"/>
    <col min="8744" max="8744" width="14.140625" style="20" bestFit="1" customWidth="1"/>
    <col min="8745" max="8746" width="4.85546875" style="20" bestFit="1" customWidth="1"/>
    <col min="8747" max="8747" width="10.85546875" style="20" bestFit="1" customWidth="1"/>
    <col min="8748" max="8748" width="17.85546875" style="20" bestFit="1" customWidth="1"/>
    <col min="8749" max="8749" width="148.140625" style="20" bestFit="1" customWidth="1"/>
    <col min="8750" max="8750" width="9.85546875" style="20" bestFit="1" customWidth="1"/>
    <col min="8751" max="8968" width="8.85546875" style="20" customWidth="1"/>
    <col min="8969" max="8969" width="9" style="20" bestFit="1" customWidth="1"/>
    <col min="8970" max="8970" width="10" style="20" bestFit="1" customWidth="1"/>
    <col min="8971" max="8971" width="10.85546875" style="20" bestFit="1" customWidth="1"/>
    <col min="8972" max="8972" width="7.85546875" style="20" bestFit="1" customWidth="1"/>
    <col min="8973" max="8973" width="5.140625" style="20" bestFit="1" customWidth="1"/>
    <col min="8974" max="8974" width="4" style="20" bestFit="1" customWidth="1"/>
    <col min="8975" max="8975" width="9.42578125" style="20" bestFit="1" customWidth="1"/>
    <col min="8976" max="8976" width="11.85546875" style="20" bestFit="1" customWidth="1"/>
    <col min="8977" max="8977" width="31.140625" style="20" bestFit="1" customWidth="1"/>
    <col min="8978" max="8978" width="7" style="20" bestFit="1" customWidth="1"/>
    <col min="8979" max="8979" width="13" style="20" bestFit="1" customWidth="1"/>
    <col min="8980" max="8980" width="10" style="20" bestFit="1" customWidth="1"/>
    <col min="8981" max="8981" width="10.140625" style="20" bestFit="1" customWidth="1"/>
    <col min="8982" max="8982" width="17.85546875" style="20" bestFit="1" customWidth="1"/>
    <col min="8983" max="8983" width="10.140625" style="20" bestFit="1" customWidth="1"/>
    <col min="8984" max="8984" width="4.85546875" style="20" bestFit="1" customWidth="1"/>
    <col min="8985" max="8985" width="14" style="20" bestFit="1" customWidth="1"/>
    <col min="8986" max="8986" width="8.5703125" style="20" bestFit="1" customWidth="1"/>
    <col min="8987" max="8987" width="13.140625" style="20" bestFit="1" customWidth="1"/>
    <col min="8988" max="8988" width="42.140625" style="20" bestFit="1" customWidth="1"/>
    <col min="8989" max="8989" width="28.5703125" style="20" bestFit="1" customWidth="1"/>
    <col min="8990" max="8990" width="8.42578125" style="20" bestFit="1" customWidth="1"/>
    <col min="8991" max="8991" width="13" style="20" bestFit="1" customWidth="1"/>
    <col min="8992" max="8992" width="14.85546875" style="20" bestFit="1" customWidth="1"/>
    <col min="8993" max="8993" width="5.5703125" style="20" bestFit="1" customWidth="1"/>
    <col min="8994" max="8994" width="6" style="20" bestFit="1" customWidth="1"/>
    <col min="8995" max="8995" width="12.42578125" style="20" bestFit="1" customWidth="1"/>
    <col min="8996" max="8996" width="12.85546875" style="20" bestFit="1" customWidth="1"/>
    <col min="8997" max="8997" width="9.140625" style="20" bestFit="1" customWidth="1"/>
    <col min="8998" max="8998" width="6.85546875" style="20" bestFit="1" customWidth="1"/>
    <col min="8999" max="8999" width="8.140625" style="20" bestFit="1" customWidth="1"/>
    <col min="9000" max="9000" width="14.140625" style="20" bestFit="1" customWidth="1"/>
    <col min="9001" max="9002" width="4.85546875" style="20" bestFit="1" customWidth="1"/>
    <col min="9003" max="9003" width="10.85546875" style="20" bestFit="1" customWidth="1"/>
    <col min="9004" max="9004" width="17.85546875" style="20" bestFit="1" customWidth="1"/>
    <col min="9005" max="9005" width="148.140625" style="20" bestFit="1" customWidth="1"/>
    <col min="9006" max="9006" width="9.85546875" style="20" bestFit="1" customWidth="1"/>
    <col min="9007" max="9224" width="8.85546875" style="20" customWidth="1"/>
    <col min="9225" max="9225" width="9" style="20" bestFit="1" customWidth="1"/>
    <col min="9226" max="9226" width="10" style="20" bestFit="1" customWidth="1"/>
    <col min="9227" max="9227" width="10.85546875" style="20" bestFit="1" customWidth="1"/>
    <col min="9228" max="9228" width="7.85546875" style="20" bestFit="1" customWidth="1"/>
    <col min="9229" max="9229" width="5.140625" style="20" bestFit="1" customWidth="1"/>
    <col min="9230" max="9230" width="4" style="20" bestFit="1" customWidth="1"/>
    <col min="9231" max="9231" width="9.42578125" style="20" bestFit="1" customWidth="1"/>
    <col min="9232" max="9232" width="11.85546875" style="20" bestFit="1" customWidth="1"/>
    <col min="9233" max="9233" width="31.140625" style="20" bestFit="1" customWidth="1"/>
    <col min="9234" max="9234" width="7" style="20" bestFit="1" customWidth="1"/>
    <col min="9235" max="9235" width="13" style="20" bestFit="1" customWidth="1"/>
    <col min="9236" max="9236" width="10" style="20" bestFit="1" customWidth="1"/>
    <col min="9237" max="9237" width="10.140625" style="20" bestFit="1" customWidth="1"/>
    <col min="9238" max="9238" width="17.85546875" style="20" bestFit="1" customWidth="1"/>
    <col min="9239" max="9239" width="10.140625" style="20" bestFit="1" customWidth="1"/>
    <col min="9240" max="9240" width="4.85546875" style="20" bestFit="1" customWidth="1"/>
    <col min="9241" max="9241" width="14" style="20" bestFit="1" customWidth="1"/>
    <col min="9242" max="9242" width="8.5703125" style="20" bestFit="1" customWidth="1"/>
    <col min="9243" max="9243" width="13.140625" style="20" bestFit="1" customWidth="1"/>
    <col min="9244" max="9244" width="42.140625" style="20" bestFit="1" customWidth="1"/>
    <col min="9245" max="9245" width="28.5703125" style="20" bestFit="1" customWidth="1"/>
    <col min="9246" max="9246" width="8.42578125" style="20" bestFit="1" customWidth="1"/>
    <col min="9247" max="9247" width="13" style="20" bestFit="1" customWidth="1"/>
    <col min="9248" max="9248" width="14.85546875" style="20" bestFit="1" customWidth="1"/>
    <col min="9249" max="9249" width="5.5703125" style="20" bestFit="1" customWidth="1"/>
    <col min="9250" max="9250" width="6" style="20" bestFit="1" customWidth="1"/>
    <col min="9251" max="9251" width="12.42578125" style="20" bestFit="1" customWidth="1"/>
    <col min="9252" max="9252" width="12.85546875" style="20" bestFit="1" customWidth="1"/>
    <col min="9253" max="9253" width="9.140625" style="20" bestFit="1" customWidth="1"/>
    <col min="9254" max="9254" width="6.85546875" style="20" bestFit="1" customWidth="1"/>
    <col min="9255" max="9255" width="8.140625" style="20" bestFit="1" customWidth="1"/>
    <col min="9256" max="9256" width="14.140625" style="20" bestFit="1" customWidth="1"/>
    <col min="9257" max="9258" width="4.85546875" style="20" bestFit="1" customWidth="1"/>
    <col min="9259" max="9259" width="10.85546875" style="20" bestFit="1" customWidth="1"/>
    <col min="9260" max="9260" width="17.85546875" style="20" bestFit="1" customWidth="1"/>
    <col min="9261" max="9261" width="148.140625" style="20" bestFit="1" customWidth="1"/>
    <col min="9262" max="9262" width="9.85546875" style="20" bestFit="1" customWidth="1"/>
    <col min="9263" max="9480" width="8.85546875" style="20" customWidth="1"/>
    <col min="9481" max="9481" width="9" style="20" bestFit="1" customWidth="1"/>
    <col min="9482" max="9482" width="10" style="20" bestFit="1" customWidth="1"/>
    <col min="9483" max="9483" width="10.85546875" style="20" bestFit="1" customWidth="1"/>
    <col min="9484" max="9484" width="7.85546875" style="20" bestFit="1" customWidth="1"/>
    <col min="9485" max="9485" width="5.140625" style="20" bestFit="1" customWidth="1"/>
    <col min="9486" max="9486" width="4" style="20" bestFit="1" customWidth="1"/>
    <col min="9487" max="9487" width="9.42578125" style="20" bestFit="1" customWidth="1"/>
    <col min="9488" max="9488" width="11.85546875" style="20" bestFit="1" customWidth="1"/>
    <col min="9489" max="9489" width="31.140625" style="20" bestFit="1" customWidth="1"/>
    <col min="9490" max="9490" width="7" style="20" bestFit="1" customWidth="1"/>
    <col min="9491" max="9491" width="13" style="20" bestFit="1" customWidth="1"/>
    <col min="9492" max="9492" width="10" style="20" bestFit="1" customWidth="1"/>
    <col min="9493" max="9493" width="10.140625" style="20" bestFit="1" customWidth="1"/>
    <col min="9494" max="9494" width="17.85546875" style="20" bestFit="1" customWidth="1"/>
    <col min="9495" max="9495" width="10.140625" style="20" bestFit="1" customWidth="1"/>
    <col min="9496" max="9496" width="4.85546875" style="20" bestFit="1" customWidth="1"/>
    <col min="9497" max="9497" width="14" style="20" bestFit="1" customWidth="1"/>
    <col min="9498" max="9498" width="8.5703125" style="20" bestFit="1" customWidth="1"/>
    <col min="9499" max="9499" width="13.140625" style="20" bestFit="1" customWidth="1"/>
    <col min="9500" max="9500" width="42.140625" style="20" bestFit="1" customWidth="1"/>
    <col min="9501" max="9501" width="28.5703125" style="20" bestFit="1" customWidth="1"/>
    <col min="9502" max="9502" width="8.42578125" style="20" bestFit="1" customWidth="1"/>
    <col min="9503" max="9503" width="13" style="20" bestFit="1" customWidth="1"/>
    <col min="9504" max="9504" width="14.85546875" style="20" bestFit="1" customWidth="1"/>
    <col min="9505" max="9505" width="5.5703125" style="20" bestFit="1" customWidth="1"/>
    <col min="9506" max="9506" width="6" style="20" bestFit="1" customWidth="1"/>
    <col min="9507" max="9507" width="12.42578125" style="20" bestFit="1" customWidth="1"/>
    <col min="9508" max="9508" width="12.85546875" style="20" bestFit="1" customWidth="1"/>
    <col min="9509" max="9509" width="9.140625" style="20" bestFit="1" customWidth="1"/>
    <col min="9510" max="9510" width="6.85546875" style="20" bestFit="1" customWidth="1"/>
    <col min="9511" max="9511" width="8.140625" style="20" bestFit="1" customWidth="1"/>
    <col min="9512" max="9512" width="14.140625" style="20" bestFit="1" customWidth="1"/>
    <col min="9513" max="9514" width="4.85546875" style="20" bestFit="1" customWidth="1"/>
    <col min="9515" max="9515" width="10.85546875" style="20" bestFit="1" customWidth="1"/>
    <col min="9516" max="9516" width="17.85546875" style="20" bestFit="1" customWidth="1"/>
    <col min="9517" max="9517" width="148.140625" style="20" bestFit="1" customWidth="1"/>
    <col min="9518" max="9518" width="9.85546875" style="20" bestFit="1" customWidth="1"/>
    <col min="9519" max="9736" width="8.85546875" style="20" customWidth="1"/>
    <col min="9737" max="9737" width="9" style="20" bestFit="1" customWidth="1"/>
    <col min="9738" max="9738" width="10" style="20" bestFit="1" customWidth="1"/>
    <col min="9739" max="9739" width="10.85546875" style="20" bestFit="1" customWidth="1"/>
    <col min="9740" max="9740" width="7.85546875" style="20" bestFit="1" customWidth="1"/>
    <col min="9741" max="9741" width="5.140625" style="20" bestFit="1" customWidth="1"/>
    <col min="9742" max="9742" width="4" style="20" bestFit="1" customWidth="1"/>
    <col min="9743" max="9743" width="9.42578125" style="20" bestFit="1" customWidth="1"/>
    <col min="9744" max="9744" width="11.85546875" style="20" bestFit="1" customWidth="1"/>
    <col min="9745" max="9745" width="31.140625" style="20" bestFit="1" customWidth="1"/>
    <col min="9746" max="9746" width="7" style="20" bestFit="1" customWidth="1"/>
    <col min="9747" max="9747" width="13" style="20" bestFit="1" customWidth="1"/>
    <col min="9748" max="9748" width="10" style="20" bestFit="1" customWidth="1"/>
    <col min="9749" max="9749" width="10.140625" style="20" bestFit="1" customWidth="1"/>
    <col min="9750" max="9750" width="17.85546875" style="20" bestFit="1" customWidth="1"/>
    <col min="9751" max="9751" width="10.140625" style="20" bestFit="1" customWidth="1"/>
    <col min="9752" max="9752" width="4.85546875" style="20" bestFit="1" customWidth="1"/>
    <col min="9753" max="9753" width="14" style="20" bestFit="1" customWidth="1"/>
    <col min="9754" max="9754" width="8.5703125" style="20" bestFit="1" customWidth="1"/>
    <col min="9755" max="9755" width="13.140625" style="20" bestFit="1" customWidth="1"/>
    <col min="9756" max="9756" width="42.140625" style="20" bestFit="1" customWidth="1"/>
    <col min="9757" max="9757" width="28.5703125" style="20" bestFit="1" customWidth="1"/>
    <col min="9758" max="9758" width="8.42578125" style="20" bestFit="1" customWidth="1"/>
    <col min="9759" max="9759" width="13" style="20" bestFit="1" customWidth="1"/>
    <col min="9760" max="9760" width="14.85546875" style="20" bestFit="1" customWidth="1"/>
    <col min="9761" max="9761" width="5.5703125" style="20" bestFit="1" customWidth="1"/>
    <col min="9762" max="9762" width="6" style="20" bestFit="1" customWidth="1"/>
    <col min="9763" max="9763" width="12.42578125" style="20" bestFit="1" customWidth="1"/>
    <col min="9764" max="9764" width="12.85546875" style="20" bestFit="1" customWidth="1"/>
    <col min="9765" max="9765" width="9.140625" style="20" bestFit="1" customWidth="1"/>
    <col min="9766" max="9766" width="6.85546875" style="20" bestFit="1" customWidth="1"/>
    <col min="9767" max="9767" width="8.140625" style="20" bestFit="1" customWidth="1"/>
    <col min="9768" max="9768" width="14.140625" style="20" bestFit="1" customWidth="1"/>
    <col min="9769" max="9770" width="4.85546875" style="20" bestFit="1" customWidth="1"/>
    <col min="9771" max="9771" width="10.85546875" style="20" bestFit="1" customWidth="1"/>
    <col min="9772" max="9772" width="17.85546875" style="20" bestFit="1" customWidth="1"/>
    <col min="9773" max="9773" width="148.140625" style="20" bestFit="1" customWidth="1"/>
    <col min="9774" max="9774" width="9.85546875" style="20" bestFit="1" customWidth="1"/>
    <col min="9775" max="9992" width="8.85546875" style="20" customWidth="1"/>
    <col min="9993" max="9993" width="9" style="20" bestFit="1" customWidth="1"/>
    <col min="9994" max="9994" width="10" style="20" bestFit="1" customWidth="1"/>
    <col min="9995" max="9995" width="10.85546875" style="20" bestFit="1" customWidth="1"/>
    <col min="9996" max="9996" width="7.85546875" style="20" bestFit="1" customWidth="1"/>
    <col min="9997" max="9997" width="5.140625" style="20" bestFit="1" customWidth="1"/>
    <col min="9998" max="9998" width="4" style="20" bestFit="1" customWidth="1"/>
    <col min="9999" max="9999" width="9.42578125" style="20" bestFit="1" customWidth="1"/>
    <col min="10000" max="10000" width="11.85546875" style="20" bestFit="1" customWidth="1"/>
    <col min="10001" max="10001" width="31.140625" style="20" bestFit="1" customWidth="1"/>
    <col min="10002" max="10002" width="7" style="20" bestFit="1" customWidth="1"/>
    <col min="10003" max="10003" width="13" style="20" bestFit="1" customWidth="1"/>
    <col min="10004" max="10004" width="10" style="20" bestFit="1" customWidth="1"/>
    <col min="10005" max="10005" width="10.140625" style="20" bestFit="1" customWidth="1"/>
    <col min="10006" max="10006" width="17.85546875" style="20" bestFit="1" customWidth="1"/>
    <col min="10007" max="10007" width="10.140625" style="20" bestFit="1" customWidth="1"/>
    <col min="10008" max="10008" width="4.85546875" style="20" bestFit="1" customWidth="1"/>
    <col min="10009" max="10009" width="14" style="20" bestFit="1" customWidth="1"/>
    <col min="10010" max="10010" width="8.5703125" style="20" bestFit="1" customWidth="1"/>
    <col min="10011" max="10011" width="13.140625" style="20" bestFit="1" customWidth="1"/>
    <col min="10012" max="10012" width="42.140625" style="20" bestFit="1" customWidth="1"/>
    <col min="10013" max="10013" width="28.5703125" style="20" bestFit="1" customWidth="1"/>
    <col min="10014" max="10014" width="8.42578125" style="20" bestFit="1" customWidth="1"/>
    <col min="10015" max="10015" width="13" style="20" bestFit="1" customWidth="1"/>
    <col min="10016" max="10016" width="14.85546875" style="20" bestFit="1" customWidth="1"/>
    <col min="10017" max="10017" width="5.5703125" style="20" bestFit="1" customWidth="1"/>
    <col min="10018" max="10018" width="6" style="20" bestFit="1" customWidth="1"/>
    <col min="10019" max="10019" width="12.42578125" style="20" bestFit="1" customWidth="1"/>
    <col min="10020" max="10020" width="12.85546875" style="20" bestFit="1" customWidth="1"/>
    <col min="10021" max="10021" width="9.140625" style="20" bestFit="1" customWidth="1"/>
    <col min="10022" max="10022" width="6.85546875" style="20" bestFit="1" customWidth="1"/>
    <col min="10023" max="10023" width="8.140625" style="20" bestFit="1" customWidth="1"/>
    <col min="10024" max="10024" width="14.140625" style="20" bestFit="1" customWidth="1"/>
    <col min="10025" max="10026" width="4.85546875" style="20" bestFit="1" customWidth="1"/>
    <col min="10027" max="10027" width="10.85546875" style="20" bestFit="1" customWidth="1"/>
    <col min="10028" max="10028" width="17.85546875" style="20" bestFit="1" customWidth="1"/>
    <col min="10029" max="10029" width="148.140625" style="20" bestFit="1" customWidth="1"/>
    <col min="10030" max="10030" width="9.85546875" style="20" bestFit="1" customWidth="1"/>
    <col min="10031" max="10248" width="8.85546875" style="20" customWidth="1"/>
    <col min="10249" max="10249" width="9" style="20" bestFit="1" customWidth="1"/>
    <col min="10250" max="10250" width="10" style="20" bestFit="1" customWidth="1"/>
    <col min="10251" max="10251" width="10.85546875" style="20" bestFit="1" customWidth="1"/>
    <col min="10252" max="10252" width="7.85546875" style="20" bestFit="1" customWidth="1"/>
    <col min="10253" max="10253" width="5.140625" style="20" bestFit="1" customWidth="1"/>
    <col min="10254" max="10254" width="4" style="20" bestFit="1" customWidth="1"/>
    <col min="10255" max="10255" width="9.42578125" style="20" bestFit="1" customWidth="1"/>
    <col min="10256" max="10256" width="11.85546875" style="20" bestFit="1" customWidth="1"/>
    <col min="10257" max="10257" width="31.140625" style="20" bestFit="1" customWidth="1"/>
    <col min="10258" max="10258" width="7" style="20" bestFit="1" customWidth="1"/>
    <col min="10259" max="10259" width="13" style="20" bestFit="1" customWidth="1"/>
    <col min="10260" max="10260" width="10" style="20" bestFit="1" customWidth="1"/>
    <col min="10261" max="10261" width="10.140625" style="20" bestFit="1" customWidth="1"/>
    <col min="10262" max="10262" width="17.85546875" style="20" bestFit="1" customWidth="1"/>
    <col min="10263" max="10263" width="10.140625" style="20" bestFit="1" customWidth="1"/>
    <col min="10264" max="10264" width="4.85546875" style="20" bestFit="1" customWidth="1"/>
    <col min="10265" max="10265" width="14" style="20" bestFit="1" customWidth="1"/>
    <col min="10266" max="10266" width="8.5703125" style="20" bestFit="1" customWidth="1"/>
    <col min="10267" max="10267" width="13.140625" style="20" bestFit="1" customWidth="1"/>
    <col min="10268" max="10268" width="42.140625" style="20" bestFit="1" customWidth="1"/>
    <col min="10269" max="10269" width="28.5703125" style="20" bestFit="1" customWidth="1"/>
    <col min="10270" max="10270" width="8.42578125" style="20" bestFit="1" customWidth="1"/>
    <col min="10271" max="10271" width="13" style="20" bestFit="1" customWidth="1"/>
    <col min="10272" max="10272" width="14.85546875" style="20" bestFit="1" customWidth="1"/>
    <col min="10273" max="10273" width="5.5703125" style="20" bestFit="1" customWidth="1"/>
    <col min="10274" max="10274" width="6" style="20" bestFit="1" customWidth="1"/>
    <col min="10275" max="10275" width="12.42578125" style="20" bestFit="1" customWidth="1"/>
    <col min="10276" max="10276" width="12.85546875" style="20" bestFit="1" customWidth="1"/>
    <col min="10277" max="10277" width="9.140625" style="20" bestFit="1" customWidth="1"/>
    <col min="10278" max="10278" width="6.85546875" style="20" bestFit="1" customWidth="1"/>
    <col min="10279" max="10279" width="8.140625" style="20" bestFit="1" customWidth="1"/>
    <col min="10280" max="10280" width="14.140625" style="20" bestFit="1" customWidth="1"/>
    <col min="10281" max="10282" width="4.85546875" style="20" bestFit="1" customWidth="1"/>
    <col min="10283" max="10283" width="10.85546875" style="20" bestFit="1" customWidth="1"/>
    <col min="10284" max="10284" width="17.85546875" style="20" bestFit="1" customWidth="1"/>
    <col min="10285" max="10285" width="148.140625" style="20" bestFit="1" customWidth="1"/>
    <col min="10286" max="10286" width="9.85546875" style="20" bestFit="1" customWidth="1"/>
    <col min="10287" max="10504" width="8.85546875" style="20" customWidth="1"/>
    <col min="10505" max="10505" width="9" style="20" bestFit="1" customWidth="1"/>
    <col min="10506" max="10506" width="10" style="20" bestFit="1" customWidth="1"/>
    <col min="10507" max="10507" width="10.85546875" style="20" bestFit="1" customWidth="1"/>
    <col min="10508" max="10508" width="7.85546875" style="20" bestFit="1" customWidth="1"/>
    <col min="10509" max="10509" width="5.140625" style="20" bestFit="1" customWidth="1"/>
    <col min="10510" max="10510" width="4" style="20" bestFit="1" customWidth="1"/>
    <col min="10511" max="10511" width="9.42578125" style="20" bestFit="1" customWidth="1"/>
    <col min="10512" max="10512" width="11.85546875" style="20" bestFit="1" customWidth="1"/>
    <col min="10513" max="10513" width="31.140625" style="20" bestFit="1" customWidth="1"/>
    <col min="10514" max="10514" width="7" style="20" bestFit="1" customWidth="1"/>
    <col min="10515" max="10515" width="13" style="20" bestFit="1" customWidth="1"/>
    <col min="10516" max="10516" width="10" style="20" bestFit="1" customWidth="1"/>
    <col min="10517" max="10517" width="10.140625" style="20" bestFit="1" customWidth="1"/>
    <col min="10518" max="10518" width="17.85546875" style="20" bestFit="1" customWidth="1"/>
    <col min="10519" max="10519" width="10.140625" style="20" bestFit="1" customWidth="1"/>
    <col min="10520" max="10520" width="4.85546875" style="20" bestFit="1" customWidth="1"/>
    <col min="10521" max="10521" width="14" style="20" bestFit="1" customWidth="1"/>
    <col min="10522" max="10522" width="8.5703125" style="20" bestFit="1" customWidth="1"/>
    <col min="10523" max="10523" width="13.140625" style="20" bestFit="1" customWidth="1"/>
    <col min="10524" max="10524" width="42.140625" style="20" bestFit="1" customWidth="1"/>
    <col min="10525" max="10525" width="28.5703125" style="20" bestFit="1" customWidth="1"/>
    <col min="10526" max="10526" width="8.42578125" style="20" bestFit="1" customWidth="1"/>
    <col min="10527" max="10527" width="13" style="20" bestFit="1" customWidth="1"/>
    <col min="10528" max="10528" width="14.85546875" style="20" bestFit="1" customWidth="1"/>
    <col min="10529" max="10529" width="5.5703125" style="20" bestFit="1" customWidth="1"/>
    <col min="10530" max="10530" width="6" style="20" bestFit="1" customWidth="1"/>
    <col min="10531" max="10531" width="12.42578125" style="20" bestFit="1" customWidth="1"/>
    <col min="10532" max="10532" width="12.85546875" style="20" bestFit="1" customWidth="1"/>
    <col min="10533" max="10533" width="9.140625" style="20" bestFit="1" customWidth="1"/>
    <col min="10534" max="10534" width="6.85546875" style="20" bestFit="1" customWidth="1"/>
    <col min="10535" max="10535" width="8.140625" style="20" bestFit="1" customWidth="1"/>
    <col min="10536" max="10536" width="14.140625" style="20" bestFit="1" customWidth="1"/>
    <col min="10537" max="10538" width="4.85546875" style="20" bestFit="1" customWidth="1"/>
    <col min="10539" max="10539" width="10.85546875" style="20" bestFit="1" customWidth="1"/>
    <col min="10540" max="10540" width="17.85546875" style="20" bestFit="1" customWidth="1"/>
    <col min="10541" max="10541" width="148.140625" style="20" bestFit="1" customWidth="1"/>
    <col min="10542" max="10542" width="9.85546875" style="20" bestFit="1" customWidth="1"/>
    <col min="10543" max="10760" width="8.85546875" style="20" customWidth="1"/>
    <col min="10761" max="10761" width="9" style="20" bestFit="1" customWidth="1"/>
    <col min="10762" max="10762" width="10" style="20" bestFit="1" customWidth="1"/>
    <col min="10763" max="10763" width="10.85546875" style="20" bestFit="1" customWidth="1"/>
    <col min="10764" max="10764" width="7.85546875" style="20" bestFit="1" customWidth="1"/>
    <col min="10765" max="10765" width="5.140625" style="20" bestFit="1" customWidth="1"/>
    <col min="10766" max="10766" width="4" style="20" bestFit="1" customWidth="1"/>
    <col min="10767" max="10767" width="9.42578125" style="20" bestFit="1" customWidth="1"/>
    <col min="10768" max="10768" width="11.85546875" style="20" bestFit="1" customWidth="1"/>
    <col min="10769" max="10769" width="31.140625" style="20" bestFit="1" customWidth="1"/>
    <col min="10770" max="10770" width="7" style="20" bestFit="1" customWidth="1"/>
    <col min="10771" max="10771" width="13" style="20" bestFit="1" customWidth="1"/>
    <col min="10772" max="10772" width="10" style="20" bestFit="1" customWidth="1"/>
    <col min="10773" max="10773" width="10.140625" style="20" bestFit="1" customWidth="1"/>
    <col min="10774" max="10774" width="17.85546875" style="20" bestFit="1" customWidth="1"/>
    <col min="10775" max="10775" width="10.140625" style="20" bestFit="1" customWidth="1"/>
    <col min="10776" max="10776" width="4.85546875" style="20" bestFit="1" customWidth="1"/>
    <col min="10777" max="10777" width="14" style="20" bestFit="1" customWidth="1"/>
    <col min="10778" max="10778" width="8.5703125" style="20" bestFit="1" customWidth="1"/>
    <col min="10779" max="10779" width="13.140625" style="20" bestFit="1" customWidth="1"/>
    <col min="10780" max="10780" width="42.140625" style="20" bestFit="1" customWidth="1"/>
    <col min="10781" max="10781" width="28.5703125" style="20" bestFit="1" customWidth="1"/>
    <col min="10782" max="10782" width="8.42578125" style="20" bestFit="1" customWidth="1"/>
    <col min="10783" max="10783" width="13" style="20" bestFit="1" customWidth="1"/>
    <col min="10784" max="10784" width="14.85546875" style="20" bestFit="1" customWidth="1"/>
    <col min="10785" max="10785" width="5.5703125" style="20" bestFit="1" customWidth="1"/>
    <col min="10786" max="10786" width="6" style="20" bestFit="1" customWidth="1"/>
    <col min="10787" max="10787" width="12.42578125" style="20" bestFit="1" customWidth="1"/>
    <col min="10788" max="10788" width="12.85546875" style="20" bestFit="1" customWidth="1"/>
    <col min="10789" max="10789" width="9.140625" style="20" bestFit="1" customWidth="1"/>
    <col min="10790" max="10790" width="6.85546875" style="20" bestFit="1" customWidth="1"/>
    <col min="10791" max="10791" width="8.140625" style="20" bestFit="1" customWidth="1"/>
    <col min="10792" max="10792" width="14.140625" style="20" bestFit="1" customWidth="1"/>
    <col min="10793" max="10794" width="4.85546875" style="20" bestFit="1" customWidth="1"/>
    <col min="10795" max="10795" width="10.85546875" style="20" bestFit="1" customWidth="1"/>
    <col min="10796" max="10796" width="17.85546875" style="20" bestFit="1" customWidth="1"/>
    <col min="10797" max="10797" width="148.140625" style="20" bestFit="1" customWidth="1"/>
    <col min="10798" max="10798" width="9.85546875" style="20" bestFit="1" customWidth="1"/>
    <col min="10799" max="11016" width="8.85546875" style="20" customWidth="1"/>
    <col min="11017" max="11017" width="9" style="20" bestFit="1" customWidth="1"/>
    <col min="11018" max="11018" width="10" style="20" bestFit="1" customWidth="1"/>
    <col min="11019" max="11019" width="10.85546875" style="20" bestFit="1" customWidth="1"/>
    <col min="11020" max="11020" width="7.85546875" style="20" bestFit="1" customWidth="1"/>
    <col min="11021" max="11021" width="5.140625" style="20" bestFit="1" customWidth="1"/>
    <col min="11022" max="11022" width="4" style="20" bestFit="1" customWidth="1"/>
    <col min="11023" max="11023" width="9.42578125" style="20" bestFit="1" customWidth="1"/>
    <col min="11024" max="11024" width="11.85546875" style="20" bestFit="1" customWidth="1"/>
    <col min="11025" max="11025" width="31.140625" style="20" bestFit="1" customWidth="1"/>
    <col min="11026" max="11026" width="7" style="20" bestFit="1" customWidth="1"/>
    <col min="11027" max="11027" width="13" style="20" bestFit="1" customWidth="1"/>
    <col min="11028" max="11028" width="10" style="20" bestFit="1" customWidth="1"/>
    <col min="11029" max="11029" width="10.140625" style="20" bestFit="1" customWidth="1"/>
    <col min="11030" max="11030" width="17.85546875" style="20" bestFit="1" customWidth="1"/>
    <col min="11031" max="11031" width="10.140625" style="20" bestFit="1" customWidth="1"/>
    <col min="11032" max="11032" width="4.85546875" style="20" bestFit="1" customWidth="1"/>
    <col min="11033" max="11033" width="14" style="20" bestFit="1" customWidth="1"/>
    <col min="11034" max="11034" width="8.5703125" style="20" bestFit="1" customWidth="1"/>
    <col min="11035" max="11035" width="13.140625" style="20" bestFit="1" customWidth="1"/>
    <col min="11036" max="11036" width="42.140625" style="20" bestFit="1" customWidth="1"/>
    <col min="11037" max="11037" width="28.5703125" style="20" bestFit="1" customWidth="1"/>
    <col min="11038" max="11038" width="8.42578125" style="20" bestFit="1" customWidth="1"/>
    <col min="11039" max="11039" width="13" style="20" bestFit="1" customWidth="1"/>
    <col min="11040" max="11040" width="14.85546875" style="20" bestFit="1" customWidth="1"/>
    <col min="11041" max="11041" width="5.5703125" style="20" bestFit="1" customWidth="1"/>
    <col min="11042" max="11042" width="6" style="20" bestFit="1" customWidth="1"/>
    <col min="11043" max="11043" width="12.42578125" style="20" bestFit="1" customWidth="1"/>
    <col min="11044" max="11044" width="12.85546875" style="20" bestFit="1" customWidth="1"/>
    <col min="11045" max="11045" width="9.140625" style="20" bestFit="1" customWidth="1"/>
    <col min="11046" max="11046" width="6.85546875" style="20" bestFit="1" customWidth="1"/>
    <col min="11047" max="11047" width="8.140625" style="20" bestFit="1" customWidth="1"/>
    <col min="11048" max="11048" width="14.140625" style="20" bestFit="1" customWidth="1"/>
    <col min="11049" max="11050" width="4.85546875" style="20" bestFit="1" customWidth="1"/>
    <col min="11051" max="11051" width="10.85546875" style="20" bestFit="1" customWidth="1"/>
    <col min="11052" max="11052" width="17.85546875" style="20" bestFit="1" customWidth="1"/>
    <col min="11053" max="11053" width="148.140625" style="20" bestFit="1" customWidth="1"/>
    <col min="11054" max="11054" width="9.85546875" style="20" bestFit="1" customWidth="1"/>
    <col min="11055" max="11272" width="8.85546875" style="20" customWidth="1"/>
    <col min="11273" max="11273" width="9" style="20" bestFit="1" customWidth="1"/>
    <col min="11274" max="11274" width="10" style="20" bestFit="1" customWidth="1"/>
    <col min="11275" max="11275" width="10.85546875" style="20" bestFit="1" customWidth="1"/>
    <col min="11276" max="11276" width="7.85546875" style="20" bestFit="1" customWidth="1"/>
    <col min="11277" max="11277" width="5.140625" style="20" bestFit="1" customWidth="1"/>
    <col min="11278" max="11278" width="4" style="20" bestFit="1" customWidth="1"/>
    <col min="11279" max="11279" width="9.42578125" style="20" bestFit="1" customWidth="1"/>
    <col min="11280" max="11280" width="11.85546875" style="20" bestFit="1" customWidth="1"/>
    <col min="11281" max="11281" width="31.140625" style="20" bestFit="1" customWidth="1"/>
    <col min="11282" max="11282" width="7" style="20" bestFit="1" customWidth="1"/>
    <col min="11283" max="11283" width="13" style="20" bestFit="1" customWidth="1"/>
    <col min="11284" max="11284" width="10" style="20" bestFit="1" customWidth="1"/>
    <col min="11285" max="11285" width="10.140625" style="20" bestFit="1" customWidth="1"/>
    <col min="11286" max="11286" width="17.85546875" style="20" bestFit="1" customWidth="1"/>
    <col min="11287" max="11287" width="10.140625" style="20" bestFit="1" customWidth="1"/>
    <col min="11288" max="11288" width="4.85546875" style="20" bestFit="1" customWidth="1"/>
    <col min="11289" max="11289" width="14" style="20" bestFit="1" customWidth="1"/>
    <col min="11290" max="11290" width="8.5703125" style="20" bestFit="1" customWidth="1"/>
    <col min="11291" max="11291" width="13.140625" style="20" bestFit="1" customWidth="1"/>
    <col min="11292" max="11292" width="42.140625" style="20" bestFit="1" customWidth="1"/>
    <col min="11293" max="11293" width="28.5703125" style="20" bestFit="1" customWidth="1"/>
    <col min="11294" max="11294" width="8.42578125" style="20" bestFit="1" customWidth="1"/>
    <col min="11295" max="11295" width="13" style="20" bestFit="1" customWidth="1"/>
    <col min="11296" max="11296" width="14.85546875" style="20" bestFit="1" customWidth="1"/>
    <col min="11297" max="11297" width="5.5703125" style="20" bestFit="1" customWidth="1"/>
    <col min="11298" max="11298" width="6" style="20" bestFit="1" customWidth="1"/>
    <col min="11299" max="11299" width="12.42578125" style="20" bestFit="1" customWidth="1"/>
    <col min="11300" max="11300" width="12.85546875" style="20" bestFit="1" customWidth="1"/>
    <col min="11301" max="11301" width="9.140625" style="20" bestFit="1" customWidth="1"/>
    <col min="11302" max="11302" width="6.85546875" style="20" bestFit="1" customWidth="1"/>
    <col min="11303" max="11303" width="8.140625" style="20" bestFit="1" customWidth="1"/>
    <col min="11304" max="11304" width="14.140625" style="20" bestFit="1" customWidth="1"/>
    <col min="11305" max="11306" width="4.85546875" style="20" bestFit="1" customWidth="1"/>
    <col min="11307" max="11307" width="10.85546875" style="20" bestFit="1" customWidth="1"/>
    <col min="11308" max="11308" width="17.85546875" style="20" bestFit="1" customWidth="1"/>
    <col min="11309" max="11309" width="148.140625" style="20" bestFit="1" customWidth="1"/>
    <col min="11310" max="11310" width="9.85546875" style="20" bestFit="1" customWidth="1"/>
    <col min="11311" max="11528" width="8.85546875" style="20" customWidth="1"/>
    <col min="11529" max="11529" width="9" style="20" bestFit="1" customWidth="1"/>
    <col min="11530" max="11530" width="10" style="20" bestFit="1" customWidth="1"/>
    <col min="11531" max="11531" width="10.85546875" style="20" bestFit="1" customWidth="1"/>
    <col min="11532" max="11532" width="7.85546875" style="20" bestFit="1" customWidth="1"/>
    <col min="11533" max="11533" width="5.140625" style="20" bestFit="1" customWidth="1"/>
    <col min="11534" max="11534" width="4" style="20" bestFit="1" customWidth="1"/>
    <col min="11535" max="11535" width="9.42578125" style="20" bestFit="1" customWidth="1"/>
    <col min="11536" max="11536" width="11.85546875" style="20" bestFit="1" customWidth="1"/>
    <col min="11537" max="11537" width="31.140625" style="20" bestFit="1" customWidth="1"/>
    <col min="11538" max="11538" width="7" style="20" bestFit="1" customWidth="1"/>
    <col min="11539" max="11539" width="13" style="20" bestFit="1" customWidth="1"/>
    <col min="11540" max="11540" width="10" style="20" bestFit="1" customWidth="1"/>
    <col min="11541" max="11541" width="10.140625" style="20" bestFit="1" customWidth="1"/>
    <col min="11542" max="11542" width="17.85546875" style="20" bestFit="1" customWidth="1"/>
    <col min="11543" max="11543" width="10.140625" style="20" bestFit="1" customWidth="1"/>
    <col min="11544" max="11544" width="4.85546875" style="20" bestFit="1" customWidth="1"/>
    <col min="11545" max="11545" width="14" style="20" bestFit="1" customWidth="1"/>
    <col min="11546" max="11546" width="8.5703125" style="20" bestFit="1" customWidth="1"/>
    <col min="11547" max="11547" width="13.140625" style="20" bestFit="1" customWidth="1"/>
    <col min="11548" max="11548" width="42.140625" style="20" bestFit="1" customWidth="1"/>
    <col min="11549" max="11549" width="28.5703125" style="20" bestFit="1" customWidth="1"/>
    <col min="11550" max="11550" width="8.42578125" style="20" bestFit="1" customWidth="1"/>
    <col min="11551" max="11551" width="13" style="20" bestFit="1" customWidth="1"/>
    <col min="11552" max="11552" width="14.85546875" style="20" bestFit="1" customWidth="1"/>
    <col min="11553" max="11553" width="5.5703125" style="20" bestFit="1" customWidth="1"/>
    <col min="11554" max="11554" width="6" style="20" bestFit="1" customWidth="1"/>
    <col min="11555" max="11555" width="12.42578125" style="20" bestFit="1" customWidth="1"/>
    <col min="11556" max="11556" width="12.85546875" style="20" bestFit="1" customWidth="1"/>
    <col min="11557" max="11557" width="9.140625" style="20" bestFit="1" customWidth="1"/>
    <col min="11558" max="11558" width="6.85546875" style="20" bestFit="1" customWidth="1"/>
    <col min="11559" max="11559" width="8.140625" style="20" bestFit="1" customWidth="1"/>
    <col min="11560" max="11560" width="14.140625" style="20" bestFit="1" customWidth="1"/>
    <col min="11561" max="11562" width="4.85546875" style="20" bestFit="1" customWidth="1"/>
    <col min="11563" max="11563" width="10.85546875" style="20" bestFit="1" customWidth="1"/>
    <col min="11564" max="11564" width="17.85546875" style="20" bestFit="1" customWidth="1"/>
    <col min="11565" max="11565" width="148.140625" style="20" bestFit="1" customWidth="1"/>
    <col min="11566" max="11566" width="9.85546875" style="20" bestFit="1" customWidth="1"/>
    <col min="11567" max="11784" width="8.85546875" style="20" customWidth="1"/>
    <col min="11785" max="11785" width="9" style="20" bestFit="1" customWidth="1"/>
    <col min="11786" max="11786" width="10" style="20" bestFit="1" customWidth="1"/>
    <col min="11787" max="11787" width="10.85546875" style="20" bestFit="1" customWidth="1"/>
    <col min="11788" max="11788" width="7.85546875" style="20" bestFit="1" customWidth="1"/>
    <col min="11789" max="11789" width="5.140625" style="20" bestFit="1" customWidth="1"/>
    <col min="11790" max="11790" width="4" style="20" bestFit="1" customWidth="1"/>
    <col min="11791" max="11791" width="9.42578125" style="20" bestFit="1" customWidth="1"/>
    <col min="11792" max="11792" width="11.85546875" style="20" bestFit="1" customWidth="1"/>
    <col min="11793" max="11793" width="31.140625" style="20" bestFit="1" customWidth="1"/>
    <col min="11794" max="11794" width="7" style="20" bestFit="1" customWidth="1"/>
    <col min="11795" max="11795" width="13" style="20" bestFit="1" customWidth="1"/>
    <col min="11796" max="11796" width="10" style="20" bestFit="1" customWidth="1"/>
    <col min="11797" max="11797" width="10.140625" style="20" bestFit="1" customWidth="1"/>
    <col min="11798" max="11798" width="17.85546875" style="20" bestFit="1" customWidth="1"/>
    <col min="11799" max="11799" width="10.140625" style="20" bestFit="1" customWidth="1"/>
    <col min="11800" max="11800" width="4.85546875" style="20" bestFit="1" customWidth="1"/>
    <col min="11801" max="11801" width="14" style="20" bestFit="1" customWidth="1"/>
    <col min="11802" max="11802" width="8.5703125" style="20" bestFit="1" customWidth="1"/>
    <col min="11803" max="11803" width="13.140625" style="20" bestFit="1" customWidth="1"/>
    <col min="11804" max="11804" width="42.140625" style="20" bestFit="1" customWidth="1"/>
    <col min="11805" max="11805" width="28.5703125" style="20" bestFit="1" customWidth="1"/>
    <col min="11806" max="11806" width="8.42578125" style="20" bestFit="1" customWidth="1"/>
    <col min="11807" max="11807" width="13" style="20" bestFit="1" customWidth="1"/>
    <col min="11808" max="11808" width="14.85546875" style="20" bestFit="1" customWidth="1"/>
    <col min="11809" max="11809" width="5.5703125" style="20" bestFit="1" customWidth="1"/>
    <col min="11810" max="11810" width="6" style="20" bestFit="1" customWidth="1"/>
    <col min="11811" max="11811" width="12.42578125" style="20" bestFit="1" customWidth="1"/>
    <col min="11812" max="11812" width="12.85546875" style="20" bestFit="1" customWidth="1"/>
    <col min="11813" max="11813" width="9.140625" style="20" bestFit="1" customWidth="1"/>
    <col min="11814" max="11814" width="6.85546875" style="20" bestFit="1" customWidth="1"/>
    <col min="11815" max="11815" width="8.140625" style="20" bestFit="1" customWidth="1"/>
    <col min="11816" max="11816" width="14.140625" style="20" bestFit="1" customWidth="1"/>
    <col min="11817" max="11818" width="4.85546875" style="20" bestFit="1" customWidth="1"/>
    <col min="11819" max="11819" width="10.85546875" style="20" bestFit="1" customWidth="1"/>
    <col min="11820" max="11820" width="17.85546875" style="20" bestFit="1" customWidth="1"/>
    <col min="11821" max="11821" width="148.140625" style="20" bestFit="1" customWidth="1"/>
    <col min="11822" max="11822" width="9.85546875" style="20" bestFit="1" customWidth="1"/>
    <col min="11823" max="12040" width="8.85546875" style="20" customWidth="1"/>
    <col min="12041" max="12041" width="9" style="20" bestFit="1" customWidth="1"/>
    <col min="12042" max="12042" width="10" style="20" bestFit="1" customWidth="1"/>
    <col min="12043" max="12043" width="10.85546875" style="20" bestFit="1" customWidth="1"/>
    <col min="12044" max="12044" width="7.85546875" style="20" bestFit="1" customWidth="1"/>
    <col min="12045" max="12045" width="5.140625" style="20" bestFit="1" customWidth="1"/>
    <col min="12046" max="12046" width="4" style="20" bestFit="1" customWidth="1"/>
    <col min="12047" max="12047" width="9.42578125" style="20" bestFit="1" customWidth="1"/>
    <col min="12048" max="12048" width="11.85546875" style="20" bestFit="1" customWidth="1"/>
    <col min="12049" max="12049" width="31.140625" style="20" bestFit="1" customWidth="1"/>
    <col min="12050" max="12050" width="7" style="20" bestFit="1" customWidth="1"/>
    <col min="12051" max="12051" width="13" style="20" bestFit="1" customWidth="1"/>
    <col min="12052" max="12052" width="10" style="20" bestFit="1" customWidth="1"/>
    <col min="12053" max="12053" width="10.140625" style="20" bestFit="1" customWidth="1"/>
    <col min="12054" max="12054" width="17.85546875" style="20" bestFit="1" customWidth="1"/>
    <col min="12055" max="12055" width="10.140625" style="20" bestFit="1" customWidth="1"/>
    <col min="12056" max="12056" width="4.85546875" style="20" bestFit="1" customWidth="1"/>
    <col min="12057" max="12057" width="14" style="20" bestFit="1" customWidth="1"/>
    <col min="12058" max="12058" width="8.5703125" style="20" bestFit="1" customWidth="1"/>
    <col min="12059" max="12059" width="13.140625" style="20" bestFit="1" customWidth="1"/>
    <col min="12060" max="12060" width="42.140625" style="20" bestFit="1" customWidth="1"/>
    <col min="12061" max="12061" width="28.5703125" style="20" bestFit="1" customWidth="1"/>
    <col min="12062" max="12062" width="8.42578125" style="20" bestFit="1" customWidth="1"/>
    <col min="12063" max="12063" width="13" style="20" bestFit="1" customWidth="1"/>
    <col min="12064" max="12064" width="14.85546875" style="20" bestFit="1" customWidth="1"/>
    <col min="12065" max="12065" width="5.5703125" style="20" bestFit="1" customWidth="1"/>
    <col min="12066" max="12066" width="6" style="20" bestFit="1" customWidth="1"/>
    <col min="12067" max="12067" width="12.42578125" style="20" bestFit="1" customWidth="1"/>
    <col min="12068" max="12068" width="12.85546875" style="20" bestFit="1" customWidth="1"/>
    <col min="12069" max="12069" width="9.140625" style="20" bestFit="1" customWidth="1"/>
    <col min="12070" max="12070" width="6.85546875" style="20" bestFit="1" customWidth="1"/>
    <col min="12071" max="12071" width="8.140625" style="20" bestFit="1" customWidth="1"/>
    <col min="12072" max="12072" width="14.140625" style="20" bestFit="1" customWidth="1"/>
    <col min="12073" max="12074" width="4.85546875" style="20" bestFit="1" customWidth="1"/>
    <col min="12075" max="12075" width="10.85546875" style="20" bestFit="1" customWidth="1"/>
    <col min="12076" max="12076" width="17.85546875" style="20" bestFit="1" customWidth="1"/>
    <col min="12077" max="12077" width="148.140625" style="20" bestFit="1" customWidth="1"/>
    <col min="12078" max="12078" width="9.85546875" style="20" bestFit="1" customWidth="1"/>
    <col min="12079" max="12296" width="8.85546875" style="20" customWidth="1"/>
    <col min="12297" max="12297" width="9" style="20" bestFit="1" customWidth="1"/>
    <col min="12298" max="12298" width="10" style="20" bestFit="1" customWidth="1"/>
    <col min="12299" max="12299" width="10.85546875" style="20" bestFit="1" customWidth="1"/>
    <col min="12300" max="12300" width="7.85546875" style="20" bestFit="1" customWidth="1"/>
    <col min="12301" max="12301" width="5.140625" style="20" bestFit="1" customWidth="1"/>
    <col min="12302" max="12302" width="4" style="20" bestFit="1" customWidth="1"/>
    <col min="12303" max="12303" width="9.42578125" style="20" bestFit="1" customWidth="1"/>
    <col min="12304" max="12304" width="11.85546875" style="20" bestFit="1" customWidth="1"/>
    <col min="12305" max="12305" width="31.140625" style="20" bestFit="1" customWidth="1"/>
    <col min="12306" max="12306" width="7" style="20" bestFit="1" customWidth="1"/>
    <col min="12307" max="12307" width="13" style="20" bestFit="1" customWidth="1"/>
    <col min="12308" max="12308" width="10" style="20" bestFit="1" customWidth="1"/>
    <col min="12309" max="12309" width="10.140625" style="20" bestFit="1" customWidth="1"/>
    <col min="12310" max="12310" width="17.85546875" style="20" bestFit="1" customWidth="1"/>
    <col min="12311" max="12311" width="10.140625" style="20" bestFit="1" customWidth="1"/>
    <col min="12312" max="12312" width="4.85546875" style="20" bestFit="1" customWidth="1"/>
    <col min="12313" max="12313" width="14" style="20" bestFit="1" customWidth="1"/>
    <col min="12314" max="12314" width="8.5703125" style="20" bestFit="1" customWidth="1"/>
    <col min="12315" max="12315" width="13.140625" style="20" bestFit="1" customWidth="1"/>
    <col min="12316" max="12316" width="42.140625" style="20" bestFit="1" customWidth="1"/>
    <col min="12317" max="12317" width="28.5703125" style="20" bestFit="1" customWidth="1"/>
    <col min="12318" max="12318" width="8.42578125" style="20" bestFit="1" customWidth="1"/>
    <col min="12319" max="12319" width="13" style="20" bestFit="1" customWidth="1"/>
    <col min="12320" max="12320" width="14.85546875" style="20" bestFit="1" customWidth="1"/>
    <col min="12321" max="12321" width="5.5703125" style="20" bestFit="1" customWidth="1"/>
    <col min="12322" max="12322" width="6" style="20" bestFit="1" customWidth="1"/>
    <col min="12323" max="12323" width="12.42578125" style="20" bestFit="1" customWidth="1"/>
    <col min="12324" max="12324" width="12.85546875" style="20" bestFit="1" customWidth="1"/>
    <col min="12325" max="12325" width="9.140625" style="20" bestFit="1" customWidth="1"/>
    <col min="12326" max="12326" width="6.85546875" style="20" bestFit="1" customWidth="1"/>
    <col min="12327" max="12327" width="8.140625" style="20" bestFit="1" customWidth="1"/>
    <col min="12328" max="12328" width="14.140625" style="20" bestFit="1" customWidth="1"/>
    <col min="12329" max="12330" width="4.85546875" style="20" bestFit="1" customWidth="1"/>
    <col min="12331" max="12331" width="10.85546875" style="20" bestFit="1" customWidth="1"/>
    <col min="12332" max="12332" width="17.85546875" style="20" bestFit="1" customWidth="1"/>
    <col min="12333" max="12333" width="148.140625" style="20" bestFit="1" customWidth="1"/>
    <col min="12334" max="12334" width="9.85546875" style="20" bestFit="1" customWidth="1"/>
    <col min="12335" max="12552" width="8.85546875" style="20" customWidth="1"/>
    <col min="12553" max="12553" width="9" style="20" bestFit="1" customWidth="1"/>
    <col min="12554" max="12554" width="10" style="20" bestFit="1" customWidth="1"/>
    <col min="12555" max="12555" width="10.85546875" style="20" bestFit="1" customWidth="1"/>
    <col min="12556" max="12556" width="7.85546875" style="20" bestFit="1" customWidth="1"/>
    <col min="12557" max="12557" width="5.140625" style="20" bestFit="1" customWidth="1"/>
    <col min="12558" max="12558" width="4" style="20" bestFit="1" customWidth="1"/>
    <col min="12559" max="12559" width="9.42578125" style="20" bestFit="1" customWidth="1"/>
    <col min="12560" max="12560" width="11.85546875" style="20" bestFit="1" customWidth="1"/>
    <col min="12561" max="12561" width="31.140625" style="20" bestFit="1" customWidth="1"/>
    <col min="12562" max="12562" width="7" style="20" bestFit="1" customWidth="1"/>
    <col min="12563" max="12563" width="13" style="20" bestFit="1" customWidth="1"/>
    <col min="12564" max="12564" width="10" style="20" bestFit="1" customWidth="1"/>
    <col min="12565" max="12565" width="10.140625" style="20" bestFit="1" customWidth="1"/>
    <col min="12566" max="12566" width="17.85546875" style="20" bestFit="1" customWidth="1"/>
    <col min="12567" max="12567" width="10.140625" style="20" bestFit="1" customWidth="1"/>
    <col min="12568" max="12568" width="4.85546875" style="20" bestFit="1" customWidth="1"/>
    <col min="12569" max="12569" width="14" style="20" bestFit="1" customWidth="1"/>
    <col min="12570" max="12570" width="8.5703125" style="20" bestFit="1" customWidth="1"/>
    <col min="12571" max="12571" width="13.140625" style="20" bestFit="1" customWidth="1"/>
    <col min="12572" max="12572" width="42.140625" style="20" bestFit="1" customWidth="1"/>
    <col min="12573" max="12573" width="28.5703125" style="20" bestFit="1" customWidth="1"/>
    <col min="12574" max="12574" width="8.42578125" style="20" bestFit="1" customWidth="1"/>
    <col min="12575" max="12575" width="13" style="20" bestFit="1" customWidth="1"/>
    <col min="12576" max="12576" width="14.85546875" style="20" bestFit="1" customWidth="1"/>
    <col min="12577" max="12577" width="5.5703125" style="20" bestFit="1" customWidth="1"/>
    <col min="12578" max="12578" width="6" style="20" bestFit="1" customWidth="1"/>
    <col min="12579" max="12579" width="12.42578125" style="20" bestFit="1" customWidth="1"/>
    <col min="12580" max="12580" width="12.85546875" style="20" bestFit="1" customWidth="1"/>
    <col min="12581" max="12581" width="9.140625" style="20" bestFit="1" customWidth="1"/>
    <col min="12582" max="12582" width="6.85546875" style="20" bestFit="1" customWidth="1"/>
    <col min="12583" max="12583" width="8.140625" style="20" bestFit="1" customWidth="1"/>
    <col min="12584" max="12584" width="14.140625" style="20" bestFit="1" customWidth="1"/>
    <col min="12585" max="12586" width="4.85546875" style="20" bestFit="1" customWidth="1"/>
    <col min="12587" max="12587" width="10.85546875" style="20" bestFit="1" customWidth="1"/>
    <col min="12588" max="12588" width="17.85546875" style="20" bestFit="1" customWidth="1"/>
    <col min="12589" max="12589" width="148.140625" style="20" bestFit="1" customWidth="1"/>
    <col min="12590" max="12590" width="9.85546875" style="20" bestFit="1" customWidth="1"/>
    <col min="12591" max="12808" width="8.85546875" style="20" customWidth="1"/>
    <col min="12809" max="12809" width="9" style="20" bestFit="1" customWidth="1"/>
    <col min="12810" max="12810" width="10" style="20" bestFit="1" customWidth="1"/>
    <col min="12811" max="12811" width="10.85546875" style="20" bestFit="1" customWidth="1"/>
    <col min="12812" max="12812" width="7.85546875" style="20" bestFit="1" customWidth="1"/>
    <col min="12813" max="12813" width="5.140625" style="20" bestFit="1" customWidth="1"/>
    <col min="12814" max="12814" width="4" style="20" bestFit="1" customWidth="1"/>
    <col min="12815" max="12815" width="9.42578125" style="20" bestFit="1" customWidth="1"/>
    <col min="12816" max="12816" width="11.85546875" style="20" bestFit="1" customWidth="1"/>
    <col min="12817" max="12817" width="31.140625" style="20" bestFit="1" customWidth="1"/>
    <col min="12818" max="12818" width="7" style="20" bestFit="1" customWidth="1"/>
    <col min="12819" max="12819" width="13" style="20" bestFit="1" customWidth="1"/>
    <col min="12820" max="12820" width="10" style="20" bestFit="1" customWidth="1"/>
    <col min="12821" max="12821" width="10.140625" style="20" bestFit="1" customWidth="1"/>
    <col min="12822" max="12822" width="17.85546875" style="20" bestFit="1" customWidth="1"/>
    <col min="12823" max="12823" width="10.140625" style="20" bestFit="1" customWidth="1"/>
    <col min="12824" max="12824" width="4.85546875" style="20" bestFit="1" customWidth="1"/>
    <col min="12825" max="12825" width="14" style="20" bestFit="1" customWidth="1"/>
    <col min="12826" max="12826" width="8.5703125" style="20" bestFit="1" customWidth="1"/>
    <col min="12827" max="12827" width="13.140625" style="20" bestFit="1" customWidth="1"/>
    <col min="12828" max="12828" width="42.140625" style="20" bestFit="1" customWidth="1"/>
    <col min="12829" max="12829" width="28.5703125" style="20" bestFit="1" customWidth="1"/>
    <col min="12830" max="12830" width="8.42578125" style="20" bestFit="1" customWidth="1"/>
    <col min="12831" max="12831" width="13" style="20" bestFit="1" customWidth="1"/>
    <col min="12832" max="12832" width="14.85546875" style="20" bestFit="1" customWidth="1"/>
    <col min="12833" max="12833" width="5.5703125" style="20" bestFit="1" customWidth="1"/>
    <col min="12834" max="12834" width="6" style="20" bestFit="1" customWidth="1"/>
    <col min="12835" max="12835" width="12.42578125" style="20" bestFit="1" customWidth="1"/>
    <col min="12836" max="12836" width="12.85546875" style="20" bestFit="1" customWidth="1"/>
    <col min="12837" max="12837" width="9.140625" style="20" bestFit="1" customWidth="1"/>
    <col min="12838" max="12838" width="6.85546875" style="20" bestFit="1" customWidth="1"/>
    <col min="12839" max="12839" width="8.140625" style="20" bestFit="1" customWidth="1"/>
    <col min="12840" max="12840" width="14.140625" style="20" bestFit="1" customWidth="1"/>
    <col min="12841" max="12842" width="4.85546875" style="20" bestFit="1" customWidth="1"/>
    <col min="12843" max="12843" width="10.85546875" style="20" bestFit="1" customWidth="1"/>
    <col min="12844" max="12844" width="17.85546875" style="20" bestFit="1" customWidth="1"/>
    <col min="12845" max="12845" width="148.140625" style="20" bestFit="1" customWidth="1"/>
    <col min="12846" max="12846" width="9.85546875" style="20" bestFit="1" customWidth="1"/>
    <col min="12847" max="13064" width="8.85546875" style="20" customWidth="1"/>
    <col min="13065" max="13065" width="9" style="20" bestFit="1" customWidth="1"/>
    <col min="13066" max="13066" width="10" style="20" bestFit="1" customWidth="1"/>
    <col min="13067" max="13067" width="10.85546875" style="20" bestFit="1" customWidth="1"/>
    <col min="13068" max="13068" width="7.85546875" style="20" bestFit="1" customWidth="1"/>
    <col min="13069" max="13069" width="5.140625" style="20" bestFit="1" customWidth="1"/>
    <col min="13070" max="13070" width="4" style="20" bestFit="1" customWidth="1"/>
    <col min="13071" max="13071" width="9.42578125" style="20" bestFit="1" customWidth="1"/>
    <col min="13072" max="13072" width="11.85546875" style="20" bestFit="1" customWidth="1"/>
    <col min="13073" max="13073" width="31.140625" style="20" bestFit="1" customWidth="1"/>
    <col min="13074" max="13074" width="7" style="20" bestFit="1" customWidth="1"/>
    <col min="13075" max="13075" width="13" style="20" bestFit="1" customWidth="1"/>
    <col min="13076" max="13076" width="10" style="20" bestFit="1" customWidth="1"/>
    <col min="13077" max="13077" width="10.140625" style="20" bestFit="1" customWidth="1"/>
    <col min="13078" max="13078" width="17.85546875" style="20" bestFit="1" customWidth="1"/>
    <col min="13079" max="13079" width="10.140625" style="20" bestFit="1" customWidth="1"/>
    <col min="13080" max="13080" width="4.85546875" style="20" bestFit="1" customWidth="1"/>
    <col min="13081" max="13081" width="14" style="20" bestFit="1" customWidth="1"/>
    <col min="13082" max="13082" width="8.5703125" style="20" bestFit="1" customWidth="1"/>
    <col min="13083" max="13083" width="13.140625" style="20" bestFit="1" customWidth="1"/>
    <col min="13084" max="13084" width="42.140625" style="20" bestFit="1" customWidth="1"/>
    <col min="13085" max="13085" width="28.5703125" style="20" bestFit="1" customWidth="1"/>
    <col min="13086" max="13086" width="8.42578125" style="20" bestFit="1" customWidth="1"/>
    <col min="13087" max="13087" width="13" style="20" bestFit="1" customWidth="1"/>
    <col min="13088" max="13088" width="14.85546875" style="20" bestFit="1" customWidth="1"/>
    <col min="13089" max="13089" width="5.5703125" style="20" bestFit="1" customWidth="1"/>
    <col min="13090" max="13090" width="6" style="20" bestFit="1" customWidth="1"/>
    <col min="13091" max="13091" width="12.42578125" style="20" bestFit="1" customWidth="1"/>
    <col min="13092" max="13092" width="12.85546875" style="20" bestFit="1" customWidth="1"/>
    <col min="13093" max="13093" width="9.140625" style="20" bestFit="1" customWidth="1"/>
    <col min="13094" max="13094" width="6.85546875" style="20" bestFit="1" customWidth="1"/>
    <col min="13095" max="13095" width="8.140625" style="20" bestFit="1" customWidth="1"/>
    <col min="13096" max="13096" width="14.140625" style="20" bestFit="1" customWidth="1"/>
    <col min="13097" max="13098" width="4.85546875" style="20" bestFit="1" customWidth="1"/>
    <col min="13099" max="13099" width="10.85546875" style="20" bestFit="1" customWidth="1"/>
    <col min="13100" max="13100" width="17.85546875" style="20" bestFit="1" customWidth="1"/>
    <col min="13101" max="13101" width="148.140625" style="20" bestFit="1" customWidth="1"/>
    <col min="13102" max="13102" width="9.85546875" style="20" bestFit="1" customWidth="1"/>
    <col min="13103" max="13320" width="8.85546875" style="20" customWidth="1"/>
    <col min="13321" max="13321" width="9" style="20" bestFit="1" customWidth="1"/>
    <col min="13322" max="13322" width="10" style="20" bestFit="1" customWidth="1"/>
    <col min="13323" max="13323" width="10.85546875" style="20" bestFit="1" customWidth="1"/>
    <col min="13324" max="13324" width="7.85546875" style="20" bestFit="1" customWidth="1"/>
    <col min="13325" max="13325" width="5.140625" style="20" bestFit="1" customWidth="1"/>
    <col min="13326" max="13326" width="4" style="20" bestFit="1" customWidth="1"/>
    <col min="13327" max="13327" width="9.42578125" style="20" bestFit="1" customWidth="1"/>
    <col min="13328" max="13328" width="11.85546875" style="20" bestFit="1" customWidth="1"/>
    <col min="13329" max="13329" width="31.140625" style="20" bestFit="1" customWidth="1"/>
    <col min="13330" max="13330" width="7" style="20" bestFit="1" customWidth="1"/>
    <col min="13331" max="13331" width="13" style="20" bestFit="1" customWidth="1"/>
    <col min="13332" max="13332" width="10" style="20" bestFit="1" customWidth="1"/>
    <col min="13333" max="13333" width="10.140625" style="20" bestFit="1" customWidth="1"/>
    <col min="13334" max="13334" width="17.85546875" style="20" bestFit="1" customWidth="1"/>
    <col min="13335" max="13335" width="10.140625" style="20" bestFit="1" customWidth="1"/>
    <col min="13336" max="13336" width="4.85546875" style="20" bestFit="1" customWidth="1"/>
    <col min="13337" max="13337" width="14" style="20" bestFit="1" customWidth="1"/>
    <col min="13338" max="13338" width="8.5703125" style="20" bestFit="1" customWidth="1"/>
    <col min="13339" max="13339" width="13.140625" style="20" bestFit="1" customWidth="1"/>
    <col min="13340" max="13340" width="42.140625" style="20" bestFit="1" customWidth="1"/>
    <col min="13341" max="13341" width="28.5703125" style="20" bestFit="1" customWidth="1"/>
    <col min="13342" max="13342" width="8.42578125" style="20" bestFit="1" customWidth="1"/>
    <col min="13343" max="13343" width="13" style="20" bestFit="1" customWidth="1"/>
    <col min="13344" max="13344" width="14.85546875" style="20" bestFit="1" customWidth="1"/>
    <col min="13345" max="13345" width="5.5703125" style="20" bestFit="1" customWidth="1"/>
    <col min="13346" max="13346" width="6" style="20" bestFit="1" customWidth="1"/>
    <col min="13347" max="13347" width="12.42578125" style="20" bestFit="1" customWidth="1"/>
    <col min="13348" max="13348" width="12.85546875" style="20" bestFit="1" customWidth="1"/>
    <col min="13349" max="13349" width="9.140625" style="20" bestFit="1" customWidth="1"/>
    <col min="13350" max="13350" width="6.85546875" style="20" bestFit="1" customWidth="1"/>
    <col min="13351" max="13351" width="8.140625" style="20" bestFit="1" customWidth="1"/>
    <col min="13352" max="13352" width="14.140625" style="20" bestFit="1" customWidth="1"/>
    <col min="13353" max="13354" width="4.85546875" style="20" bestFit="1" customWidth="1"/>
    <col min="13355" max="13355" width="10.85546875" style="20" bestFit="1" customWidth="1"/>
    <col min="13356" max="13356" width="17.85546875" style="20" bestFit="1" customWidth="1"/>
    <col min="13357" max="13357" width="148.140625" style="20" bestFit="1" customWidth="1"/>
    <col min="13358" max="13358" width="9.85546875" style="20" bestFit="1" customWidth="1"/>
    <col min="13359" max="13576" width="8.85546875" style="20" customWidth="1"/>
    <col min="13577" max="13577" width="9" style="20" bestFit="1" customWidth="1"/>
    <col min="13578" max="13578" width="10" style="20" bestFit="1" customWidth="1"/>
    <col min="13579" max="13579" width="10.85546875" style="20" bestFit="1" customWidth="1"/>
    <col min="13580" max="13580" width="7.85546875" style="20" bestFit="1" customWidth="1"/>
    <col min="13581" max="13581" width="5.140625" style="20" bestFit="1" customWidth="1"/>
    <col min="13582" max="13582" width="4" style="20" bestFit="1" customWidth="1"/>
    <col min="13583" max="13583" width="9.42578125" style="20" bestFit="1" customWidth="1"/>
    <col min="13584" max="13584" width="11.85546875" style="20" bestFit="1" customWidth="1"/>
    <col min="13585" max="13585" width="31.140625" style="20" bestFit="1" customWidth="1"/>
    <col min="13586" max="13586" width="7" style="20" bestFit="1" customWidth="1"/>
    <col min="13587" max="13587" width="13" style="20" bestFit="1" customWidth="1"/>
    <col min="13588" max="13588" width="10" style="20" bestFit="1" customWidth="1"/>
    <col min="13589" max="13589" width="10.140625" style="20" bestFit="1" customWidth="1"/>
    <col min="13590" max="13590" width="17.85546875" style="20" bestFit="1" customWidth="1"/>
    <col min="13591" max="13591" width="10.140625" style="20" bestFit="1" customWidth="1"/>
    <col min="13592" max="13592" width="4.85546875" style="20" bestFit="1" customWidth="1"/>
    <col min="13593" max="13593" width="14" style="20" bestFit="1" customWidth="1"/>
    <col min="13594" max="13594" width="8.5703125" style="20" bestFit="1" customWidth="1"/>
    <col min="13595" max="13595" width="13.140625" style="20" bestFit="1" customWidth="1"/>
    <col min="13596" max="13596" width="42.140625" style="20" bestFit="1" customWidth="1"/>
    <col min="13597" max="13597" width="28.5703125" style="20" bestFit="1" customWidth="1"/>
    <col min="13598" max="13598" width="8.42578125" style="20" bestFit="1" customWidth="1"/>
    <col min="13599" max="13599" width="13" style="20" bestFit="1" customWidth="1"/>
    <col min="13600" max="13600" width="14.85546875" style="20" bestFit="1" customWidth="1"/>
    <col min="13601" max="13601" width="5.5703125" style="20" bestFit="1" customWidth="1"/>
    <col min="13602" max="13602" width="6" style="20" bestFit="1" customWidth="1"/>
    <col min="13603" max="13603" width="12.42578125" style="20" bestFit="1" customWidth="1"/>
    <col min="13604" max="13604" width="12.85546875" style="20" bestFit="1" customWidth="1"/>
    <col min="13605" max="13605" width="9.140625" style="20" bestFit="1" customWidth="1"/>
    <col min="13606" max="13606" width="6.85546875" style="20" bestFit="1" customWidth="1"/>
    <col min="13607" max="13607" width="8.140625" style="20" bestFit="1" customWidth="1"/>
    <col min="13608" max="13608" width="14.140625" style="20" bestFit="1" customWidth="1"/>
    <col min="13609" max="13610" width="4.85546875" style="20" bestFit="1" customWidth="1"/>
    <col min="13611" max="13611" width="10.85546875" style="20" bestFit="1" customWidth="1"/>
    <col min="13612" max="13612" width="17.85546875" style="20" bestFit="1" customWidth="1"/>
    <col min="13613" max="13613" width="148.140625" style="20" bestFit="1" customWidth="1"/>
    <col min="13614" max="13614" width="9.85546875" style="20" bestFit="1" customWidth="1"/>
    <col min="13615" max="13832" width="8.85546875" style="20" customWidth="1"/>
    <col min="13833" max="13833" width="9" style="20" bestFit="1" customWidth="1"/>
    <col min="13834" max="13834" width="10" style="20" bestFit="1" customWidth="1"/>
    <col min="13835" max="13835" width="10.85546875" style="20" bestFit="1" customWidth="1"/>
    <col min="13836" max="13836" width="7.85546875" style="20" bestFit="1" customWidth="1"/>
    <col min="13837" max="13837" width="5.140625" style="20" bestFit="1" customWidth="1"/>
    <col min="13838" max="13838" width="4" style="20" bestFit="1" customWidth="1"/>
    <col min="13839" max="13839" width="9.42578125" style="20" bestFit="1" customWidth="1"/>
    <col min="13840" max="13840" width="11.85546875" style="20" bestFit="1" customWidth="1"/>
    <col min="13841" max="13841" width="31.140625" style="20" bestFit="1" customWidth="1"/>
    <col min="13842" max="13842" width="7" style="20" bestFit="1" customWidth="1"/>
    <col min="13843" max="13843" width="13" style="20" bestFit="1" customWidth="1"/>
    <col min="13844" max="13844" width="10" style="20" bestFit="1" customWidth="1"/>
    <col min="13845" max="13845" width="10.140625" style="20" bestFit="1" customWidth="1"/>
    <col min="13846" max="13846" width="17.85546875" style="20" bestFit="1" customWidth="1"/>
    <col min="13847" max="13847" width="10.140625" style="20" bestFit="1" customWidth="1"/>
    <col min="13848" max="13848" width="4.85546875" style="20" bestFit="1" customWidth="1"/>
    <col min="13849" max="13849" width="14" style="20" bestFit="1" customWidth="1"/>
    <col min="13850" max="13850" width="8.5703125" style="20" bestFit="1" customWidth="1"/>
    <col min="13851" max="13851" width="13.140625" style="20" bestFit="1" customWidth="1"/>
    <col min="13852" max="13852" width="42.140625" style="20" bestFit="1" customWidth="1"/>
    <col min="13853" max="13853" width="28.5703125" style="20" bestFit="1" customWidth="1"/>
    <col min="13854" max="13854" width="8.42578125" style="20" bestFit="1" customWidth="1"/>
    <col min="13855" max="13855" width="13" style="20" bestFit="1" customWidth="1"/>
    <col min="13856" max="13856" width="14.85546875" style="20" bestFit="1" customWidth="1"/>
    <col min="13857" max="13857" width="5.5703125" style="20" bestFit="1" customWidth="1"/>
    <col min="13858" max="13858" width="6" style="20" bestFit="1" customWidth="1"/>
    <col min="13859" max="13859" width="12.42578125" style="20" bestFit="1" customWidth="1"/>
    <col min="13860" max="13860" width="12.85546875" style="20" bestFit="1" customWidth="1"/>
    <col min="13861" max="13861" width="9.140625" style="20" bestFit="1" customWidth="1"/>
    <col min="13862" max="13862" width="6.85546875" style="20" bestFit="1" customWidth="1"/>
    <col min="13863" max="13863" width="8.140625" style="20" bestFit="1" customWidth="1"/>
    <col min="13864" max="13864" width="14.140625" style="20" bestFit="1" customWidth="1"/>
    <col min="13865" max="13866" width="4.85546875" style="20" bestFit="1" customWidth="1"/>
    <col min="13867" max="13867" width="10.85546875" style="20" bestFit="1" customWidth="1"/>
    <col min="13868" max="13868" width="17.85546875" style="20" bestFit="1" customWidth="1"/>
    <col min="13869" max="13869" width="148.140625" style="20" bestFit="1" customWidth="1"/>
    <col min="13870" max="13870" width="9.85546875" style="20" bestFit="1" customWidth="1"/>
    <col min="13871" max="14088" width="8.85546875" style="20" customWidth="1"/>
    <col min="14089" max="14089" width="9" style="20" bestFit="1" customWidth="1"/>
    <col min="14090" max="14090" width="10" style="20" bestFit="1" customWidth="1"/>
    <col min="14091" max="14091" width="10.85546875" style="20" bestFit="1" customWidth="1"/>
    <col min="14092" max="14092" width="7.85546875" style="20" bestFit="1" customWidth="1"/>
    <col min="14093" max="14093" width="5.140625" style="20" bestFit="1" customWidth="1"/>
    <col min="14094" max="14094" width="4" style="20" bestFit="1" customWidth="1"/>
    <col min="14095" max="14095" width="9.42578125" style="20" bestFit="1" customWidth="1"/>
    <col min="14096" max="14096" width="11.85546875" style="20" bestFit="1" customWidth="1"/>
    <col min="14097" max="14097" width="31.140625" style="20" bestFit="1" customWidth="1"/>
    <col min="14098" max="14098" width="7" style="20" bestFit="1" customWidth="1"/>
    <col min="14099" max="14099" width="13" style="20" bestFit="1" customWidth="1"/>
    <col min="14100" max="14100" width="10" style="20" bestFit="1" customWidth="1"/>
    <col min="14101" max="14101" width="10.140625" style="20" bestFit="1" customWidth="1"/>
    <col min="14102" max="14102" width="17.85546875" style="20" bestFit="1" customWidth="1"/>
    <col min="14103" max="14103" width="10.140625" style="20" bestFit="1" customWidth="1"/>
    <col min="14104" max="14104" width="4.85546875" style="20" bestFit="1" customWidth="1"/>
    <col min="14105" max="14105" width="14" style="20" bestFit="1" customWidth="1"/>
    <col min="14106" max="14106" width="8.5703125" style="20" bestFit="1" customWidth="1"/>
    <col min="14107" max="14107" width="13.140625" style="20" bestFit="1" customWidth="1"/>
    <col min="14108" max="14108" width="42.140625" style="20" bestFit="1" customWidth="1"/>
    <col min="14109" max="14109" width="28.5703125" style="20" bestFit="1" customWidth="1"/>
    <col min="14110" max="14110" width="8.42578125" style="20" bestFit="1" customWidth="1"/>
    <col min="14111" max="14111" width="13" style="20" bestFit="1" customWidth="1"/>
    <col min="14112" max="14112" width="14.85546875" style="20" bestFit="1" customWidth="1"/>
    <col min="14113" max="14113" width="5.5703125" style="20" bestFit="1" customWidth="1"/>
    <col min="14114" max="14114" width="6" style="20" bestFit="1" customWidth="1"/>
    <col min="14115" max="14115" width="12.42578125" style="20" bestFit="1" customWidth="1"/>
    <col min="14116" max="14116" width="12.85546875" style="20" bestFit="1" customWidth="1"/>
    <col min="14117" max="14117" width="9.140625" style="20" bestFit="1" customWidth="1"/>
    <col min="14118" max="14118" width="6.85546875" style="20" bestFit="1" customWidth="1"/>
    <col min="14119" max="14119" width="8.140625" style="20" bestFit="1" customWidth="1"/>
    <col min="14120" max="14120" width="14.140625" style="20" bestFit="1" customWidth="1"/>
    <col min="14121" max="14122" width="4.85546875" style="20" bestFit="1" customWidth="1"/>
    <col min="14123" max="14123" width="10.85546875" style="20" bestFit="1" customWidth="1"/>
    <col min="14124" max="14124" width="17.85546875" style="20" bestFit="1" customWidth="1"/>
    <col min="14125" max="14125" width="148.140625" style="20" bestFit="1" customWidth="1"/>
    <col min="14126" max="14126" width="9.85546875" style="20" bestFit="1" customWidth="1"/>
    <col min="14127" max="14344" width="8.85546875" style="20" customWidth="1"/>
    <col min="14345" max="14345" width="9" style="20" bestFit="1" customWidth="1"/>
    <col min="14346" max="14346" width="10" style="20" bestFit="1" customWidth="1"/>
    <col min="14347" max="14347" width="10.85546875" style="20" bestFit="1" customWidth="1"/>
    <col min="14348" max="14348" width="7.85546875" style="20" bestFit="1" customWidth="1"/>
    <col min="14349" max="14349" width="5.140625" style="20" bestFit="1" customWidth="1"/>
    <col min="14350" max="14350" width="4" style="20" bestFit="1" customWidth="1"/>
    <col min="14351" max="14351" width="9.42578125" style="20" bestFit="1" customWidth="1"/>
    <col min="14352" max="14352" width="11.85546875" style="20" bestFit="1" customWidth="1"/>
    <col min="14353" max="14353" width="31.140625" style="20" bestFit="1" customWidth="1"/>
    <col min="14354" max="14354" width="7" style="20" bestFit="1" customWidth="1"/>
    <col min="14355" max="14355" width="13" style="20" bestFit="1" customWidth="1"/>
    <col min="14356" max="14356" width="10" style="20" bestFit="1" customWidth="1"/>
    <col min="14357" max="14357" width="10.140625" style="20" bestFit="1" customWidth="1"/>
    <col min="14358" max="14358" width="17.85546875" style="20" bestFit="1" customWidth="1"/>
    <col min="14359" max="14359" width="10.140625" style="20" bestFit="1" customWidth="1"/>
    <col min="14360" max="14360" width="4.85546875" style="20" bestFit="1" customWidth="1"/>
    <col min="14361" max="14361" width="14" style="20" bestFit="1" customWidth="1"/>
    <col min="14362" max="14362" width="8.5703125" style="20" bestFit="1" customWidth="1"/>
    <col min="14363" max="14363" width="13.140625" style="20" bestFit="1" customWidth="1"/>
    <col min="14364" max="14364" width="42.140625" style="20" bestFit="1" customWidth="1"/>
    <col min="14365" max="14365" width="28.5703125" style="20" bestFit="1" customWidth="1"/>
    <col min="14366" max="14366" width="8.42578125" style="20" bestFit="1" customWidth="1"/>
    <col min="14367" max="14367" width="13" style="20" bestFit="1" customWidth="1"/>
    <col min="14368" max="14368" width="14.85546875" style="20" bestFit="1" customWidth="1"/>
    <col min="14369" max="14369" width="5.5703125" style="20" bestFit="1" customWidth="1"/>
    <col min="14370" max="14370" width="6" style="20" bestFit="1" customWidth="1"/>
    <col min="14371" max="14371" width="12.42578125" style="20" bestFit="1" customWidth="1"/>
    <col min="14372" max="14372" width="12.85546875" style="20" bestFit="1" customWidth="1"/>
    <col min="14373" max="14373" width="9.140625" style="20" bestFit="1" customWidth="1"/>
    <col min="14374" max="14374" width="6.85546875" style="20" bestFit="1" customWidth="1"/>
    <col min="14375" max="14375" width="8.140625" style="20" bestFit="1" customWidth="1"/>
    <col min="14376" max="14376" width="14.140625" style="20" bestFit="1" customWidth="1"/>
    <col min="14377" max="14378" width="4.85546875" style="20" bestFit="1" customWidth="1"/>
    <col min="14379" max="14379" width="10.85546875" style="20" bestFit="1" customWidth="1"/>
    <col min="14380" max="14380" width="17.85546875" style="20" bestFit="1" customWidth="1"/>
    <col min="14381" max="14381" width="148.140625" style="20" bestFit="1" customWidth="1"/>
    <col min="14382" max="14382" width="9.85546875" style="20" bestFit="1" customWidth="1"/>
    <col min="14383" max="14600" width="8.85546875" style="20" customWidth="1"/>
    <col min="14601" max="14601" width="9" style="20" bestFit="1" customWidth="1"/>
    <col min="14602" max="14602" width="10" style="20" bestFit="1" customWidth="1"/>
    <col min="14603" max="14603" width="10.85546875" style="20" bestFit="1" customWidth="1"/>
    <col min="14604" max="14604" width="7.85546875" style="20" bestFit="1" customWidth="1"/>
    <col min="14605" max="14605" width="5.140625" style="20" bestFit="1" customWidth="1"/>
    <col min="14606" max="14606" width="4" style="20" bestFit="1" customWidth="1"/>
    <col min="14607" max="14607" width="9.42578125" style="20" bestFit="1" customWidth="1"/>
    <col min="14608" max="14608" width="11.85546875" style="20" bestFit="1" customWidth="1"/>
    <col min="14609" max="14609" width="31.140625" style="20" bestFit="1" customWidth="1"/>
    <col min="14610" max="14610" width="7" style="20" bestFit="1" customWidth="1"/>
    <col min="14611" max="14611" width="13" style="20" bestFit="1" customWidth="1"/>
    <col min="14612" max="14612" width="10" style="20" bestFit="1" customWidth="1"/>
    <col min="14613" max="14613" width="10.140625" style="20" bestFit="1" customWidth="1"/>
    <col min="14614" max="14614" width="17.85546875" style="20" bestFit="1" customWidth="1"/>
    <col min="14615" max="14615" width="10.140625" style="20" bestFit="1" customWidth="1"/>
    <col min="14616" max="14616" width="4.85546875" style="20" bestFit="1" customWidth="1"/>
    <col min="14617" max="14617" width="14" style="20" bestFit="1" customWidth="1"/>
    <col min="14618" max="14618" width="8.5703125" style="20" bestFit="1" customWidth="1"/>
    <col min="14619" max="14619" width="13.140625" style="20" bestFit="1" customWidth="1"/>
    <col min="14620" max="14620" width="42.140625" style="20" bestFit="1" customWidth="1"/>
    <col min="14621" max="14621" width="28.5703125" style="20" bestFit="1" customWidth="1"/>
    <col min="14622" max="14622" width="8.42578125" style="20" bestFit="1" customWidth="1"/>
    <col min="14623" max="14623" width="13" style="20" bestFit="1" customWidth="1"/>
    <col min="14624" max="14624" width="14.85546875" style="20" bestFit="1" customWidth="1"/>
    <col min="14625" max="14625" width="5.5703125" style="20" bestFit="1" customWidth="1"/>
    <col min="14626" max="14626" width="6" style="20" bestFit="1" customWidth="1"/>
    <col min="14627" max="14627" width="12.42578125" style="20" bestFit="1" customWidth="1"/>
    <col min="14628" max="14628" width="12.85546875" style="20" bestFit="1" customWidth="1"/>
    <col min="14629" max="14629" width="9.140625" style="20" bestFit="1" customWidth="1"/>
    <col min="14630" max="14630" width="6.85546875" style="20" bestFit="1" customWidth="1"/>
    <col min="14631" max="14631" width="8.140625" style="20" bestFit="1" customWidth="1"/>
    <col min="14632" max="14632" width="14.140625" style="20" bestFit="1" customWidth="1"/>
    <col min="14633" max="14634" width="4.85546875" style="20" bestFit="1" customWidth="1"/>
    <col min="14635" max="14635" width="10.85546875" style="20" bestFit="1" customWidth="1"/>
    <col min="14636" max="14636" width="17.85546875" style="20" bestFit="1" customWidth="1"/>
    <col min="14637" max="14637" width="148.140625" style="20" bestFit="1" customWidth="1"/>
    <col min="14638" max="14638" width="9.85546875" style="20" bestFit="1" customWidth="1"/>
    <col min="14639" max="14856" width="8.85546875" style="20" customWidth="1"/>
    <col min="14857" max="14857" width="9" style="20" bestFit="1" customWidth="1"/>
    <col min="14858" max="14858" width="10" style="20" bestFit="1" customWidth="1"/>
    <col min="14859" max="14859" width="10.85546875" style="20" bestFit="1" customWidth="1"/>
    <col min="14860" max="14860" width="7.85546875" style="20" bestFit="1" customWidth="1"/>
    <col min="14861" max="14861" width="5.140625" style="20" bestFit="1" customWidth="1"/>
    <col min="14862" max="14862" width="4" style="20" bestFit="1" customWidth="1"/>
    <col min="14863" max="14863" width="9.42578125" style="20" bestFit="1" customWidth="1"/>
    <col min="14864" max="14864" width="11.85546875" style="20" bestFit="1" customWidth="1"/>
    <col min="14865" max="14865" width="31.140625" style="20" bestFit="1" customWidth="1"/>
    <col min="14866" max="14866" width="7" style="20" bestFit="1" customWidth="1"/>
    <col min="14867" max="14867" width="13" style="20" bestFit="1" customWidth="1"/>
    <col min="14868" max="14868" width="10" style="20" bestFit="1" customWidth="1"/>
    <col min="14869" max="14869" width="10.140625" style="20" bestFit="1" customWidth="1"/>
    <col min="14870" max="14870" width="17.85546875" style="20" bestFit="1" customWidth="1"/>
    <col min="14871" max="14871" width="10.140625" style="20" bestFit="1" customWidth="1"/>
    <col min="14872" max="14872" width="4.85546875" style="20" bestFit="1" customWidth="1"/>
    <col min="14873" max="14873" width="14" style="20" bestFit="1" customWidth="1"/>
    <col min="14874" max="14874" width="8.5703125" style="20" bestFit="1" customWidth="1"/>
    <col min="14875" max="14875" width="13.140625" style="20" bestFit="1" customWidth="1"/>
    <col min="14876" max="14876" width="42.140625" style="20" bestFit="1" customWidth="1"/>
    <col min="14877" max="14877" width="28.5703125" style="20" bestFit="1" customWidth="1"/>
    <col min="14878" max="14878" width="8.42578125" style="20" bestFit="1" customWidth="1"/>
    <col min="14879" max="14879" width="13" style="20" bestFit="1" customWidth="1"/>
    <col min="14880" max="14880" width="14.85546875" style="20" bestFit="1" customWidth="1"/>
    <col min="14881" max="14881" width="5.5703125" style="20" bestFit="1" customWidth="1"/>
    <col min="14882" max="14882" width="6" style="20" bestFit="1" customWidth="1"/>
    <col min="14883" max="14883" width="12.42578125" style="20" bestFit="1" customWidth="1"/>
    <col min="14884" max="14884" width="12.85546875" style="20" bestFit="1" customWidth="1"/>
    <col min="14885" max="14885" width="9.140625" style="20" bestFit="1" customWidth="1"/>
    <col min="14886" max="14886" width="6.85546875" style="20" bestFit="1" customWidth="1"/>
    <col min="14887" max="14887" width="8.140625" style="20" bestFit="1" customWidth="1"/>
    <col min="14888" max="14888" width="14.140625" style="20" bestFit="1" customWidth="1"/>
    <col min="14889" max="14890" width="4.85546875" style="20" bestFit="1" customWidth="1"/>
    <col min="14891" max="14891" width="10.85546875" style="20" bestFit="1" customWidth="1"/>
    <col min="14892" max="14892" width="17.85546875" style="20" bestFit="1" customWidth="1"/>
    <col min="14893" max="14893" width="148.140625" style="20" bestFit="1" customWidth="1"/>
    <col min="14894" max="14894" width="9.85546875" style="20" bestFit="1" customWidth="1"/>
    <col min="14895" max="15112" width="8.85546875" style="20" customWidth="1"/>
    <col min="15113" max="15113" width="9" style="20" bestFit="1" customWidth="1"/>
    <col min="15114" max="15114" width="10" style="20" bestFit="1" customWidth="1"/>
    <col min="15115" max="15115" width="10.85546875" style="20" bestFit="1" customWidth="1"/>
    <col min="15116" max="15116" width="7.85546875" style="20" bestFit="1" customWidth="1"/>
    <col min="15117" max="15117" width="5.140625" style="20" bestFit="1" customWidth="1"/>
    <col min="15118" max="15118" width="4" style="20" bestFit="1" customWidth="1"/>
    <col min="15119" max="15119" width="9.42578125" style="20" bestFit="1" customWidth="1"/>
    <col min="15120" max="15120" width="11.85546875" style="20" bestFit="1" customWidth="1"/>
    <col min="15121" max="15121" width="31.140625" style="20" bestFit="1" customWidth="1"/>
    <col min="15122" max="15122" width="7" style="20" bestFit="1" customWidth="1"/>
    <col min="15123" max="15123" width="13" style="20" bestFit="1" customWidth="1"/>
    <col min="15124" max="15124" width="10" style="20" bestFit="1" customWidth="1"/>
    <col min="15125" max="15125" width="10.140625" style="20" bestFit="1" customWidth="1"/>
    <col min="15126" max="15126" width="17.85546875" style="20" bestFit="1" customWidth="1"/>
    <col min="15127" max="15127" width="10.140625" style="20" bestFit="1" customWidth="1"/>
    <col min="15128" max="15128" width="4.85546875" style="20" bestFit="1" customWidth="1"/>
    <col min="15129" max="15129" width="14" style="20" bestFit="1" customWidth="1"/>
    <col min="15130" max="15130" width="8.5703125" style="20" bestFit="1" customWidth="1"/>
    <col min="15131" max="15131" width="13.140625" style="20" bestFit="1" customWidth="1"/>
    <col min="15132" max="15132" width="42.140625" style="20" bestFit="1" customWidth="1"/>
    <col min="15133" max="15133" width="28.5703125" style="20" bestFit="1" customWidth="1"/>
    <col min="15134" max="15134" width="8.42578125" style="20" bestFit="1" customWidth="1"/>
    <col min="15135" max="15135" width="13" style="20" bestFit="1" customWidth="1"/>
    <col min="15136" max="15136" width="14.85546875" style="20" bestFit="1" customWidth="1"/>
    <col min="15137" max="15137" width="5.5703125" style="20" bestFit="1" customWidth="1"/>
    <col min="15138" max="15138" width="6" style="20" bestFit="1" customWidth="1"/>
    <col min="15139" max="15139" width="12.42578125" style="20" bestFit="1" customWidth="1"/>
    <col min="15140" max="15140" width="12.85546875" style="20" bestFit="1" customWidth="1"/>
    <col min="15141" max="15141" width="9.140625" style="20" bestFit="1" customWidth="1"/>
    <col min="15142" max="15142" width="6.85546875" style="20" bestFit="1" customWidth="1"/>
    <col min="15143" max="15143" width="8.140625" style="20" bestFit="1" customWidth="1"/>
    <col min="15144" max="15144" width="14.140625" style="20" bestFit="1" customWidth="1"/>
    <col min="15145" max="15146" width="4.85546875" style="20" bestFit="1" customWidth="1"/>
    <col min="15147" max="15147" width="10.85546875" style="20" bestFit="1" customWidth="1"/>
    <col min="15148" max="15148" width="17.85546875" style="20" bestFit="1" customWidth="1"/>
    <col min="15149" max="15149" width="148.140625" style="20" bestFit="1" customWidth="1"/>
    <col min="15150" max="15150" width="9.85546875" style="20" bestFit="1" customWidth="1"/>
    <col min="15151" max="15368" width="8.85546875" style="20" customWidth="1"/>
    <col min="15369" max="15369" width="9" style="20" bestFit="1" customWidth="1"/>
    <col min="15370" max="15370" width="10" style="20" bestFit="1" customWidth="1"/>
    <col min="15371" max="15371" width="10.85546875" style="20" bestFit="1" customWidth="1"/>
    <col min="15372" max="15372" width="7.85546875" style="20" bestFit="1" customWidth="1"/>
    <col min="15373" max="15373" width="5.140625" style="20" bestFit="1" customWidth="1"/>
    <col min="15374" max="15374" width="4" style="20" bestFit="1" customWidth="1"/>
    <col min="15375" max="15375" width="9.42578125" style="20" bestFit="1" customWidth="1"/>
    <col min="15376" max="15376" width="11.85546875" style="20" bestFit="1" customWidth="1"/>
    <col min="15377" max="15377" width="31.140625" style="20" bestFit="1" customWidth="1"/>
    <col min="15378" max="15378" width="7" style="20" bestFit="1" customWidth="1"/>
    <col min="15379" max="15379" width="13" style="20" bestFit="1" customWidth="1"/>
    <col min="15380" max="15380" width="10" style="20" bestFit="1" customWidth="1"/>
    <col min="15381" max="15381" width="10.140625" style="20" bestFit="1" customWidth="1"/>
    <col min="15382" max="15382" width="17.85546875" style="20" bestFit="1" customWidth="1"/>
    <col min="15383" max="15383" width="10.140625" style="20" bestFit="1" customWidth="1"/>
    <col min="15384" max="15384" width="4.85546875" style="20" bestFit="1" customWidth="1"/>
    <col min="15385" max="15385" width="14" style="20" bestFit="1" customWidth="1"/>
    <col min="15386" max="15386" width="8.5703125" style="20" bestFit="1" customWidth="1"/>
    <col min="15387" max="15387" width="13.140625" style="20" bestFit="1" customWidth="1"/>
    <col min="15388" max="15388" width="42.140625" style="20" bestFit="1" customWidth="1"/>
    <col min="15389" max="15389" width="28.5703125" style="20" bestFit="1" customWidth="1"/>
    <col min="15390" max="15390" width="8.42578125" style="20" bestFit="1" customWidth="1"/>
    <col min="15391" max="15391" width="13" style="20" bestFit="1" customWidth="1"/>
    <col min="15392" max="15392" width="14.85546875" style="20" bestFit="1" customWidth="1"/>
    <col min="15393" max="15393" width="5.5703125" style="20" bestFit="1" customWidth="1"/>
    <col min="15394" max="15394" width="6" style="20" bestFit="1" customWidth="1"/>
    <col min="15395" max="15395" width="12.42578125" style="20" bestFit="1" customWidth="1"/>
    <col min="15396" max="15396" width="12.85546875" style="20" bestFit="1" customWidth="1"/>
    <col min="15397" max="15397" width="9.140625" style="20" bestFit="1" customWidth="1"/>
    <col min="15398" max="15398" width="6.85546875" style="20" bestFit="1" customWidth="1"/>
    <col min="15399" max="15399" width="8.140625" style="20" bestFit="1" customWidth="1"/>
    <col min="15400" max="15400" width="14.140625" style="20" bestFit="1" customWidth="1"/>
    <col min="15401" max="15402" width="4.85546875" style="20" bestFit="1" customWidth="1"/>
    <col min="15403" max="15403" width="10.85546875" style="20" bestFit="1" customWidth="1"/>
    <col min="15404" max="15404" width="17.85546875" style="20" bestFit="1" customWidth="1"/>
    <col min="15405" max="15405" width="148.140625" style="20" bestFit="1" customWidth="1"/>
    <col min="15406" max="15406" width="9.85546875" style="20" bestFit="1" customWidth="1"/>
    <col min="15407" max="15624" width="8.85546875" style="20" customWidth="1"/>
    <col min="15625" max="15625" width="9" style="20" bestFit="1" customWidth="1"/>
    <col min="15626" max="15626" width="10" style="20" bestFit="1" customWidth="1"/>
    <col min="15627" max="15627" width="10.85546875" style="20" bestFit="1" customWidth="1"/>
    <col min="15628" max="15628" width="7.85546875" style="20" bestFit="1" customWidth="1"/>
    <col min="15629" max="15629" width="5.140625" style="20" bestFit="1" customWidth="1"/>
    <col min="15630" max="15630" width="4" style="20" bestFit="1" customWidth="1"/>
    <col min="15631" max="15631" width="9.42578125" style="20" bestFit="1" customWidth="1"/>
    <col min="15632" max="15632" width="11.85546875" style="20" bestFit="1" customWidth="1"/>
    <col min="15633" max="15633" width="31.140625" style="20" bestFit="1" customWidth="1"/>
    <col min="15634" max="15634" width="7" style="20" bestFit="1" customWidth="1"/>
    <col min="15635" max="15635" width="13" style="20" bestFit="1" customWidth="1"/>
    <col min="15636" max="15636" width="10" style="20" bestFit="1" customWidth="1"/>
    <col min="15637" max="15637" width="10.140625" style="20" bestFit="1" customWidth="1"/>
    <col min="15638" max="15638" width="17.85546875" style="20" bestFit="1" customWidth="1"/>
    <col min="15639" max="15639" width="10.140625" style="20" bestFit="1" customWidth="1"/>
    <col min="15640" max="15640" width="4.85546875" style="20" bestFit="1" customWidth="1"/>
    <col min="15641" max="15641" width="14" style="20" bestFit="1" customWidth="1"/>
    <col min="15642" max="15642" width="8.5703125" style="20" bestFit="1" customWidth="1"/>
    <col min="15643" max="15643" width="13.140625" style="20" bestFit="1" customWidth="1"/>
    <col min="15644" max="15644" width="42.140625" style="20" bestFit="1" customWidth="1"/>
    <col min="15645" max="15645" width="28.5703125" style="20" bestFit="1" customWidth="1"/>
    <col min="15646" max="15646" width="8.42578125" style="20" bestFit="1" customWidth="1"/>
    <col min="15647" max="15647" width="13" style="20" bestFit="1" customWidth="1"/>
    <col min="15648" max="15648" width="14.85546875" style="20" bestFit="1" customWidth="1"/>
    <col min="15649" max="15649" width="5.5703125" style="20" bestFit="1" customWidth="1"/>
    <col min="15650" max="15650" width="6" style="20" bestFit="1" customWidth="1"/>
    <col min="15651" max="15651" width="12.42578125" style="20" bestFit="1" customWidth="1"/>
    <col min="15652" max="15652" width="12.85546875" style="20" bestFit="1" customWidth="1"/>
    <col min="15653" max="15653" width="9.140625" style="20" bestFit="1" customWidth="1"/>
    <col min="15654" max="15654" width="6.85546875" style="20" bestFit="1" customWidth="1"/>
    <col min="15655" max="15655" width="8.140625" style="20" bestFit="1" customWidth="1"/>
    <col min="15656" max="15656" width="14.140625" style="20" bestFit="1" customWidth="1"/>
    <col min="15657" max="15658" width="4.85546875" style="20" bestFit="1" customWidth="1"/>
    <col min="15659" max="15659" width="10.85546875" style="20" bestFit="1" customWidth="1"/>
    <col min="15660" max="15660" width="17.85546875" style="20" bestFit="1" customWidth="1"/>
    <col min="15661" max="15661" width="148.140625" style="20" bestFit="1" customWidth="1"/>
    <col min="15662" max="15662" width="9.85546875" style="20" bestFit="1" customWidth="1"/>
    <col min="15663" max="15880" width="8.85546875" style="20" customWidth="1"/>
    <col min="15881" max="15881" width="9" style="20" bestFit="1" customWidth="1"/>
    <col min="15882" max="15882" width="10" style="20" bestFit="1" customWidth="1"/>
    <col min="15883" max="15883" width="10.85546875" style="20" bestFit="1" customWidth="1"/>
    <col min="15884" max="15884" width="7.85546875" style="20" bestFit="1" customWidth="1"/>
    <col min="15885" max="15885" width="5.140625" style="20" bestFit="1" customWidth="1"/>
    <col min="15886" max="15886" width="4" style="20" bestFit="1" customWidth="1"/>
    <col min="15887" max="15887" width="9.42578125" style="20" bestFit="1" customWidth="1"/>
    <col min="15888" max="15888" width="11.85546875" style="20" bestFit="1" customWidth="1"/>
    <col min="15889" max="15889" width="31.140625" style="20" bestFit="1" customWidth="1"/>
    <col min="15890" max="15890" width="7" style="20" bestFit="1" customWidth="1"/>
    <col min="15891" max="15891" width="13" style="20" bestFit="1" customWidth="1"/>
    <col min="15892" max="15892" width="10" style="20" bestFit="1" customWidth="1"/>
    <col min="15893" max="15893" width="10.140625" style="20" bestFit="1" customWidth="1"/>
    <col min="15894" max="15894" width="17.85546875" style="20" bestFit="1" customWidth="1"/>
    <col min="15895" max="15895" width="10.140625" style="20" bestFit="1" customWidth="1"/>
    <col min="15896" max="15896" width="4.85546875" style="20" bestFit="1" customWidth="1"/>
    <col min="15897" max="15897" width="14" style="20" bestFit="1" customWidth="1"/>
    <col min="15898" max="15898" width="8.5703125" style="20" bestFit="1" customWidth="1"/>
    <col min="15899" max="15899" width="13.140625" style="20" bestFit="1" customWidth="1"/>
    <col min="15900" max="15900" width="42.140625" style="20" bestFit="1" customWidth="1"/>
    <col min="15901" max="15901" width="28.5703125" style="20" bestFit="1" customWidth="1"/>
    <col min="15902" max="15902" width="8.42578125" style="20" bestFit="1" customWidth="1"/>
    <col min="15903" max="15903" width="13" style="20" bestFit="1" customWidth="1"/>
    <col min="15904" max="15904" width="14.85546875" style="20" bestFit="1" customWidth="1"/>
    <col min="15905" max="15905" width="5.5703125" style="20" bestFit="1" customWidth="1"/>
    <col min="15906" max="15906" width="6" style="20" bestFit="1" customWidth="1"/>
    <col min="15907" max="15907" width="12.42578125" style="20" bestFit="1" customWidth="1"/>
    <col min="15908" max="15908" width="12.85546875" style="20" bestFit="1" customWidth="1"/>
    <col min="15909" max="15909" width="9.140625" style="20" bestFit="1" customWidth="1"/>
    <col min="15910" max="15910" width="6.85546875" style="20" bestFit="1" customWidth="1"/>
    <col min="15911" max="15911" width="8.140625" style="20" bestFit="1" customWidth="1"/>
    <col min="15912" max="15912" width="14.140625" style="20" bestFit="1" customWidth="1"/>
    <col min="15913" max="15914" width="4.85546875" style="20" bestFit="1" customWidth="1"/>
    <col min="15915" max="15915" width="10.85546875" style="20" bestFit="1" customWidth="1"/>
    <col min="15916" max="15916" width="17.85546875" style="20" bestFit="1" customWidth="1"/>
    <col min="15917" max="15917" width="148.140625" style="20" bestFit="1" customWidth="1"/>
    <col min="15918" max="15918" width="9.85546875" style="20" bestFit="1" customWidth="1"/>
    <col min="15919" max="16136" width="8.85546875" style="20" customWidth="1"/>
    <col min="16137" max="16137" width="9" style="20" bestFit="1" customWidth="1"/>
    <col min="16138" max="16138" width="10" style="20" bestFit="1" customWidth="1"/>
    <col min="16139" max="16139" width="10.85546875" style="20" bestFit="1" customWidth="1"/>
    <col min="16140" max="16140" width="7.85546875" style="20" bestFit="1" customWidth="1"/>
    <col min="16141" max="16141" width="5.140625" style="20" bestFit="1" customWidth="1"/>
    <col min="16142" max="16142" width="4" style="20" bestFit="1" customWidth="1"/>
    <col min="16143" max="16143" width="9.42578125" style="20" bestFit="1" customWidth="1"/>
    <col min="16144" max="16144" width="11.85546875" style="20" bestFit="1" customWidth="1"/>
    <col min="16145" max="16145" width="31.140625" style="20" bestFit="1" customWidth="1"/>
    <col min="16146" max="16146" width="7" style="20" bestFit="1" customWidth="1"/>
    <col min="16147" max="16147" width="13" style="20" bestFit="1" customWidth="1"/>
    <col min="16148" max="16148" width="10" style="20" bestFit="1" customWidth="1"/>
    <col min="16149" max="16149" width="10.140625" style="20" bestFit="1" customWidth="1"/>
    <col min="16150" max="16150" width="17.85546875" style="20" bestFit="1" customWidth="1"/>
    <col min="16151" max="16151" width="10.140625" style="20" bestFit="1" customWidth="1"/>
    <col min="16152" max="16152" width="4.85546875" style="20" bestFit="1" customWidth="1"/>
    <col min="16153" max="16153" width="14" style="20" bestFit="1" customWidth="1"/>
    <col min="16154" max="16154" width="8.5703125" style="20" bestFit="1" customWidth="1"/>
    <col min="16155" max="16155" width="13.140625" style="20" bestFit="1" customWidth="1"/>
    <col min="16156" max="16156" width="42.140625" style="20" bestFit="1" customWidth="1"/>
    <col min="16157" max="16157" width="28.5703125" style="20" bestFit="1" customWidth="1"/>
    <col min="16158" max="16158" width="8.42578125" style="20" bestFit="1" customWidth="1"/>
    <col min="16159" max="16159" width="13" style="20" bestFit="1" customWidth="1"/>
    <col min="16160" max="16160" width="14.85546875" style="20" bestFit="1" customWidth="1"/>
    <col min="16161" max="16161" width="5.5703125" style="20" bestFit="1" customWidth="1"/>
    <col min="16162" max="16162" width="6" style="20" bestFit="1" customWidth="1"/>
    <col min="16163" max="16163" width="12.42578125" style="20" bestFit="1" customWidth="1"/>
    <col min="16164" max="16164" width="12.85546875" style="20" bestFit="1" customWidth="1"/>
    <col min="16165" max="16165" width="9.140625" style="20" bestFit="1" customWidth="1"/>
    <col min="16166" max="16166" width="6.85546875" style="20" bestFit="1" customWidth="1"/>
    <col min="16167" max="16167" width="8.140625" style="20" bestFit="1" customWidth="1"/>
    <col min="16168" max="16168" width="14.140625" style="20" bestFit="1" customWidth="1"/>
    <col min="16169" max="16170" width="4.85546875" style="20" bestFit="1" customWidth="1"/>
    <col min="16171" max="16171" width="10.85546875" style="20" bestFit="1" customWidth="1"/>
    <col min="16172" max="16172" width="17.85546875" style="20" bestFit="1" customWidth="1"/>
    <col min="16173" max="16173" width="148.140625" style="20" bestFit="1" customWidth="1"/>
    <col min="16174" max="16174" width="9.85546875" style="20" bestFit="1" customWidth="1"/>
    <col min="16175" max="16384" width="8.85546875" style="20" customWidth="1"/>
  </cols>
  <sheetData>
    <row r="1" spans="1:47" ht="13.7" customHeight="1" x14ac:dyDescent="0.25">
      <c r="A1" s="15" t="s">
        <v>9</v>
      </c>
      <c r="B1" s="15" t="s">
        <v>125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24" t="s">
        <v>124</v>
      </c>
      <c r="J1" s="16" t="s">
        <v>16</v>
      </c>
      <c r="K1" s="16" t="s">
        <v>17</v>
      </c>
      <c r="L1" s="17" t="s">
        <v>18</v>
      </c>
      <c r="M1" s="17" t="s">
        <v>19</v>
      </c>
      <c r="N1" s="16" t="s">
        <v>20</v>
      </c>
      <c r="O1" s="16" t="s">
        <v>21</v>
      </c>
      <c r="P1" s="17" t="s">
        <v>22</v>
      </c>
      <c r="Q1" s="16" t="s">
        <v>23</v>
      </c>
      <c r="R1" s="17" t="s">
        <v>24</v>
      </c>
      <c r="S1" s="16" t="s">
        <v>25</v>
      </c>
      <c r="T1" s="17" t="s">
        <v>26</v>
      </c>
      <c r="U1" s="17" t="s">
        <v>27</v>
      </c>
      <c r="V1" s="18" t="s">
        <v>28</v>
      </c>
      <c r="W1" s="19" t="s">
        <v>12</v>
      </c>
      <c r="X1" s="18" t="s">
        <v>29</v>
      </c>
      <c r="Y1" s="17" t="s">
        <v>30</v>
      </c>
      <c r="Z1" s="17" t="s">
        <v>31</v>
      </c>
      <c r="AA1" s="17" t="s">
        <v>32</v>
      </c>
      <c r="AB1" s="17" t="s">
        <v>33</v>
      </c>
      <c r="AC1" s="17" t="s">
        <v>34</v>
      </c>
      <c r="AD1" s="17" t="s">
        <v>35</v>
      </c>
      <c r="AE1" s="17" t="s">
        <v>36</v>
      </c>
      <c r="AF1" s="17" t="s">
        <v>37</v>
      </c>
      <c r="AG1" s="17" t="s">
        <v>38</v>
      </c>
      <c r="AH1" s="16" t="s">
        <v>39</v>
      </c>
      <c r="AI1" s="16" t="s">
        <v>40</v>
      </c>
      <c r="AJ1" s="16" t="s">
        <v>41</v>
      </c>
      <c r="AK1" s="16" t="s">
        <v>42</v>
      </c>
      <c r="AL1" s="17" t="s">
        <v>43</v>
      </c>
      <c r="AM1" s="16" t="s">
        <v>44</v>
      </c>
      <c r="AN1" s="16" t="s">
        <v>45</v>
      </c>
      <c r="AO1" s="17" t="s">
        <v>46</v>
      </c>
      <c r="AP1" s="16" t="s">
        <v>47</v>
      </c>
      <c r="AQ1" s="16" t="s">
        <v>48</v>
      </c>
      <c r="AR1" s="16" t="s">
        <v>49</v>
      </c>
      <c r="AS1" s="17" t="s">
        <v>50</v>
      </c>
      <c r="AT1" s="17" t="s">
        <v>51</v>
      </c>
      <c r="AU1" s="17" t="s">
        <v>52</v>
      </c>
    </row>
    <row r="2" spans="1:47" x14ac:dyDescent="0.25">
      <c r="A2" s="7">
        <f>+CONCATENATE(DAY(V2),"/",MONTH(V2),"/",YEAR(V2),"")*1</f>
        <v>46146</v>
      </c>
      <c r="B2" s="23">
        <f>+Z2*1</f>
        <v>3543319994</v>
      </c>
      <c r="C2" s="21" t="str">
        <f>+AA2</f>
        <v>ENTRANTE</v>
      </c>
      <c r="D2" s="3" t="str">
        <f>VLOOKUP(Q2,Code!E:F,2,0)</f>
        <v>Admisiones</v>
      </c>
      <c r="E2" s="3" t="s">
        <v>55</v>
      </c>
      <c r="F2" s="3">
        <f>+AP2</f>
        <v>37</v>
      </c>
      <c r="G2" s="3">
        <f>+S2</f>
        <v>26</v>
      </c>
      <c r="H2" s="22">
        <f>+HOUR(V2)</f>
        <v>9</v>
      </c>
      <c r="I2" s="22">
        <f>IFERROR(VLOOKUP(B2,MATRICULAS!A:B,2,0),0)*1</f>
        <v>0</v>
      </c>
      <c r="J2" s="27">
        <v>20260504</v>
      </c>
      <c r="K2" s="27">
        <v>149043905</v>
      </c>
      <c r="L2" s="27" t="s">
        <v>134</v>
      </c>
      <c r="M2" s="27" t="s">
        <v>56</v>
      </c>
      <c r="N2" s="27">
        <v>0</v>
      </c>
      <c r="O2" s="27">
        <v>0</v>
      </c>
      <c r="P2" s="27" t="s">
        <v>57</v>
      </c>
      <c r="Q2" s="27">
        <v>150</v>
      </c>
      <c r="R2" s="27" t="s">
        <v>145</v>
      </c>
      <c r="S2" s="27">
        <v>26</v>
      </c>
      <c r="T2" s="27" t="s">
        <v>58</v>
      </c>
      <c r="U2" s="27" t="s">
        <v>59</v>
      </c>
      <c r="V2" s="30">
        <v>46146.381562499999</v>
      </c>
      <c r="W2" s="30">
        <v>46146.381562499999</v>
      </c>
      <c r="X2" s="30">
        <v>46146.383668981478</v>
      </c>
      <c r="Y2" s="27" t="s">
        <v>117</v>
      </c>
      <c r="Z2" s="27" t="s">
        <v>405</v>
      </c>
      <c r="AA2" s="27" t="s">
        <v>53</v>
      </c>
      <c r="AB2" s="27" t="s">
        <v>60</v>
      </c>
      <c r="AC2" s="27" t="s">
        <v>406</v>
      </c>
      <c r="AD2" s="27" t="s">
        <v>118</v>
      </c>
      <c r="AE2" s="27" t="s">
        <v>70</v>
      </c>
      <c r="AF2" s="27" t="s">
        <v>130</v>
      </c>
      <c r="AG2" s="27" t="s">
        <v>407</v>
      </c>
      <c r="AH2" s="27">
        <v>0</v>
      </c>
      <c r="AI2" s="27">
        <v>0</v>
      </c>
      <c r="AJ2" s="27">
        <v>0</v>
      </c>
      <c r="AK2" s="27">
        <v>0</v>
      </c>
      <c r="AL2" s="27" t="s">
        <v>64</v>
      </c>
      <c r="AM2" s="27">
        <v>3</v>
      </c>
      <c r="AN2" s="27">
        <v>182</v>
      </c>
      <c r="AO2" s="27" t="s">
        <v>65</v>
      </c>
      <c r="AP2" s="27">
        <v>37</v>
      </c>
      <c r="AQ2" s="27">
        <v>1</v>
      </c>
      <c r="AR2" s="27">
        <v>2486505</v>
      </c>
      <c r="AS2" s="27" t="s">
        <v>118</v>
      </c>
      <c r="AT2" s="27" t="s">
        <v>408</v>
      </c>
      <c r="AU2" s="31" t="s">
        <v>118</v>
      </c>
    </row>
    <row r="3" spans="1:47" x14ac:dyDescent="0.25">
      <c r="A3" s="7">
        <f>+CONCATENATE(DAY(V3),"/",MONTH(V3),"/",YEAR(V3),"")*1</f>
        <v>46146</v>
      </c>
      <c r="B3" s="23">
        <f>+Z3*1</f>
        <v>2994621296</v>
      </c>
      <c r="C3" s="21" t="str">
        <f>+AA3</f>
        <v>ENTRANTE</v>
      </c>
      <c r="D3" s="3" t="str">
        <f>VLOOKUP(Q3,Code!E:F,2,0)</f>
        <v>Admisiones</v>
      </c>
      <c r="E3" s="3" t="s">
        <v>55</v>
      </c>
      <c r="F3" s="3">
        <f>+AP3</f>
        <v>37</v>
      </c>
      <c r="G3" s="3">
        <f>+S3</f>
        <v>26</v>
      </c>
      <c r="H3" s="22">
        <f>+HOUR(V3)</f>
        <v>9</v>
      </c>
      <c r="I3" s="22">
        <f>IFERROR(VLOOKUP(B3,MATRICULAS!A:B,2,0),0)*1</f>
        <v>0</v>
      </c>
      <c r="J3" s="26">
        <v>20260504</v>
      </c>
      <c r="K3" s="26">
        <v>149044343</v>
      </c>
      <c r="L3" s="26" t="s">
        <v>134</v>
      </c>
      <c r="M3" s="26" t="s">
        <v>56</v>
      </c>
      <c r="N3" s="26">
        <v>0</v>
      </c>
      <c r="O3" s="26">
        <v>0</v>
      </c>
      <c r="P3" s="26" t="s">
        <v>57</v>
      </c>
      <c r="Q3" s="26">
        <v>150</v>
      </c>
      <c r="R3" s="26" t="s">
        <v>145</v>
      </c>
      <c r="S3" s="26">
        <v>26</v>
      </c>
      <c r="T3" s="26" t="s">
        <v>58</v>
      </c>
      <c r="U3" s="26" t="s">
        <v>59</v>
      </c>
      <c r="V3" s="28">
        <v>46146.396921296298</v>
      </c>
      <c r="W3" s="28">
        <v>46146.396921296298</v>
      </c>
      <c r="X3" s="28">
        <v>46146.411539351851</v>
      </c>
      <c r="Y3" s="26" t="s">
        <v>117</v>
      </c>
      <c r="Z3" s="26" t="s">
        <v>1151</v>
      </c>
      <c r="AA3" s="26" t="s">
        <v>53</v>
      </c>
      <c r="AB3" s="26" t="s">
        <v>60</v>
      </c>
      <c r="AC3" s="26" t="s">
        <v>1152</v>
      </c>
      <c r="AD3" s="26" t="s">
        <v>118</v>
      </c>
      <c r="AE3" s="26" t="s">
        <v>61</v>
      </c>
      <c r="AF3" s="26" t="s">
        <v>62</v>
      </c>
      <c r="AG3" s="26" t="s">
        <v>63</v>
      </c>
      <c r="AH3" s="26">
        <v>0</v>
      </c>
      <c r="AI3" s="26">
        <v>0</v>
      </c>
      <c r="AJ3" s="26">
        <v>0</v>
      </c>
      <c r="AK3" s="26">
        <v>0</v>
      </c>
      <c r="AL3" s="26" t="s">
        <v>64</v>
      </c>
      <c r="AM3" s="26">
        <v>3</v>
      </c>
      <c r="AN3" s="26">
        <v>1264</v>
      </c>
      <c r="AO3" s="26" t="s">
        <v>65</v>
      </c>
      <c r="AP3" s="26">
        <v>37</v>
      </c>
      <c r="AQ3" s="26">
        <v>198</v>
      </c>
      <c r="AR3" s="26">
        <v>2466160</v>
      </c>
      <c r="AS3" s="26" t="s">
        <v>118</v>
      </c>
      <c r="AT3" s="26" t="s">
        <v>1153</v>
      </c>
      <c r="AU3" s="29" t="s">
        <v>118</v>
      </c>
    </row>
    <row r="4" spans="1:47" x14ac:dyDescent="0.25">
      <c r="A4" s="7">
        <f>+CONCATENATE(DAY(V4),"/",MONTH(V4),"/",YEAR(V4),"")*1</f>
        <v>46146</v>
      </c>
      <c r="B4" s="23">
        <f>+Z4*1</f>
        <v>3876349552</v>
      </c>
      <c r="C4" s="21" t="str">
        <f>+AA4</f>
        <v>ENTRANTE</v>
      </c>
      <c r="D4" s="3" t="str">
        <f>VLOOKUP(Q4,Code!E:F,2,0)</f>
        <v>Admisiones</v>
      </c>
      <c r="E4" s="3" t="s">
        <v>55</v>
      </c>
      <c r="F4" s="3">
        <f>+AP4</f>
        <v>37</v>
      </c>
      <c r="G4" s="3">
        <f>+S4</f>
        <v>27</v>
      </c>
      <c r="H4" s="22">
        <f>+HOUR(V4)</f>
        <v>19</v>
      </c>
      <c r="I4" s="22">
        <f>IFERROR(VLOOKUP(B4,MATRICULAS!A:B,2,0),0)*1</f>
        <v>0</v>
      </c>
      <c r="J4" s="26">
        <v>20260504</v>
      </c>
      <c r="K4" s="26">
        <v>149059248</v>
      </c>
      <c r="L4" s="26" t="s">
        <v>134</v>
      </c>
      <c r="M4" s="26" t="s">
        <v>56</v>
      </c>
      <c r="N4" s="26">
        <v>0</v>
      </c>
      <c r="O4" s="26">
        <v>0</v>
      </c>
      <c r="P4" s="26" t="s">
        <v>57</v>
      </c>
      <c r="Q4" s="26">
        <v>150</v>
      </c>
      <c r="R4" s="26" t="s">
        <v>174</v>
      </c>
      <c r="S4" s="26">
        <v>27</v>
      </c>
      <c r="T4" s="26" t="s">
        <v>58</v>
      </c>
      <c r="U4" s="26" t="s">
        <v>59</v>
      </c>
      <c r="V4" s="28">
        <v>46146.826770833337</v>
      </c>
      <c r="W4" s="28">
        <v>46146.826770833337</v>
      </c>
      <c r="X4" s="28">
        <v>46146.836145833331</v>
      </c>
      <c r="Y4" s="26" t="s">
        <v>117</v>
      </c>
      <c r="Z4" s="26" t="s">
        <v>1399</v>
      </c>
      <c r="AA4" s="26" t="s">
        <v>53</v>
      </c>
      <c r="AB4" s="26" t="s">
        <v>60</v>
      </c>
      <c r="AC4" s="26" t="s">
        <v>1400</v>
      </c>
      <c r="AD4" s="26" t="s">
        <v>118</v>
      </c>
      <c r="AE4" s="26" t="s">
        <v>70</v>
      </c>
      <c r="AF4" s="26" t="s">
        <v>132</v>
      </c>
      <c r="AG4" s="26" t="s">
        <v>1401</v>
      </c>
      <c r="AH4" s="26">
        <v>0</v>
      </c>
      <c r="AI4" s="26">
        <v>0</v>
      </c>
      <c r="AJ4" s="26">
        <v>0</v>
      </c>
      <c r="AK4" s="26">
        <v>0</v>
      </c>
      <c r="AL4" s="26" t="s">
        <v>64</v>
      </c>
      <c r="AM4" s="26">
        <v>3</v>
      </c>
      <c r="AN4" s="26">
        <v>810</v>
      </c>
      <c r="AO4" s="26" t="s">
        <v>65</v>
      </c>
      <c r="AP4" s="26">
        <v>37</v>
      </c>
      <c r="AQ4" s="26">
        <v>116</v>
      </c>
      <c r="AR4" s="26">
        <v>1425078</v>
      </c>
      <c r="AS4" s="26" t="s">
        <v>118</v>
      </c>
      <c r="AT4" s="26" t="s">
        <v>1402</v>
      </c>
      <c r="AU4" s="29" t="s">
        <v>118</v>
      </c>
    </row>
    <row r="5" spans="1:47" x14ac:dyDescent="0.25">
      <c r="A5" s="7">
        <f>+CONCATENATE(DAY(V5),"/",MONTH(V5),"/",YEAR(V5),"")*1</f>
        <v>46146</v>
      </c>
      <c r="B5" s="23">
        <f>+Z5*1</f>
        <v>1157740540</v>
      </c>
      <c r="C5" s="21" t="str">
        <f>+AA5</f>
        <v>ENTRANTE</v>
      </c>
      <c r="D5" s="3" t="str">
        <f>VLOOKUP(Q5,Code!E:F,2,0)</f>
        <v>Admisiones</v>
      </c>
      <c r="E5" s="3" t="s">
        <v>55</v>
      </c>
      <c r="F5" s="3">
        <f>+AP5</f>
        <v>37</v>
      </c>
      <c r="G5" s="3">
        <f>+S5</f>
        <v>27</v>
      </c>
      <c r="H5" s="22">
        <f>+HOUR(V5)</f>
        <v>19</v>
      </c>
      <c r="I5" s="22">
        <f>IFERROR(VLOOKUP(B5,MATRICULAS!A:B,2,0),0)*1</f>
        <v>0</v>
      </c>
      <c r="J5" s="27">
        <v>20260504</v>
      </c>
      <c r="K5" s="27">
        <v>149058778</v>
      </c>
      <c r="L5" s="27" t="s">
        <v>134</v>
      </c>
      <c r="M5" s="27" t="s">
        <v>56</v>
      </c>
      <c r="N5" s="27">
        <v>0</v>
      </c>
      <c r="O5" s="27">
        <v>0</v>
      </c>
      <c r="P5" s="27" t="s">
        <v>57</v>
      </c>
      <c r="Q5" s="27">
        <v>150</v>
      </c>
      <c r="R5" s="27" t="s">
        <v>174</v>
      </c>
      <c r="S5" s="27">
        <v>27</v>
      </c>
      <c r="T5" s="27" t="s">
        <v>58</v>
      </c>
      <c r="U5" s="27" t="s">
        <v>59</v>
      </c>
      <c r="V5" s="30">
        <v>46146.814050925925</v>
      </c>
      <c r="W5" s="30">
        <v>46146.814050925925</v>
      </c>
      <c r="X5" s="30">
        <v>46146.817569444444</v>
      </c>
      <c r="Y5" s="27" t="s">
        <v>117</v>
      </c>
      <c r="Z5" s="27" t="s">
        <v>1403</v>
      </c>
      <c r="AA5" s="27" t="s">
        <v>53</v>
      </c>
      <c r="AB5" s="27" t="s">
        <v>60</v>
      </c>
      <c r="AC5" s="27" t="s">
        <v>1404</v>
      </c>
      <c r="AD5" s="27" t="s">
        <v>118</v>
      </c>
      <c r="AE5" s="27" t="s">
        <v>61</v>
      </c>
      <c r="AF5" s="27" t="s">
        <v>62</v>
      </c>
      <c r="AG5" s="27" t="s">
        <v>63</v>
      </c>
      <c r="AH5" s="27">
        <v>0</v>
      </c>
      <c r="AI5" s="27">
        <v>0</v>
      </c>
      <c r="AJ5" s="27">
        <v>0</v>
      </c>
      <c r="AK5" s="27">
        <v>0</v>
      </c>
      <c r="AL5" s="27" t="s">
        <v>64</v>
      </c>
      <c r="AM5" s="27">
        <v>3</v>
      </c>
      <c r="AN5" s="27">
        <v>304</v>
      </c>
      <c r="AO5" s="27" t="s">
        <v>65</v>
      </c>
      <c r="AP5" s="27">
        <v>37</v>
      </c>
      <c r="AQ5" s="27">
        <v>202</v>
      </c>
      <c r="AR5" s="27">
        <v>2487388</v>
      </c>
      <c r="AS5" s="27" t="s">
        <v>118</v>
      </c>
      <c r="AT5" s="27" t="s">
        <v>1405</v>
      </c>
      <c r="AU5" s="31" t="s">
        <v>118</v>
      </c>
    </row>
    <row r="6" spans="1:47" x14ac:dyDescent="0.25">
      <c r="A6" s="7">
        <f>+CONCATENATE(DAY(V6),"/",MONTH(V6),"/",YEAR(V6),"")*1</f>
        <v>46146</v>
      </c>
      <c r="B6" s="23">
        <f>+Z6*1</f>
        <v>1151394081</v>
      </c>
      <c r="C6" s="21" t="str">
        <f>+AA6</f>
        <v>ENTRANTE</v>
      </c>
      <c r="D6" s="3" t="str">
        <f>VLOOKUP(Q6,Code!E:F,2,0)</f>
        <v>Admisiones</v>
      </c>
      <c r="E6" s="3" t="s">
        <v>55</v>
      </c>
      <c r="F6" s="3">
        <f>+AP6</f>
        <v>37</v>
      </c>
      <c r="G6" s="3">
        <f>+S6</f>
        <v>27</v>
      </c>
      <c r="H6" s="22">
        <f>+HOUR(V6)</f>
        <v>18</v>
      </c>
      <c r="I6" s="22">
        <f>IFERROR(VLOOKUP(B6,MATRICULAS!A:B,2,0),0)*1</f>
        <v>1</v>
      </c>
      <c r="J6" s="26">
        <v>20260504</v>
      </c>
      <c r="K6" s="26">
        <v>149056627</v>
      </c>
      <c r="L6" s="26" t="s">
        <v>134</v>
      </c>
      <c r="M6" s="26" t="s">
        <v>56</v>
      </c>
      <c r="N6" s="26">
        <v>0</v>
      </c>
      <c r="O6" s="26">
        <v>0</v>
      </c>
      <c r="P6" s="26" t="s">
        <v>57</v>
      </c>
      <c r="Q6" s="26">
        <v>150</v>
      </c>
      <c r="R6" s="26" t="s">
        <v>174</v>
      </c>
      <c r="S6" s="26">
        <v>27</v>
      </c>
      <c r="T6" s="26" t="s">
        <v>58</v>
      </c>
      <c r="U6" s="26" t="s">
        <v>59</v>
      </c>
      <c r="V6" s="28">
        <v>46146.755590277775</v>
      </c>
      <c r="W6" s="28">
        <v>46146.755590277775</v>
      </c>
      <c r="X6" s="28">
        <v>46146.757824074077</v>
      </c>
      <c r="Y6" s="26" t="s">
        <v>117</v>
      </c>
      <c r="Z6" s="26" t="s">
        <v>204</v>
      </c>
      <c r="AA6" s="26" t="s">
        <v>53</v>
      </c>
      <c r="AB6" s="26" t="s">
        <v>60</v>
      </c>
      <c r="AC6" s="26" t="s">
        <v>1406</v>
      </c>
      <c r="AD6" s="26" t="s">
        <v>118</v>
      </c>
      <c r="AE6" s="26" t="s">
        <v>61</v>
      </c>
      <c r="AF6" s="26" t="s">
        <v>62</v>
      </c>
      <c r="AG6" s="26" t="s">
        <v>63</v>
      </c>
      <c r="AH6" s="26">
        <v>0</v>
      </c>
      <c r="AI6" s="26">
        <v>0</v>
      </c>
      <c r="AJ6" s="26">
        <v>0</v>
      </c>
      <c r="AK6" s="26">
        <v>0</v>
      </c>
      <c r="AL6" s="26" t="s">
        <v>64</v>
      </c>
      <c r="AM6" s="26">
        <v>3</v>
      </c>
      <c r="AN6" s="26">
        <v>194</v>
      </c>
      <c r="AO6" s="26" t="s">
        <v>65</v>
      </c>
      <c r="AP6" s="26">
        <v>37</v>
      </c>
      <c r="AQ6" s="26">
        <v>201</v>
      </c>
      <c r="AR6" s="26">
        <v>2487280</v>
      </c>
      <c r="AS6" s="26" t="s">
        <v>118</v>
      </c>
      <c r="AT6" s="26" t="s">
        <v>1407</v>
      </c>
      <c r="AU6" s="29" t="s">
        <v>118</v>
      </c>
    </row>
    <row r="7" spans="1:47" x14ac:dyDescent="0.25">
      <c r="A7" s="7">
        <f>+CONCATENATE(DAY(V7),"/",MONTH(V7),"/",YEAR(V7),"")*1</f>
        <v>46146</v>
      </c>
      <c r="B7" s="23">
        <f>+Z7*1</f>
        <v>3585611503</v>
      </c>
      <c r="C7" s="21" t="str">
        <f>+AA7</f>
        <v>ENTRANTE</v>
      </c>
      <c r="D7" s="3" t="str">
        <f>VLOOKUP(Q7,Code!E:F,2,0)</f>
        <v>Admisiones</v>
      </c>
      <c r="E7" s="3" t="s">
        <v>55</v>
      </c>
      <c r="F7" s="3">
        <f>+AP7</f>
        <v>37</v>
      </c>
      <c r="G7" s="3">
        <f>+S7</f>
        <v>27</v>
      </c>
      <c r="H7" s="22">
        <f>+HOUR(V7)</f>
        <v>18</v>
      </c>
      <c r="I7" s="22">
        <f>IFERROR(VLOOKUP(B7,MATRICULAS!A:B,2,0),0)*1</f>
        <v>0</v>
      </c>
      <c r="J7" s="27">
        <v>20260504</v>
      </c>
      <c r="K7" s="27">
        <v>149056539</v>
      </c>
      <c r="L7" s="27" t="s">
        <v>134</v>
      </c>
      <c r="M7" s="27" t="s">
        <v>56</v>
      </c>
      <c r="N7" s="27">
        <v>0</v>
      </c>
      <c r="O7" s="27">
        <v>0</v>
      </c>
      <c r="P7" s="27" t="s">
        <v>57</v>
      </c>
      <c r="Q7" s="27">
        <v>150</v>
      </c>
      <c r="R7" s="27" t="s">
        <v>163</v>
      </c>
      <c r="S7" s="27">
        <v>27</v>
      </c>
      <c r="T7" s="27" t="s">
        <v>58</v>
      </c>
      <c r="U7" s="27" t="s">
        <v>59</v>
      </c>
      <c r="V7" s="30">
        <v>46146.753449074073</v>
      </c>
      <c r="W7" s="30">
        <v>46146.753449074073</v>
      </c>
      <c r="X7" s="30">
        <v>46146.755289351851</v>
      </c>
      <c r="Y7" s="27" t="s">
        <v>117</v>
      </c>
      <c r="Z7" s="27" t="s">
        <v>1408</v>
      </c>
      <c r="AA7" s="27" t="s">
        <v>53</v>
      </c>
      <c r="AB7" s="27" t="s">
        <v>60</v>
      </c>
      <c r="AC7" s="27" t="s">
        <v>1409</v>
      </c>
      <c r="AD7" s="27" t="s">
        <v>118</v>
      </c>
      <c r="AE7" s="27" t="s">
        <v>61</v>
      </c>
      <c r="AF7" s="27" t="s">
        <v>62</v>
      </c>
      <c r="AG7" s="27" t="s">
        <v>63</v>
      </c>
      <c r="AH7" s="27">
        <v>0</v>
      </c>
      <c r="AI7" s="27">
        <v>0</v>
      </c>
      <c r="AJ7" s="27">
        <v>0</v>
      </c>
      <c r="AK7" s="27">
        <v>0</v>
      </c>
      <c r="AL7" s="27" t="s">
        <v>64</v>
      </c>
      <c r="AM7" s="27">
        <v>3</v>
      </c>
      <c r="AN7" s="27">
        <v>160</v>
      </c>
      <c r="AO7" s="27" t="s">
        <v>65</v>
      </c>
      <c r="AP7" s="27">
        <v>37</v>
      </c>
      <c r="AQ7" s="27">
        <v>0</v>
      </c>
      <c r="AR7" s="27">
        <v>0</v>
      </c>
      <c r="AS7" s="27" t="s">
        <v>118</v>
      </c>
      <c r="AT7" s="27" t="s">
        <v>1410</v>
      </c>
      <c r="AU7" s="31" t="s">
        <v>118</v>
      </c>
    </row>
    <row r="8" spans="1:47" x14ac:dyDescent="0.25">
      <c r="A8" s="7">
        <f>+CONCATENATE(DAY(V8),"/",MONTH(V8),"/",YEAR(V8),"")*1</f>
        <v>46146</v>
      </c>
      <c r="B8" s="23">
        <f>+Z8*1</f>
        <v>1160047038</v>
      </c>
      <c r="C8" s="21" t="str">
        <f>+AA8</f>
        <v>ENTRANTE</v>
      </c>
      <c r="D8" s="3" t="str">
        <f>VLOOKUP(Q8,Code!E:F,2,0)</f>
        <v>Admisiones</v>
      </c>
      <c r="E8" s="3" t="s">
        <v>55</v>
      </c>
      <c r="F8" s="3">
        <f>+AP8</f>
        <v>37</v>
      </c>
      <c r="G8" s="3">
        <f>+S8</f>
        <v>27</v>
      </c>
      <c r="H8" s="22">
        <f>+HOUR(V8)</f>
        <v>17</v>
      </c>
      <c r="I8" s="22">
        <f>IFERROR(VLOOKUP(B8,MATRICULAS!A:B,2,0),0)*1</f>
        <v>0</v>
      </c>
      <c r="J8" s="26">
        <v>20260504</v>
      </c>
      <c r="K8" s="26">
        <v>149056266</v>
      </c>
      <c r="L8" s="26" t="s">
        <v>134</v>
      </c>
      <c r="M8" s="26" t="s">
        <v>56</v>
      </c>
      <c r="N8" s="26">
        <v>0</v>
      </c>
      <c r="O8" s="26">
        <v>0</v>
      </c>
      <c r="P8" s="26" t="s">
        <v>57</v>
      </c>
      <c r="Q8" s="26">
        <v>150</v>
      </c>
      <c r="R8" s="26" t="s">
        <v>152</v>
      </c>
      <c r="S8" s="26">
        <v>27</v>
      </c>
      <c r="T8" s="26" t="s">
        <v>58</v>
      </c>
      <c r="U8" s="26" t="s">
        <v>59</v>
      </c>
      <c r="V8" s="28">
        <v>46146.745740740742</v>
      </c>
      <c r="W8" s="28">
        <v>46146.745740740742</v>
      </c>
      <c r="X8" s="28">
        <v>46146.754965277774</v>
      </c>
      <c r="Y8" s="26" t="s">
        <v>117</v>
      </c>
      <c r="Z8" s="26" t="s">
        <v>1411</v>
      </c>
      <c r="AA8" s="26" t="s">
        <v>53</v>
      </c>
      <c r="AB8" s="26" t="s">
        <v>60</v>
      </c>
      <c r="AC8" s="26" t="s">
        <v>1412</v>
      </c>
      <c r="AD8" s="26" t="s">
        <v>118</v>
      </c>
      <c r="AE8" s="26" t="s">
        <v>61</v>
      </c>
      <c r="AF8" s="26" t="s">
        <v>62</v>
      </c>
      <c r="AG8" s="26" t="s">
        <v>63</v>
      </c>
      <c r="AH8" s="26">
        <v>0</v>
      </c>
      <c r="AI8" s="26">
        <v>0</v>
      </c>
      <c r="AJ8" s="26">
        <v>0</v>
      </c>
      <c r="AK8" s="26">
        <v>0</v>
      </c>
      <c r="AL8" s="26" t="s">
        <v>64</v>
      </c>
      <c r="AM8" s="26">
        <v>3</v>
      </c>
      <c r="AN8" s="26">
        <v>797</v>
      </c>
      <c r="AO8" s="26" t="s">
        <v>65</v>
      </c>
      <c r="AP8" s="26">
        <v>37</v>
      </c>
      <c r="AQ8" s="26">
        <v>202</v>
      </c>
      <c r="AR8" s="26">
        <v>2486227</v>
      </c>
      <c r="AS8" s="26" t="s">
        <v>118</v>
      </c>
      <c r="AT8" s="26" t="s">
        <v>1413</v>
      </c>
      <c r="AU8" s="29" t="s">
        <v>118</v>
      </c>
    </row>
    <row r="9" spans="1:47" x14ac:dyDescent="0.25">
      <c r="A9" s="7">
        <f>+CONCATENATE(DAY(V9),"/",MONTH(V9),"/",YEAR(V9),"")*1</f>
        <v>46146</v>
      </c>
      <c r="B9" s="23">
        <f>+Z9*1</f>
        <v>1132713706</v>
      </c>
      <c r="C9" s="21" t="str">
        <f>+AA9</f>
        <v>ENTRANTE</v>
      </c>
      <c r="D9" s="3" t="str">
        <f>VLOOKUP(Q9,Code!E:F,2,0)</f>
        <v>Admisiones</v>
      </c>
      <c r="E9" s="3" t="s">
        <v>55</v>
      </c>
      <c r="F9" s="3">
        <f>+AP9</f>
        <v>37</v>
      </c>
      <c r="G9" s="3">
        <f>+S9</f>
        <v>27</v>
      </c>
      <c r="H9" s="22">
        <f>+HOUR(V9)</f>
        <v>16</v>
      </c>
      <c r="I9" s="22">
        <f>IFERROR(VLOOKUP(B9,MATRICULAS!A:B,2,0),0)*1</f>
        <v>1</v>
      </c>
      <c r="J9" s="27">
        <v>20260504</v>
      </c>
      <c r="K9" s="27">
        <v>149055190</v>
      </c>
      <c r="L9" s="27" t="s">
        <v>134</v>
      </c>
      <c r="M9" s="27" t="s">
        <v>56</v>
      </c>
      <c r="N9" s="27">
        <v>0</v>
      </c>
      <c r="O9" s="27">
        <v>0</v>
      </c>
      <c r="P9" s="27" t="s">
        <v>57</v>
      </c>
      <c r="Q9" s="27">
        <v>150</v>
      </c>
      <c r="R9" s="27" t="s">
        <v>163</v>
      </c>
      <c r="S9" s="27">
        <v>27</v>
      </c>
      <c r="T9" s="27" t="s">
        <v>58</v>
      </c>
      <c r="U9" s="27" t="s">
        <v>59</v>
      </c>
      <c r="V9" s="30">
        <v>46146.707824074074</v>
      </c>
      <c r="W9" s="30">
        <v>46146.707824074074</v>
      </c>
      <c r="X9" s="30">
        <v>46146.713252314818</v>
      </c>
      <c r="Y9" s="27" t="s">
        <v>117</v>
      </c>
      <c r="Z9" s="27" t="s">
        <v>199</v>
      </c>
      <c r="AA9" s="27" t="s">
        <v>53</v>
      </c>
      <c r="AB9" s="27" t="s">
        <v>60</v>
      </c>
      <c r="AC9" s="27" t="s">
        <v>1414</v>
      </c>
      <c r="AD9" s="27" t="s">
        <v>118</v>
      </c>
      <c r="AE9" s="27" t="s">
        <v>61</v>
      </c>
      <c r="AF9" s="27" t="s">
        <v>62</v>
      </c>
      <c r="AG9" s="27" t="s">
        <v>63</v>
      </c>
      <c r="AH9" s="27">
        <v>0</v>
      </c>
      <c r="AI9" s="27">
        <v>0</v>
      </c>
      <c r="AJ9" s="27">
        <v>0</v>
      </c>
      <c r="AK9" s="27">
        <v>0</v>
      </c>
      <c r="AL9" s="27" t="s">
        <v>64</v>
      </c>
      <c r="AM9" s="27">
        <v>3</v>
      </c>
      <c r="AN9" s="27">
        <v>470</v>
      </c>
      <c r="AO9" s="27" t="s">
        <v>65</v>
      </c>
      <c r="AP9" s="27">
        <v>37</v>
      </c>
      <c r="AQ9" s="27">
        <v>199</v>
      </c>
      <c r="AR9" s="27">
        <v>2483055</v>
      </c>
      <c r="AS9" s="27" t="s">
        <v>118</v>
      </c>
      <c r="AT9" s="27" t="s">
        <v>1415</v>
      </c>
      <c r="AU9" s="31" t="s">
        <v>118</v>
      </c>
    </row>
    <row r="10" spans="1:47" x14ac:dyDescent="0.25">
      <c r="A10" s="7">
        <f>+CONCATENATE(DAY(V10),"/",MONTH(V10),"/",YEAR(V10),"")*1</f>
        <v>46146</v>
      </c>
      <c r="B10" s="23">
        <f>+Z10*1</f>
        <v>1140450044</v>
      </c>
      <c r="C10" s="21" t="str">
        <f>+AA10</f>
        <v>ENTRANTE</v>
      </c>
      <c r="D10" s="3" t="str">
        <f>VLOOKUP(Q10,Code!E:F,2,0)</f>
        <v>Admisiones</v>
      </c>
      <c r="E10" s="3" t="s">
        <v>55</v>
      </c>
      <c r="F10" s="3">
        <f>+AP10</f>
        <v>37</v>
      </c>
      <c r="G10" s="3">
        <f>+S10</f>
        <v>27</v>
      </c>
      <c r="H10" s="22">
        <f>+HOUR(V10)</f>
        <v>16</v>
      </c>
      <c r="I10" s="22">
        <f>IFERROR(VLOOKUP(B10,MATRICULAS!A:B,2,0),0)*1</f>
        <v>0</v>
      </c>
      <c r="J10" s="26">
        <v>20260504</v>
      </c>
      <c r="K10" s="26">
        <v>149055078</v>
      </c>
      <c r="L10" s="26" t="s">
        <v>134</v>
      </c>
      <c r="M10" s="26" t="s">
        <v>56</v>
      </c>
      <c r="N10" s="26">
        <v>0</v>
      </c>
      <c r="O10" s="26">
        <v>0</v>
      </c>
      <c r="P10" s="26" t="s">
        <v>57</v>
      </c>
      <c r="Q10" s="26">
        <v>150</v>
      </c>
      <c r="R10" s="26" t="s">
        <v>152</v>
      </c>
      <c r="S10" s="26">
        <v>27</v>
      </c>
      <c r="T10" s="26" t="s">
        <v>58</v>
      </c>
      <c r="U10" s="26" t="s">
        <v>59</v>
      </c>
      <c r="V10" s="28">
        <v>46146.705578703702</v>
      </c>
      <c r="W10" s="28">
        <v>46146.705578703702</v>
      </c>
      <c r="X10" s="28">
        <v>46146.714444444442</v>
      </c>
      <c r="Y10" s="26" t="s">
        <v>117</v>
      </c>
      <c r="Z10" s="26" t="s">
        <v>1416</v>
      </c>
      <c r="AA10" s="26" t="s">
        <v>53</v>
      </c>
      <c r="AB10" s="26" t="s">
        <v>60</v>
      </c>
      <c r="AC10" s="26" t="s">
        <v>1417</v>
      </c>
      <c r="AD10" s="26" t="s">
        <v>118</v>
      </c>
      <c r="AE10" s="26" t="s">
        <v>61</v>
      </c>
      <c r="AF10" s="26" t="s">
        <v>62</v>
      </c>
      <c r="AG10" s="26" t="s">
        <v>63</v>
      </c>
      <c r="AH10" s="26">
        <v>0</v>
      </c>
      <c r="AI10" s="26">
        <v>0</v>
      </c>
      <c r="AJ10" s="26">
        <v>0</v>
      </c>
      <c r="AK10" s="26">
        <v>0</v>
      </c>
      <c r="AL10" s="26" t="s">
        <v>64</v>
      </c>
      <c r="AM10" s="26">
        <v>3</v>
      </c>
      <c r="AN10" s="26">
        <v>766</v>
      </c>
      <c r="AO10" s="26" t="s">
        <v>65</v>
      </c>
      <c r="AP10" s="26">
        <v>37</v>
      </c>
      <c r="AQ10" s="26">
        <v>202</v>
      </c>
      <c r="AR10" s="26">
        <v>2487045</v>
      </c>
      <c r="AS10" s="26" t="s">
        <v>118</v>
      </c>
      <c r="AT10" s="26" t="s">
        <v>1418</v>
      </c>
      <c r="AU10" s="29" t="s">
        <v>118</v>
      </c>
    </row>
    <row r="11" spans="1:47" x14ac:dyDescent="0.25">
      <c r="A11" s="7">
        <f>+CONCATENATE(DAY(V11),"/",MONTH(V11),"/",YEAR(V11),"")*1</f>
        <v>46146</v>
      </c>
      <c r="B11" s="23">
        <f>+Z11*1</f>
        <v>2983618493</v>
      </c>
      <c r="C11" s="21" t="str">
        <f>+AA11</f>
        <v>ENTRANTE</v>
      </c>
      <c r="D11" s="3" t="str">
        <f>VLOOKUP(Q11,Code!E:F,2,0)</f>
        <v>Admisiones</v>
      </c>
      <c r="E11" s="3" t="s">
        <v>55</v>
      </c>
      <c r="F11" s="3">
        <f>+AP11</f>
        <v>37</v>
      </c>
      <c r="G11" s="3">
        <f>+S11</f>
        <v>27</v>
      </c>
      <c r="H11" s="22">
        <f>+HOUR(V11)</f>
        <v>16</v>
      </c>
      <c r="I11" s="22">
        <f>IFERROR(VLOOKUP(B11,MATRICULAS!A:B,2,0),0)*1</f>
        <v>0</v>
      </c>
      <c r="J11" s="27">
        <v>20260504</v>
      </c>
      <c r="K11" s="27">
        <v>149054197</v>
      </c>
      <c r="L11" s="27" t="s">
        <v>134</v>
      </c>
      <c r="M11" s="27" t="s">
        <v>56</v>
      </c>
      <c r="N11" s="27">
        <v>0</v>
      </c>
      <c r="O11" s="27">
        <v>0</v>
      </c>
      <c r="P11" s="27" t="s">
        <v>57</v>
      </c>
      <c r="Q11" s="27">
        <v>150</v>
      </c>
      <c r="R11" s="27" t="s">
        <v>174</v>
      </c>
      <c r="S11" s="27">
        <v>27</v>
      </c>
      <c r="T11" s="27" t="s">
        <v>58</v>
      </c>
      <c r="U11" s="27" t="s">
        <v>59</v>
      </c>
      <c r="V11" s="30">
        <v>46146.682326388887</v>
      </c>
      <c r="W11" s="30">
        <v>46146.682326388887</v>
      </c>
      <c r="X11" s="30">
        <v>46146.687199074076</v>
      </c>
      <c r="Y11" s="27" t="s">
        <v>117</v>
      </c>
      <c r="Z11" s="27" t="s">
        <v>1419</v>
      </c>
      <c r="AA11" s="27" t="s">
        <v>53</v>
      </c>
      <c r="AB11" s="27" t="s">
        <v>60</v>
      </c>
      <c r="AC11" s="27" t="s">
        <v>1420</v>
      </c>
      <c r="AD11" s="27" t="s">
        <v>118</v>
      </c>
      <c r="AE11" s="27" t="s">
        <v>61</v>
      </c>
      <c r="AF11" s="27" t="s">
        <v>62</v>
      </c>
      <c r="AG11" s="27" t="s">
        <v>63</v>
      </c>
      <c r="AH11" s="27">
        <v>0</v>
      </c>
      <c r="AI11" s="27">
        <v>0</v>
      </c>
      <c r="AJ11" s="27">
        <v>0</v>
      </c>
      <c r="AK11" s="27">
        <v>0</v>
      </c>
      <c r="AL11" s="27" t="s">
        <v>64</v>
      </c>
      <c r="AM11" s="27">
        <v>3</v>
      </c>
      <c r="AN11" s="27">
        <v>421</v>
      </c>
      <c r="AO11" s="27" t="s">
        <v>65</v>
      </c>
      <c r="AP11" s="27">
        <v>37</v>
      </c>
      <c r="AQ11" s="27">
        <v>1</v>
      </c>
      <c r="AR11" s="27">
        <v>2487183</v>
      </c>
      <c r="AS11" s="27" t="s">
        <v>118</v>
      </c>
      <c r="AT11" s="27" t="s">
        <v>1421</v>
      </c>
      <c r="AU11" s="31" t="s">
        <v>118</v>
      </c>
    </row>
    <row r="12" spans="1:47" x14ac:dyDescent="0.25">
      <c r="A12" s="7">
        <f>+CONCATENATE(DAY(V12),"/",MONTH(V12),"/",YEAR(V12),"")*1</f>
        <v>46146</v>
      </c>
      <c r="B12" s="23">
        <f>+Z12*1</f>
        <v>2966784318</v>
      </c>
      <c r="C12" s="21" t="str">
        <f>+AA12</f>
        <v>ENTRANTE</v>
      </c>
      <c r="D12" s="3" t="str">
        <f>VLOOKUP(Q12,Code!E:F,2,0)</f>
        <v>Admisiones</v>
      </c>
      <c r="E12" s="3" t="s">
        <v>55</v>
      </c>
      <c r="F12" s="3">
        <f>+AP12</f>
        <v>37</v>
      </c>
      <c r="G12" s="3">
        <f>+S12</f>
        <v>0</v>
      </c>
      <c r="H12" s="22">
        <f>+HOUR(V12)</f>
        <v>16</v>
      </c>
      <c r="I12" s="22">
        <f>IFERROR(VLOOKUP(B12,MATRICULAS!A:B,2,0),0)*1</f>
        <v>0</v>
      </c>
      <c r="J12" s="26">
        <v>20260504</v>
      </c>
      <c r="K12" s="26">
        <v>149053813</v>
      </c>
      <c r="L12" s="26" t="s">
        <v>134</v>
      </c>
      <c r="M12" s="26" t="s">
        <v>56</v>
      </c>
      <c r="N12" s="26">
        <v>0</v>
      </c>
      <c r="O12" s="26">
        <v>0</v>
      </c>
      <c r="P12" s="26" t="s">
        <v>57</v>
      </c>
      <c r="Q12" s="26">
        <v>150</v>
      </c>
      <c r="R12" s="26" t="s">
        <v>234</v>
      </c>
      <c r="S12" s="26">
        <v>0</v>
      </c>
      <c r="T12" s="26" t="s">
        <v>58</v>
      </c>
      <c r="U12" s="26" t="s">
        <v>59</v>
      </c>
      <c r="V12" s="28">
        <v>46146.669803240744</v>
      </c>
      <c r="W12" s="28">
        <v>46146.669803240744</v>
      </c>
      <c r="X12" s="28">
        <v>46146.678680555553</v>
      </c>
      <c r="Y12" s="26" t="s">
        <v>117</v>
      </c>
      <c r="Z12" s="26" t="s">
        <v>1422</v>
      </c>
      <c r="AA12" s="26" t="s">
        <v>53</v>
      </c>
      <c r="AB12" s="26" t="s">
        <v>60</v>
      </c>
      <c r="AC12" s="26" t="s">
        <v>1423</v>
      </c>
      <c r="AD12" s="26" t="s">
        <v>118</v>
      </c>
      <c r="AE12" s="26" t="s">
        <v>70</v>
      </c>
      <c r="AF12" s="26" t="s">
        <v>135</v>
      </c>
      <c r="AG12" s="26" t="s">
        <v>136</v>
      </c>
      <c r="AH12" s="26">
        <v>0</v>
      </c>
      <c r="AI12" s="26">
        <v>0</v>
      </c>
      <c r="AJ12" s="26">
        <v>0</v>
      </c>
      <c r="AK12" s="26">
        <v>0</v>
      </c>
      <c r="AL12" s="26" t="s">
        <v>64</v>
      </c>
      <c r="AM12" s="26">
        <v>3</v>
      </c>
      <c r="AN12" s="26">
        <v>768</v>
      </c>
      <c r="AO12" s="26" t="s">
        <v>65</v>
      </c>
      <c r="AP12" s="26">
        <v>37</v>
      </c>
      <c r="AQ12" s="26">
        <v>174</v>
      </c>
      <c r="AR12" s="26">
        <v>2238299</v>
      </c>
      <c r="AS12" s="26" t="s">
        <v>118</v>
      </c>
      <c r="AT12" s="26" t="s">
        <v>1424</v>
      </c>
      <c r="AU12" s="29" t="s">
        <v>118</v>
      </c>
    </row>
    <row r="13" spans="1:47" x14ac:dyDescent="0.25">
      <c r="A13" s="7">
        <f>+CONCATENATE(DAY(V13),"/",MONTH(V13),"/",YEAR(V13),"")*1</f>
        <v>46146</v>
      </c>
      <c r="B13" s="23">
        <f>+Z13*1</f>
        <v>1136654608</v>
      </c>
      <c r="C13" s="21" t="str">
        <f>+AA13</f>
        <v>ENTRANTE</v>
      </c>
      <c r="D13" s="3" t="str">
        <f>VLOOKUP(Q13,Code!E:F,2,0)</f>
        <v>Admisiones</v>
      </c>
      <c r="E13" s="3" t="s">
        <v>55</v>
      </c>
      <c r="F13" s="3">
        <f>+AP13</f>
        <v>37</v>
      </c>
      <c r="G13" s="3">
        <f>+S13</f>
        <v>27</v>
      </c>
      <c r="H13" s="22">
        <f>+HOUR(V13)</f>
        <v>15</v>
      </c>
      <c r="I13" s="22">
        <f>IFERROR(VLOOKUP(B13,MATRICULAS!A:B,2,0),0)*1</f>
        <v>0</v>
      </c>
      <c r="J13" s="27">
        <v>20260504</v>
      </c>
      <c r="K13" s="27">
        <v>149052887</v>
      </c>
      <c r="L13" s="27" t="s">
        <v>134</v>
      </c>
      <c r="M13" s="27" t="s">
        <v>56</v>
      </c>
      <c r="N13" s="27">
        <v>0</v>
      </c>
      <c r="O13" s="27">
        <v>0</v>
      </c>
      <c r="P13" s="27" t="s">
        <v>57</v>
      </c>
      <c r="Q13" s="27">
        <v>150</v>
      </c>
      <c r="R13" s="27" t="s">
        <v>174</v>
      </c>
      <c r="S13" s="27">
        <v>27</v>
      </c>
      <c r="T13" s="27" t="s">
        <v>58</v>
      </c>
      <c r="U13" s="27" t="s">
        <v>59</v>
      </c>
      <c r="V13" s="30">
        <v>46146.630474537036</v>
      </c>
      <c r="W13" s="30">
        <v>46146.630474537036</v>
      </c>
      <c r="X13" s="30">
        <v>46146.634687500002</v>
      </c>
      <c r="Y13" s="27" t="s">
        <v>117</v>
      </c>
      <c r="Z13" s="27" t="s">
        <v>1425</v>
      </c>
      <c r="AA13" s="27" t="s">
        <v>53</v>
      </c>
      <c r="AB13" s="27" t="s">
        <v>60</v>
      </c>
      <c r="AC13" s="27" t="s">
        <v>1426</v>
      </c>
      <c r="AD13" s="27" t="s">
        <v>118</v>
      </c>
      <c r="AE13" s="27" t="s">
        <v>61</v>
      </c>
      <c r="AF13" s="27" t="s">
        <v>62</v>
      </c>
      <c r="AG13" s="27" t="s">
        <v>63</v>
      </c>
      <c r="AH13" s="27">
        <v>0</v>
      </c>
      <c r="AI13" s="27">
        <v>0</v>
      </c>
      <c r="AJ13" s="27">
        <v>0</v>
      </c>
      <c r="AK13" s="27">
        <v>0</v>
      </c>
      <c r="AL13" s="27" t="s">
        <v>64</v>
      </c>
      <c r="AM13" s="27">
        <v>3</v>
      </c>
      <c r="AN13" s="27">
        <v>364</v>
      </c>
      <c r="AO13" s="27" t="s">
        <v>65</v>
      </c>
      <c r="AP13" s="27">
        <v>37</v>
      </c>
      <c r="AQ13" s="27">
        <v>202</v>
      </c>
      <c r="AR13" s="27">
        <v>2486961</v>
      </c>
      <c r="AS13" s="27" t="s">
        <v>118</v>
      </c>
      <c r="AT13" s="27" t="s">
        <v>1427</v>
      </c>
      <c r="AU13" s="31" t="s">
        <v>118</v>
      </c>
    </row>
    <row r="14" spans="1:47" x14ac:dyDescent="0.25">
      <c r="A14" s="7">
        <f>+CONCATENATE(DAY(V14),"/",MONTH(V14),"/",YEAR(V14),"")*1</f>
        <v>46146</v>
      </c>
      <c r="B14" s="23">
        <f>+Z14*1</f>
        <v>1161919900</v>
      </c>
      <c r="C14" s="21" t="str">
        <f>+AA14</f>
        <v>ENTRANTE</v>
      </c>
      <c r="D14" s="3" t="str">
        <f>VLOOKUP(Q14,Code!E:F,2,0)</f>
        <v>Admisiones</v>
      </c>
      <c r="E14" s="3" t="s">
        <v>55</v>
      </c>
      <c r="F14" s="3">
        <f>+AP14</f>
        <v>37</v>
      </c>
      <c r="G14" s="3">
        <f>+S14</f>
        <v>26</v>
      </c>
      <c r="H14" s="22">
        <f>+HOUR(V14)</f>
        <v>14</v>
      </c>
      <c r="I14" s="22">
        <f>IFERROR(VLOOKUP(B14,MATRICULAS!A:B,2,0),0)*1</f>
        <v>0</v>
      </c>
      <c r="J14" s="26">
        <v>20260504</v>
      </c>
      <c r="K14" s="26">
        <v>149052569</v>
      </c>
      <c r="L14" s="26" t="s">
        <v>134</v>
      </c>
      <c r="M14" s="26" t="s">
        <v>56</v>
      </c>
      <c r="N14" s="26">
        <v>0</v>
      </c>
      <c r="O14" s="26">
        <v>0</v>
      </c>
      <c r="P14" s="26" t="s">
        <v>57</v>
      </c>
      <c r="Q14" s="26">
        <v>150</v>
      </c>
      <c r="R14" s="26" t="s">
        <v>145</v>
      </c>
      <c r="S14" s="26">
        <v>26</v>
      </c>
      <c r="T14" s="26" t="s">
        <v>58</v>
      </c>
      <c r="U14" s="26" t="s">
        <v>59</v>
      </c>
      <c r="V14" s="28">
        <v>46146.618761574071</v>
      </c>
      <c r="W14" s="28">
        <v>46146.618761574071</v>
      </c>
      <c r="X14" s="28">
        <v>46146.622337962966</v>
      </c>
      <c r="Y14" s="26" t="s">
        <v>117</v>
      </c>
      <c r="Z14" s="26" t="s">
        <v>1428</v>
      </c>
      <c r="AA14" s="26" t="s">
        <v>53</v>
      </c>
      <c r="AB14" s="26" t="s">
        <v>60</v>
      </c>
      <c r="AC14" s="26" t="s">
        <v>1429</v>
      </c>
      <c r="AD14" s="26" t="s">
        <v>118</v>
      </c>
      <c r="AE14" s="26" t="s">
        <v>61</v>
      </c>
      <c r="AF14" s="26" t="s">
        <v>62</v>
      </c>
      <c r="AG14" s="26" t="s">
        <v>63</v>
      </c>
      <c r="AH14" s="26">
        <v>0</v>
      </c>
      <c r="AI14" s="26">
        <v>0</v>
      </c>
      <c r="AJ14" s="26">
        <v>0</v>
      </c>
      <c r="AK14" s="26">
        <v>0</v>
      </c>
      <c r="AL14" s="26" t="s">
        <v>64</v>
      </c>
      <c r="AM14" s="26">
        <v>3</v>
      </c>
      <c r="AN14" s="26">
        <v>310</v>
      </c>
      <c r="AO14" s="26" t="s">
        <v>65</v>
      </c>
      <c r="AP14" s="26">
        <v>37</v>
      </c>
      <c r="AQ14" s="26">
        <v>202</v>
      </c>
      <c r="AR14" s="26">
        <v>2486995</v>
      </c>
      <c r="AS14" s="26" t="s">
        <v>118</v>
      </c>
      <c r="AT14" s="26" t="s">
        <v>1430</v>
      </c>
      <c r="AU14" s="29" t="s">
        <v>118</v>
      </c>
    </row>
    <row r="15" spans="1:47" x14ac:dyDescent="0.25">
      <c r="A15" s="7">
        <f>+CONCATENATE(DAY(V15),"/",MONTH(V15),"/",YEAR(V15),"")*1</f>
        <v>46146</v>
      </c>
      <c r="B15" s="23">
        <f>+Z15*1</f>
        <v>2342454761</v>
      </c>
      <c r="C15" s="21" t="str">
        <f>+AA15</f>
        <v>ENTRANTE</v>
      </c>
      <c r="D15" s="3" t="str">
        <f>VLOOKUP(Q15,Code!E:F,2,0)</f>
        <v>Admisiones</v>
      </c>
      <c r="E15" s="3" t="s">
        <v>55</v>
      </c>
      <c r="F15" s="3">
        <f>+AP15</f>
        <v>37</v>
      </c>
      <c r="G15" s="3">
        <f>+S15</f>
        <v>26</v>
      </c>
      <c r="H15" s="22">
        <f>+HOUR(V15)</f>
        <v>14</v>
      </c>
      <c r="I15" s="22">
        <f>IFERROR(VLOOKUP(B15,MATRICULAS!A:B,2,0),0)*1</f>
        <v>0</v>
      </c>
      <c r="J15" s="27">
        <v>20260504</v>
      </c>
      <c r="K15" s="27">
        <v>149052474</v>
      </c>
      <c r="L15" s="27" t="s">
        <v>134</v>
      </c>
      <c r="M15" s="27" t="s">
        <v>56</v>
      </c>
      <c r="N15" s="27">
        <v>0</v>
      </c>
      <c r="O15" s="27">
        <v>0</v>
      </c>
      <c r="P15" s="27" t="s">
        <v>57</v>
      </c>
      <c r="Q15" s="27">
        <v>150</v>
      </c>
      <c r="R15" s="27" t="s">
        <v>128</v>
      </c>
      <c r="S15" s="27">
        <v>26</v>
      </c>
      <c r="T15" s="27" t="s">
        <v>58</v>
      </c>
      <c r="U15" s="27" t="s">
        <v>59</v>
      </c>
      <c r="V15" s="30">
        <v>46146.616724537038</v>
      </c>
      <c r="W15" s="30">
        <v>46146.616724537038</v>
      </c>
      <c r="X15" s="30">
        <v>46146.618125000001</v>
      </c>
      <c r="Y15" s="27" t="s">
        <v>117</v>
      </c>
      <c r="Z15" s="27" t="s">
        <v>1431</v>
      </c>
      <c r="AA15" s="27" t="s">
        <v>53</v>
      </c>
      <c r="AB15" s="27" t="s">
        <v>60</v>
      </c>
      <c r="AC15" s="27" t="s">
        <v>1432</v>
      </c>
      <c r="AD15" s="27" t="s">
        <v>118</v>
      </c>
      <c r="AE15" s="27" t="s">
        <v>61</v>
      </c>
      <c r="AF15" s="27" t="s">
        <v>62</v>
      </c>
      <c r="AG15" s="27" t="s">
        <v>63</v>
      </c>
      <c r="AH15" s="27">
        <v>0</v>
      </c>
      <c r="AI15" s="27">
        <v>0</v>
      </c>
      <c r="AJ15" s="27">
        <v>0</v>
      </c>
      <c r="AK15" s="27">
        <v>0</v>
      </c>
      <c r="AL15" s="27" t="s">
        <v>64</v>
      </c>
      <c r="AM15" s="27">
        <v>3</v>
      </c>
      <c r="AN15" s="27">
        <v>121</v>
      </c>
      <c r="AO15" s="27" t="s">
        <v>65</v>
      </c>
      <c r="AP15" s="27">
        <v>37</v>
      </c>
      <c r="AQ15" s="27">
        <v>197</v>
      </c>
      <c r="AR15" s="27">
        <v>2446156</v>
      </c>
      <c r="AS15" s="27" t="s">
        <v>118</v>
      </c>
      <c r="AT15" s="27" t="s">
        <v>1433</v>
      </c>
      <c r="AU15" s="31" t="s">
        <v>118</v>
      </c>
    </row>
    <row r="16" spans="1:47" x14ac:dyDescent="0.25">
      <c r="A16" s="7">
        <f>+CONCATENATE(DAY(V16),"/",MONTH(V16),"/",YEAR(V16),"")*1</f>
        <v>46146</v>
      </c>
      <c r="B16" s="23">
        <f>+Z16*1</f>
        <v>3624160621</v>
      </c>
      <c r="C16" s="21" t="str">
        <f>+AA16</f>
        <v>ENTRANTE</v>
      </c>
      <c r="D16" s="3" t="str">
        <f>VLOOKUP(Q16,Code!E:F,2,0)</f>
        <v>Admisiones</v>
      </c>
      <c r="E16" s="3" t="s">
        <v>55</v>
      </c>
      <c r="F16" s="3">
        <f>+AP16</f>
        <v>37</v>
      </c>
      <c r="G16" s="3">
        <f>+S16</f>
        <v>26</v>
      </c>
      <c r="H16" s="22">
        <f>+HOUR(V16)</f>
        <v>14</v>
      </c>
      <c r="I16" s="22">
        <f>IFERROR(VLOOKUP(B16,MATRICULAS!A:B,2,0),0)*1</f>
        <v>0</v>
      </c>
      <c r="J16" s="26">
        <v>20260504</v>
      </c>
      <c r="K16" s="26">
        <v>149052180</v>
      </c>
      <c r="L16" s="26" t="s">
        <v>134</v>
      </c>
      <c r="M16" s="26" t="s">
        <v>56</v>
      </c>
      <c r="N16" s="26">
        <v>0</v>
      </c>
      <c r="O16" s="26">
        <v>0</v>
      </c>
      <c r="P16" s="26" t="s">
        <v>57</v>
      </c>
      <c r="Q16" s="26">
        <v>150</v>
      </c>
      <c r="R16" s="26" t="s">
        <v>145</v>
      </c>
      <c r="S16" s="26">
        <v>26</v>
      </c>
      <c r="T16" s="26" t="s">
        <v>58</v>
      </c>
      <c r="U16" s="26" t="s">
        <v>59</v>
      </c>
      <c r="V16" s="28">
        <v>46146.611030092594</v>
      </c>
      <c r="W16" s="28">
        <v>46146.611030092594</v>
      </c>
      <c r="X16" s="28">
        <v>46146.61482638889</v>
      </c>
      <c r="Y16" s="26" t="s">
        <v>117</v>
      </c>
      <c r="Z16" s="26" t="s">
        <v>1434</v>
      </c>
      <c r="AA16" s="26" t="s">
        <v>53</v>
      </c>
      <c r="AB16" s="26" t="s">
        <v>60</v>
      </c>
      <c r="AC16" s="26" t="s">
        <v>1435</v>
      </c>
      <c r="AD16" s="26" t="s">
        <v>118</v>
      </c>
      <c r="AE16" s="26" t="s">
        <v>70</v>
      </c>
      <c r="AF16" s="26" t="s">
        <v>133</v>
      </c>
      <c r="AG16" s="26" t="s">
        <v>150</v>
      </c>
      <c r="AH16" s="26">
        <v>0</v>
      </c>
      <c r="AI16" s="26">
        <v>0</v>
      </c>
      <c r="AJ16" s="26">
        <v>0</v>
      </c>
      <c r="AK16" s="26">
        <v>0</v>
      </c>
      <c r="AL16" s="26" t="s">
        <v>64</v>
      </c>
      <c r="AM16" s="26">
        <v>3</v>
      </c>
      <c r="AN16" s="26">
        <v>328</v>
      </c>
      <c r="AO16" s="26" t="s">
        <v>65</v>
      </c>
      <c r="AP16" s="26">
        <v>37</v>
      </c>
      <c r="AQ16" s="26">
        <v>201</v>
      </c>
      <c r="AR16" s="26">
        <v>2487042</v>
      </c>
      <c r="AS16" s="26" t="s">
        <v>118</v>
      </c>
      <c r="AT16" s="26" t="s">
        <v>1436</v>
      </c>
      <c r="AU16" s="29" t="s">
        <v>118</v>
      </c>
    </row>
    <row r="17" spans="1:47" x14ac:dyDescent="0.25">
      <c r="A17" s="7">
        <f>+CONCATENATE(DAY(V17),"/",MONTH(V17),"/",YEAR(V17),"")*1</f>
        <v>46146</v>
      </c>
      <c r="B17" s="23">
        <f>+Z17*1</f>
        <v>1137921432</v>
      </c>
      <c r="C17" s="21" t="str">
        <f>+AA17</f>
        <v>ENTRANTE</v>
      </c>
      <c r="D17" s="3" t="str">
        <f>VLOOKUP(Q17,Code!E:F,2,0)</f>
        <v>Admisiones</v>
      </c>
      <c r="E17" s="3" t="s">
        <v>55</v>
      </c>
      <c r="F17" s="3">
        <f>+AP17</f>
        <v>37</v>
      </c>
      <c r="G17" s="3">
        <f>+S17</f>
        <v>26</v>
      </c>
      <c r="H17" s="22">
        <f>+HOUR(V17)</f>
        <v>14</v>
      </c>
      <c r="I17" s="22">
        <f>IFERROR(VLOOKUP(B17,MATRICULAS!A:B,2,0),0)*1</f>
        <v>0</v>
      </c>
      <c r="J17" s="27">
        <v>20260504</v>
      </c>
      <c r="K17" s="27">
        <v>149051584</v>
      </c>
      <c r="L17" s="27" t="s">
        <v>134</v>
      </c>
      <c r="M17" s="27" t="s">
        <v>56</v>
      </c>
      <c r="N17" s="27">
        <v>0</v>
      </c>
      <c r="O17" s="27">
        <v>0</v>
      </c>
      <c r="P17" s="27" t="s">
        <v>57</v>
      </c>
      <c r="Q17" s="27">
        <v>150</v>
      </c>
      <c r="R17" s="27" t="s">
        <v>145</v>
      </c>
      <c r="S17" s="27">
        <v>26</v>
      </c>
      <c r="T17" s="27" t="s">
        <v>58</v>
      </c>
      <c r="U17" s="27" t="s">
        <v>59</v>
      </c>
      <c r="V17" s="30">
        <v>46146.600659722222</v>
      </c>
      <c r="W17" s="30">
        <v>46146.600659722222</v>
      </c>
      <c r="X17" s="30">
        <v>46146.601053240738</v>
      </c>
      <c r="Y17" s="27" t="s">
        <v>117</v>
      </c>
      <c r="Z17" s="27" t="s">
        <v>1437</v>
      </c>
      <c r="AA17" s="27" t="s">
        <v>53</v>
      </c>
      <c r="AB17" s="27" t="s">
        <v>60</v>
      </c>
      <c r="AC17" s="27" t="s">
        <v>1438</v>
      </c>
      <c r="AD17" s="27" t="s">
        <v>118</v>
      </c>
      <c r="AE17" s="27" t="s">
        <v>61</v>
      </c>
      <c r="AF17" s="27" t="s">
        <v>62</v>
      </c>
      <c r="AG17" s="27" t="s">
        <v>63</v>
      </c>
      <c r="AH17" s="27">
        <v>0</v>
      </c>
      <c r="AI17" s="27">
        <v>0</v>
      </c>
      <c r="AJ17" s="27">
        <v>0</v>
      </c>
      <c r="AK17" s="27">
        <v>0</v>
      </c>
      <c r="AL17" s="27" t="s">
        <v>64</v>
      </c>
      <c r="AM17" s="27">
        <v>3</v>
      </c>
      <c r="AN17" s="27">
        <v>35</v>
      </c>
      <c r="AO17" s="27" t="s">
        <v>65</v>
      </c>
      <c r="AP17" s="27">
        <v>37</v>
      </c>
      <c r="AQ17" s="27">
        <v>0</v>
      </c>
      <c r="AR17" s="27">
        <v>0</v>
      </c>
      <c r="AS17" s="27" t="s">
        <v>118</v>
      </c>
      <c r="AT17" s="27" t="s">
        <v>1439</v>
      </c>
      <c r="AU17" s="31" t="s">
        <v>118</v>
      </c>
    </row>
    <row r="18" spans="1:47" x14ac:dyDescent="0.25">
      <c r="A18" s="7">
        <f>+CONCATENATE(DAY(V18),"/",MONTH(V18),"/",YEAR(V18),"")*1</f>
        <v>46146</v>
      </c>
      <c r="B18" s="23">
        <f>+Z18*1</f>
        <v>1124923025</v>
      </c>
      <c r="C18" s="21" t="str">
        <f>+AA18</f>
        <v>ENTRANTE</v>
      </c>
      <c r="D18" s="3" t="str">
        <f>VLOOKUP(Q18,Code!E:F,2,0)</f>
        <v>Admisiones</v>
      </c>
      <c r="E18" s="3" t="s">
        <v>55</v>
      </c>
      <c r="F18" s="3">
        <f>+AP18</f>
        <v>37</v>
      </c>
      <c r="G18" s="3">
        <f>+S18</f>
        <v>26</v>
      </c>
      <c r="H18" s="22">
        <f>+HOUR(V18)</f>
        <v>13</v>
      </c>
      <c r="I18" s="22">
        <f>IFERROR(VLOOKUP(B18,MATRICULAS!A:B,2,0),0)*1</f>
        <v>0</v>
      </c>
      <c r="J18" s="26">
        <v>20260504</v>
      </c>
      <c r="K18" s="26">
        <v>149050522</v>
      </c>
      <c r="L18" s="26" t="s">
        <v>134</v>
      </c>
      <c r="M18" s="26" t="s">
        <v>56</v>
      </c>
      <c r="N18" s="26">
        <v>0</v>
      </c>
      <c r="O18" s="26">
        <v>0</v>
      </c>
      <c r="P18" s="26" t="s">
        <v>57</v>
      </c>
      <c r="Q18" s="26">
        <v>150</v>
      </c>
      <c r="R18" s="26" t="s">
        <v>127</v>
      </c>
      <c r="S18" s="26">
        <v>26</v>
      </c>
      <c r="T18" s="26" t="s">
        <v>58</v>
      </c>
      <c r="U18" s="26" t="s">
        <v>59</v>
      </c>
      <c r="V18" s="28">
        <v>46146.567858796298</v>
      </c>
      <c r="W18" s="28">
        <v>46146.567858796298</v>
      </c>
      <c r="X18" s="28">
        <v>46146.579467592594</v>
      </c>
      <c r="Y18" s="26" t="s">
        <v>117</v>
      </c>
      <c r="Z18" s="26" t="s">
        <v>1440</v>
      </c>
      <c r="AA18" s="26" t="s">
        <v>53</v>
      </c>
      <c r="AB18" s="26" t="s">
        <v>60</v>
      </c>
      <c r="AC18" s="26" t="s">
        <v>1441</v>
      </c>
      <c r="AD18" s="26" t="s">
        <v>118</v>
      </c>
      <c r="AE18" s="26" t="s">
        <v>66</v>
      </c>
      <c r="AF18" s="26" t="s">
        <v>67</v>
      </c>
      <c r="AG18" s="26" t="s">
        <v>67</v>
      </c>
      <c r="AH18" s="26">
        <v>0</v>
      </c>
      <c r="AI18" s="26">
        <v>0</v>
      </c>
      <c r="AJ18" s="26">
        <v>0</v>
      </c>
      <c r="AK18" s="26">
        <v>0</v>
      </c>
      <c r="AL18" s="26" t="s">
        <v>64</v>
      </c>
      <c r="AM18" s="26">
        <v>3</v>
      </c>
      <c r="AN18" s="26">
        <v>1004</v>
      </c>
      <c r="AO18" s="26" t="s">
        <v>65</v>
      </c>
      <c r="AP18" s="26">
        <v>37</v>
      </c>
      <c r="AQ18" s="26">
        <v>201</v>
      </c>
      <c r="AR18" s="26">
        <v>2485184</v>
      </c>
      <c r="AS18" s="26" t="s">
        <v>118</v>
      </c>
      <c r="AT18" s="26" t="s">
        <v>1442</v>
      </c>
      <c r="AU18" s="29" t="s">
        <v>118</v>
      </c>
    </row>
    <row r="19" spans="1:47" x14ac:dyDescent="0.25">
      <c r="A19" s="7">
        <f>+CONCATENATE(DAY(V19),"/",MONTH(V19),"/",YEAR(V19),"")*1</f>
        <v>46146</v>
      </c>
      <c r="B19" s="23">
        <f>+Z19*1</f>
        <v>3435189255</v>
      </c>
      <c r="C19" s="21" t="str">
        <f>+AA19</f>
        <v>ENTRANTE</v>
      </c>
      <c r="D19" s="3" t="str">
        <f>VLOOKUP(Q19,Code!E:F,2,0)</f>
        <v>Admisiones</v>
      </c>
      <c r="E19" s="3" t="s">
        <v>55</v>
      </c>
      <c r="F19" s="3">
        <f>+AP19</f>
        <v>37</v>
      </c>
      <c r="G19" s="3">
        <f>+S19</f>
        <v>26</v>
      </c>
      <c r="H19" s="22">
        <f>+HOUR(V19)</f>
        <v>12</v>
      </c>
      <c r="I19" s="22">
        <f>IFERROR(VLOOKUP(B19,MATRICULAS!A:B,2,0),0)*1</f>
        <v>0</v>
      </c>
      <c r="J19" s="27">
        <v>20260504</v>
      </c>
      <c r="K19" s="27">
        <v>149048732</v>
      </c>
      <c r="L19" s="27" t="s">
        <v>134</v>
      </c>
      <c r="M19" s="27" t="s">
        <v>56</v>
      </c>
      <c r="N19" s="27">
        <v>0</v>
      </c>
      <c r="O19" s="27">
        <v>0</v>
      </c>
      <c r="P19" s="27" t="s">
        <v>57</v>
      </c>
      <c r="Q19" s="27">
        <v>150</v>
      </c>
      <c r="R19" s="27" t="s">
        <v>153</v>
      </c>
      <c r="S19" s="27">
        <v>26</v>
      </c>
      <c r="T19" s="27" t="s">
        <v>58</v>
      </c>
      <c r="U19" s="27" t="s">
        <v>59</v>
      </c>
      <c r="V19" s="30">
        <v>46146.521053240744</v>
      </c>
      <c r="W19" s="30">
        <v>46146.521053240744</v>
      </c>
      <c r="X19" s="30">
        <v>46146.525509259256</v>
      </c>
      <c r="Y19" s="27" t="s">
        <v>117</v>
      </c>
      <c r="Z19" s="27" t="s">
        <v>1443</v>
      </c>
      <c r="AA19" s="27" t="s">
        <v>53</v>
      </c>
      <c r="AB19" s="27" t="s">
        <v>60</v>
      </c>
      <c r="AC19" s="27" t="s">
        <v>1444</v>
      </c>
      <c r="AD19" s="27" t="s">
        <v>118</v>
      </c>
      <c r="AE19" s="27" t="s">
        <v>70</v>
      </c>
      <c r="AF19" s="27" t="s">
        <v>157</v>
      </c>
      <c r="AG19" s="27" t="s">
        <v>1445</v>
      </c>
      <c r="AH19" s="27">
        <v>0</v>
      </c>
      <c r="AI19" s="27">
        <v>0</v>
      </c>
      <c r="AJ19" s="27">
        <v>0</v>
      </c>
      <c r="AK19" s="27">
        <v>0</v>
      </c>
      <c r="AL19" s="27" t="s">
        <v>64</v>
      </c>
      <c r="AM19" s="27">
        <v>3</v>
      </c>
      <c r="AN19" s="27">
        <v>385</v>
      </c>
      <c r="AO19" s="27" t="s">
        <v>65</v>
      </c>
      <c r="AP19" s="27">
        <v>37</v>
      </c>
      <c r="AQ19" s="27">
        <v>1</v>
      </c>
      <c r="AR19" s="27">
        <v>2486831</v>
      </c>
      <c r="AS19" s="27" t="s">
        <v>118</v>
      </c>
      <c r="AT19" s="27" t="s">
        <v>1446</v>
      </c>
      <c r="AU19" s="31" t="s">
        <v>118</v>
      </c>
    </row>
    <row r="20" spans="1:47" x14ac:dyDescent="0.25">
      <c r="A20" s="7">
        <f>+CONCATENATE(DAY(V20),"/",MONTH(V20),"/",YEAR(V20),"")*1</f>
        <v>46146</v>
      </c>
      <c r="B20" s="23">
        <f>+Z20*1</f>
        <v>1160327348</v>
      </c>
      <c r="C20" s="21" t="str">
        <f>+AA20</f>
        <v>ENTRANTE</v>
      </c>
      <c r="D20" s="3" t="str">
        <f>VLOOKUP(Q20,Code!E:F,2,0)</f>
        <v>Admisiones</v>
      </c>
      <c r="E20" s="3" t="s">
        <v>55</v>
      </c>
      <c r="F20" s="3">
        <f>+AP20</f>
        <v>37</v>
      </c>
      <c r="G20" s="3">
        <f>+S20</f>
        <v>26</v>
      </c>
      <c r="H20" s="22">
        <f>+HOUR(V20)</f>
        <v>12</v>
      </c>
      <c r="I20" s="22">
        <f>IFERROR(VLOOKUP(B20,MATRICULAS!A:B,2,0),0)*1</f>
        <v>0</v>
      </c>
      <c r="J20" s="26">
        <v>20260504</v>
      </c>
      <c r="K20" s="26">
        <v>149048553</v>
      </c>
      <c r="L20" s="26" t="s">
        <v>134</v>
      </c>
      <c r="M20" s="26" t="s">
        <v>56</v>
      </c>
      <c r="N20" s="26">
        <v>0</v>
      </c>
      <c r="O20" s="26">
        <v>0</v>
      </c>
      <c r="P20" s="26" t="s">
        <v>57</v>
      </c>
      <c r="Q20" s="26">
        <v>150</v>
      </c>
      <c r="R20" s="26" t="s">
        <v>127</v>
      </c>
      <c r="S20" s="26">
        <v>26</v>
      </c>
      <c r="T20" s="26" t="s">
        <v>58</v>
      </c>
      <c r="U20" s="26" t="s">
        <v>59</v>
      </c>
      <c r="V20" s="28">
        <v>46146.516608796293</v>
      </c>
      <c r="W20" s="28">
        <v>46146.516608796293</v>
      </c>
      <c r="X20" s="28">
        <v>46146.522592592592</v>
      </c>
      <c r="Y20" s="26" t="s">
        <v>117</v>
      </c>
      <c r="Z20" s="26" t="s">
        <v>196</v>
      </c>
      <c r="AA20" s="26" t="s">
        <v>53</v>
      </c>
      <c r="AB20" s="26" t="s">
        <v>60</v>
      </c>
      <c r="AC20" s="26" t="s">
        <v>1447</v>
      </c>
      <c r="AD20" s="26" t="s">
        <v>118</v>
      </c>
      <c r="AE20" s="26" t="s">
        <v>61</v>
      </c>
      <c r="AF20" s="26" t="s">
        <v>62</v>
      </c>
      <c r="AG20" s="26" t="s">
        <v>63</v>
      </c>
      <c r="AH20" s="26">
        <v>0</v>
      </c>
      <c r="AI20" s="26">
        <v>0</v>
      </c>
      <c r="AJ20" s="26">
        <v>0</v>
      </c>
      <c r="AK20" s="26">
        <v>0</v>
      </c>
      <c r="AL20" s="26" t="s">
        <v>64</v>
      </c>
      <c r="AM20" s="26">
        <v>3</v>
      </c>
      <c r="AN20" s="26">
        <v>517</v>
      </c>
      <c r="AO20" s="26" t="s">
        <v>65</v>
      </c>
      <c r="AP20" s="26">
        <v>37</v>
      </c>
      <c r="AQ20" s="26">
        <v>160</v>
      </c>
      <c r="AR20" s="26">
        <v>1805419</v>
      </c>
      <c r="AS20" s="26" t="s">
        <v>118</v>
      </c>
      <c r="AT20" s="26" t="s">
        <v>1448</v>
      </c>
      <c r="AU20" s="29" t="s">
        <v>118</v>
      </c>
    </row>
    <row r="21" spans="1:47" x14ac:dyDescent="0.25">
      <c r="A21" s="7">
        <f>+CONCATENATE(DAY(V21),"/",MONTH(V21),"/",YEAR(V21),"")*1</f>
        <v>46146</v>
      </c>
      <c r="B21" s="23">
        <f>+Z21*1</f>
        <v>2945599972</v>
      </c>
      <c r="C21" s="21" t="str">
        <f>+AA21</f>
        <v>ENTRANTE</v>
      </c>
      <c r="D21" s="3" t="str">
        <f>VLOOKUP(Q21,Code!E:F,2,0)</f>
        <v>Admisiones</v>
      </c>
      <c r="E21" s="3" t="s">
        <v>55</v>
      </c>
      <c r="F21" s="3">
        <f>+AP21</f>
        <v>37</v>
      </c>
      <c r="G21" s="3">
        <f>+S21</f>
        <v>26</v>
      </c>
      <c r="H21" s="22">
        <f>+HOUR(V21)</f>
        <v>11</v>
      </c>
      <c r="I21" s="22">
        <f>IFERROR(VLOOKUP(B21,MATRICULAS!A:B,2,0),0)*1</f>
        <v>0</v>
      </c>
      <c r="J21" s="27">
        <v>20260504</v>
      </c>
      <c r="K21" s="27">
        <v>149047725</v>
      </c>
      <c r="L21" s="27" t="s">
        <v>134</v>
      </c>
      <c r="M21" s="27" t="s">
        <v>56</v>
      </c>
      <c r="N21" s="27">
        <v>0</v>
      </c>
      <c r="O21" s="27">
        <v>0</v>
      </c>
      <c r="P21" s="27" t="s">
        <v>57</v>
      </c>
      <c r="Q21" s="27">
        <v>150</v>
      </c>
      <c r="R21" s="27" t="s">
        <v>145</v>
      </c>
      <c r="S21" s="27">
        <v>26</v>
      </c>
      <c r="T21" s="27" t="s">
        <v>58</v>
      </c>
      <c r="U21" s="27" t="s">
        <v>59</v>
      </c>
      <c r="V21" s="30">
        <v>46146.497152777774</v>
      </c>
      <c r="W21" s="30">
        <v>46146.497164351851</v>
      </c>
      <c r="X21" s="30">
        <v>46146.505543981482</v>
      </c>
      <c r="Y21" s="27" t="s">
        <v>117</v>
      </c>
      <c r="Z21" s="27" t="s">
        <v>1449</v>
      </c>
      <c r="AA21" s="27" t="s">
        <v>53</v>
      </c>
      <c r="AB21" s="27" t="s">
        <v>60</v>
      </c>
      <c r="AC21" s="27" t="s">
        <v>1450</v>
      </c>
      <c r="AD21" s="27" t="s">
        <v>118</v>
      </c>
      <c r="AE21" s="27" t="s">
        <v>70</v>
      </c>
      <c r="AF21" s="27" t="s">
        <v>147</v>
      </c>
      <c r="AG21" s="27" t="s">
        <v>1451</v>
      </c>
      <c r="AH21" s="27">
        <v>0</v>
      </c>
      <c r="AI21" s="27">
        <v>0</v>
      </c>
      <c r="AJ21" s="27">
        <v>0</v>
      </c>
      <c r="AK21" s="27">
        <v>0</v>
      </c>
      <c r="AL21" s="27" t="s">
        <v>64</v>
      </c>
      <c r="AM21" s="27">
        <v>3</v>
      </c>
      <c r="AN21" s="27">
        <v>725</v>
      </c>
      <c r="AO21" s="27" t="s">
        <v>65</v>
      </c>
      <c r="AP21" s="27">
        <v>37</v>
      </c>
      <c r="AQ21" s="27">
        <v>1</v>
      </c>
      <c r="AR21" s="27">
        <v>2486790</v>
      </c>
      <c r="AS21" s="27" t="s">
        <v>118</v>
      </c>
      <c r="AT21" s="27" t="s">
        <v>1452</v>
      </c>
      <c r="AU21" s="31" t="s">
        <v>118</v>
      </c>
    </row>
    <row r="22" spans="1:47" x14ac:dyDescent="0.25">
      <c r="A22" s="7">
        <f>+CONCATENATE(DAY(V22),"/",MONTH(V22),"/",YEAR(V22),"")*1</f>
        <v>46146</v>
      </c>
      <c r="B22" s="23">
        <f>+Z22*1</f>
        <v>1166798721</v>
      </c>
      <c r="C22" s="21" t="str">
        <f>+AA22</f>
        <v>ENTRANTE</v>
      </c>
      <c r="D22" s="3" t="str">
        <f>VLOOKUP(Q22,Code!E:F,2,0)</f>
        <v>Admisiones</v>
      </c>
      <c r="E22" s="3" t="s">
        <v>55</v>
      </c>
      <c r="F22" s="3">
        <f>+AP22</f>
        <v>37</v>
      </c>
      <c r="G22" s="3">
        <f>+S22</f>
        <v>26</v>
      </c>
      <c r="H22" s="22">
        <f>+HOUR(V22)</f>
        <v>11</v>
      </c>
      <c r="I22" s="22">
        <f>IFERROR(VLOOKUP(B22,MATRICULAS!A:B,2,0),0)*1</f>
        <v>0</v>
      </c>
      <c r="J22" s="26">
        <v>20260504</v>
      </c>
      <c r="K22" s="26">
        <v>149047443</v>
      </c>
      <c r="L22" s="26" t="s">
        <v>134</v>
      </c>
      <c r="M22" s="26" t="s">
        <v>56</v>
      </c>
      <c r="N22" s="26">
        <v>0</v>
      </c>
      <c r="O22" s="26">
        <v>0</v>
      </c>
      <c r="P22" s="26" t="s">
        <v>57</v>
      </c>
      <c r="Q22" s="26">
        <v>150</v>
      </c>
      <c r="R22" s="26" t="s">
        <v>127</v>
      </c>
      <c r="S22" s="26">
        <v>26</v>
      </c>
      <c r="T22" s="26" t="s">
        <v>58</v>
      </c>
      <c r="U22" s="26" t="s">
        <v>59</v>
      </c>
      <c r="V22" s="28">
        <v>46146.490740740737</v>
      </c>
      <c r="W22" s="28">
        <v>46146.490740740737</v>
      </c>
      <c r="X22" s="28">
        <v>46146.495879629627</v>
      </c>
      <c r="Y22" s="26" t="s">
        <v>117</v>
      </c>
      <c r="Z22" s="26" t="s">
        <v>1453</v>
      </c>
      <c r="AA22" s="26" t="s">
        <v>53</v>
      </c>
      <c r="AB22" s="26" t="s">
        <v>60</v>
      </c>
      <c r="AC22" s="26" t="s">
        <v>1454</v>
      </c>
      <c r="AD22" s="26" t="s">
        <v>118</v>
      </c>
      <c r="AE22" s="26" t="s">
        <v>61</v>
      </c>
      <c r="AF22" s="26" t="s">
        <v>62</v>
      </c>
      <c r="AG22" s="26" t="s">
        <v>63</v>
      </c>
      <c r="AH22" s="26">
        <v>0</v>
      </c>
      <c r="AI22" s="26">
        <v>0</v>
      </c>
      <c r="AJ22" s="26">
        <v>0</v>
      </c>
      <c r="AK22" s="26">
        <v>0</v>
      </c>
      <c r="AL22" s="26" t="s">
        <v>64</v>
      </c>
      <c r="AM22" s="26">
        <v>3</v>
      </c>
      <c r="AN22" s="26">
        <v>445</v>
      </c>
      <c r="AO22" s="26" t="s">
        <v>65</v>
      </c>
      <c r="AP22" s="26">
        <v>37</v>
      </c>
      <c r="AQ22" s="26">
        <v>199</v>
      </c>
      <c r="AR22" s="26">
        <v>2476878</v>
      </c>
      <c r="AS22" s="26" t="s">
        <v>118</v>
      </c>
      <c r="AT22" s="26" t="s">
        <v>1455</v>
      </c>
      <c r="AU22" s="29" t="s">
        <v>118</v>
      </c>
    </row>
    <row r="23" spans="1:47" x14ac:dyDescent="0.25">
      <c r="A23" s="7">
        <f>+CONCATENATE(DAY(V23),"/",MONTH(V23),"/",YEAR(V23),"")*1</f>
        <v>46146</v>
      </c>
      <c r="B23" s="23">
        <f>+Z23*1</f>
        <v>1159432774</v>
      </c>
      <c r="C23" s="21" t="str">
        <f>+AA23</f>
        <v>ENTRANTE</v>
      </c>
      <c r="D23" s="3" t="str">
        <f>VLOOKUP(Q23,Code!E:F,2,0)</f>
        <v>Admisiones</v>
      </c>
      <c r="E23" s="3" t="s">
        <v>55</v>
      </c>
      <c r="F23" s="3">
        <f>+AP23</f>
        <v>37</v>
      </c>
      <c r="G23" s="3">
        <f>+S23</f>
        <v>26</v>
      </c>
      <c r="H23" s="22">
        <f>+HOUR(V23)</f>
        <v>11</v>
      </c>
      <c r="I23" s="22">
        <f>IFERROR(VLOOKUP(B23,MATRICULAS!A:B,2,0),0)*1</f>
        <v>0</v>
      </c>
      <c r="J23" s="27">
        <v>20260504</v>
      </c>
      <c r="K23" s="27">
        <v>149046617</v>
      </c>
      <c r="L23" s="27" t="s">
        <v>134</v>
      </c>
      <c r="M23" s="27" t="s">
        <v>56</v>
      </c>
      <c r="N23" s="27">
        <v>0</v>
      </c>
      <c r="O23" s="27">
        <v>0</v>
      </c>
      <c r="P23" s="27" t="s">
        <v>57</v>
      </c>
      <c r="Q23" s="27">
        <v>150</v>
      </c>
      <c r="R23" s="27" t="s">
        <v>145</v>
      </c>
      <c r="S23" s="27">
        <v>26</v>
      </c>
      <c r="T23" s="27" t="s">
        <v>58</v>
      </c>
      <c r="U23" s="27" t="s">
        <v>59</v>
      </c>
      <c r="V23" s="30">
        <v>46146.468784722223</v>
      </c>
      <c r="W23" s="30">
        <v>46146.468784722223</v>
      </c>
      <c r="X23" s="30">
        <v>46146.477418981478</v>
      </c>
      <c r="Y23" s="27" t="s">
        <v>117</v>
      </c>
      <c r="Z23" s="27" t="s">
        <v>197</v>
      </c>
      <c r="AA23" s="27" t="s">
        <v>53</v>
      </c>
      <c r="AB23" s="27" t="s">
        <v>60</v>
      </c>
      <c r="AC23" s="27" t="s">
        <v>1456</v>
      </c>
      <c r="AD23" s="27" t="s">
        <v>118</v>
      </c>
      <c r="AE23" s="27" t="s">
        <v>61</v>
      </c>
      <c r="AF23" s="27" t="s">
        <v>62</v>
      </c>
      <c r="AG23" s="27" t="s">
        <v>63</v>
      </c>
      <c r="AH23" s="27">
        <v>0</v>
      </c>
      <c r="AI23" s="27">
        <v>0</v>
      </c>
      <c r="AJ23" s="27">
        <v>0</v>
      </c>
      <c r="AK23" s="27">
        <v>0</v>
      </c>
      <c r="AL23" s="27" t="s">
        <v>64</v>
      </c>
      <c r="AM23" s="27">
        <v>3</v>
      </c>
      <c r="AN23" s="27">
        <v>746</v>
      </c>
      <c r="AO23" s="27" t="s">
        <v>65</v>
      </c>
      <c r="AP23" s="27">
        <v>37</v>
      </c>
      <c r="AQ23" s="27">
        <v>1</v>
      </c>
      <c r="AR23" s="27">
        <v>2483262</v>
      </c>
      <c r="AS23" s="27" t="s">
        <v>1457</v>
      </c>
      <c r="AT23" s="27" t="s">
        <v>1458</v>
      </c>
      <c r="AU23" s="31" t="s">
        <v>118</v>
      </c>
    </row>
    <row r="24" spans="1:47" x14ac:dyDescent="0.25">
      <c r="A24" s="7">
        <f>+CONCATENATE(DAY(V24),"/",MONTH(V24),"/",YEAR(V24),"")*1</f>
        <v>46146</v>
      </c>
      <c r="B24" s="23">
        <f>+Z24*1</f>
        <v>3884459927</v>
      </c>
      <c r="C24" s="21" t="str">
        <f>+AA24</f>
        <v>ENTRANTE</v>
      </c>
      <c r="D24" s="3" t="str">
        <f>VLOOKUP(Q24,Code!E:F,2,0)</f>
        <v>Admisiones</v>
      </c>
      <c r="E24" s="3" t="s">
        <v>55</v>
      </c>
      <c r="F24" s="3">
        <f>+AP24</f>
        <v>37</v>
      </c>
      <c r="G24" s="3">
        <f>+S24</f>
        <v>26</v>
      </c>
      <c r="H24" s="22">
        <f>+HOUR(V24)</f>
        <v>11</v>
      </c>
      <c r="I24" s="22">
        <f>IFERROR(VLOOKUP(B24,MATRICULAS!A:B,2,0),0)*1</f>
        <v>0</v>
      </c>
      <c r="J24" s="26">
        <v>20260504</v>
      </c>
      <c r="K24" s="26">
        <v>149046493</v>
      </c>
      <c r="L24" s="26" t="s">
        <v>134</v>
      </c>
      <c r="M24" s="26" t="s">
        <v>56</v>
      </c>
      <c r="N24" s="26">
        <v>0</v>
      </c>
      <c r="O24" s="26">
        <v>0</v>
      </c>
      <c r="P24" s="26" t="s">
        <v>57</v>
      </c>
      <c r="Q24" s="26">
        <v>150</v>
      </c>
      <c r="R24" s="26" t="s">
        <v>145</v>
      </c>
      <c r="S24" s="26">
        <v>26</v>
      </c>
      <c r="T24" s="26" t="s">
        <v>58</v>
      </c>
      <c r="U24" s="26" t="s">
        <v>59</v>
      </c>
      <c r="V24" s="28">
        <v>46146.462326388886</v>
      </c>
      <c r="W24" s="28">
        <v>46146.462326388886</v>
      </c>
      <c r="X24" s="28">
        <v>46146.468784722223</v>
      </c>
      <c r="Y24" s="26" t="s">
        <v>117</v>
      </c>
      <c r="Z24" s="26" t="s">
        <v>185</v>
      </c>
      <c r="AA24" s="26" t="s">
        <v>53</v>
      </c>
      <c r="AB24" s="26" t="s">
        <v>60</v>
      </c>
      <c r="AC24" s="26" t="s">
        <v>1459</v>
      </c>
      <c r="AD24" s="26" t="s">
        <v>118</v>
      </c>
      <c r="AE24" s="26" t="s">
        <v>70</v>
      </c>
      <c r="AF24" s="26" t="s">
        <v>141</v>
      </c>
      <c r="AG24" s="26" t="s">
        <v>160</v>
      </c>
      <c r="AH24" s="26">
        <v>0</v>
      </c>
      <c r="AI24" s="26">
        <v>0</v>
      </c>
      <c r="AJ24" s="26">
        <v>0</v>
      </c>
      <c r="AK24" s="26">
        <v>0</v>
      </c>
      <c r="AL24" s="26" t="s">
        <v>64</v>
      </c>
      <c r="AM24" s="26">
        <v>3</v>
      </c>
      <c r="AN24" s="26">
        <v>558</v>
      </c>
      <c r="AO24" s="26" t="s">
        <v>65</v>
      </c>
      <c r="AP24" s="26">
        <v>37</v>
      </c>
      <c r="AQ24" s="26">
        <v>1</v>
      </c>
      <c r="AR24" s="26">
        <v>2357572</v>
      </c>
      <c r="AS24" s="26" t="s">
        <v>186</v>
      </c>
      <c r="AT24" s="26" t="s">
        <v>1460</v>
      </c>
      <c r="AU24" s="29" t="s">
        <v>118</v>
      </c>
    </row>
    <row r="25" spans="1:47" x14ac:dyDescent="0.25">
      <c r="A25" s="7">
        <f>+CONCATENATE(DAY(V25),"/",MONTH(V25),"/",YEAR(V25),"")*1</f>
        <v>46146</v>
      </c>
      <c r="B25" s="23">
        <f>+Z25*1</f>
        <v>3517333437</v>
      </c>
      <c r="C25" s="21" t="str">
        <f>+AA25</f>
        <v>ENTRANTE</v>
      </c>
      <c r="D25" s="3" t="str">
        <f>VLOOKUP(Q25,Code!E:F,2,0)</f>
        <v>Admisiones</v>
      </c>
      <c r="E25" s="3" t="s">
        <v>55</v>
      </c>
      <c r="F25" s="3">
        <f>+AP25</f>
        <v>37</v>
      </c>
      <c r="G25" s="3">
        <f>+S25</f>
        <v>26</v>
      </c>
      <c r="H25" s="22">
        <f>+HOUR(V25)</f>
        <v>10</v>
      </c>
      <c r="I25" s="22">
        <f>IFERROR(VLOOKUP(B25,MATRICULAS!A:B,2,0),0)*1</f>
        <v>0</v>
      </c>
      <c r="J25" s="27">
        <v>20260504</v>
      </c>
      <c r="K25" s="27">
        <v>149046381</v>
      </c>
      <c r="L25" s="27" t="s">
        <v>134</v>
      </c>
      <c r="M25" s="27" t="s">
        <v>56</v>
      </c>
      <c r="N25" s="27">
        <v>0</v>
      </c>
      <c r="O25" s="27">
        <v>0</v>
      </c>
      <c r="P25" s="27" t="s">
        <v>57</v>
      </c>
      <c r="Q25" s="27">
        <v>150</v>
      </c>
      <c r="R25" s="27" t="s">
        <v>127</v>
      </c>
      <c r="S25" s="27">
        <v>26</v>
      </c>
      <c r="T25" s="27" t="s">
        <v>58</v>
      </c>
      <c r="U25" s="27" t="s">
        <v>59</v>
      </c>
      <c r="V25" s="30">
        <v>46146.458182870374</v>
      </c>
      <c r="W25" s="30">
        <v>46146.458182870374</v>
      </c>
      <c r="X25" s="30">
        <v>46146.463761574072</v>
      </c>
      <c r="Y25" s="27" t="s">
        <v>117</v>
      </c>
      <c r="Z25" s="27" t="s">
        <v>1461</v>
      </c>
      <c r="AA25" s="27" t="s">
        <v>53</v>
      </c>
      <c r="AB25" s="27" t="s">
        <v>60</v>
      </c>
      <c r="AC25" s="27" t="s">
        <v>1462</v>
      </c>
      <c r="AD25" s="27" t="s">
        <v>118</v>
      </c>
      <c r="AE25" s="27" t="s">
        <v>70</v>
      </c>
      <c r="AF25" s="27" t="s">
        <v>130</v>
      </c>
      <c r="AG25" s="27" t="s">
        <v>130</v>
      </c>
      <c r="AH25" s="27">
        <v>0</v>
      </c>
      <c r="AI25" s="27">
        <v>0</v>
      </c>
      <c r="AJ25" s="27">
        <v>0</v>
      </c>
      <c r="AK25" s="27">
        <v>0</v>
      </c>
      <c r="AL25" s="27" t="s">
        <v>64</v>
      </c>
      <c r="AM25" s="27">
        <v>3</v>
      </c>
      <c r="AN25" s="27">
        <v>483</v>
      </c>
      <c r="AO25" s="27" t="s">
        <v>65</v>
      </c>
      <c r="AP25" s="27">
        <v>37</v>
      </c>
      <c r="AQ25" s="27">
        <v>201</v>
      </c>
      <c r="AR25" s="27">
        <v>2486231</v>
      </c>
      <c r="AS25" s="27" t="s">
        <v>118</v>
      </c>
      <c r="AT25" s="27" t="s">
        <v>1463</v>
      </c>
      <c r="AU25" s="31" t="s">
        <v>118</v>
      </c>
    </row>
    <row r="26" spans="1:47" x14ac:dyDescent="0.25">
      <c r="A26" s="7">
        <f>+CONCATENATE(DAY(V26),"/",MONTH(V26),"/",YEAR(V26),"")*1</f>
        <v>46146</v>
      </c>
      <c r="B26" s="23">
        <f>+Z26*1</f>
        <v>1159035439</v>
      </c>
      <c r="C26" s="21" t="str">
        <f>+AA26</f>
        <v>ENTRANTE</v>
      </c>
      <c r="D26" s="3" t="str">
        <f>VLOOKUP(Q26,Code!E:F,2,0)</f>
        <v>Admisiones</v>
      </c>
      <c r="E26" s="3" t="s">
        <v>55</v>
      </c>
      <c r="F26" s="3">
        <f>+AP26</f>
        <v>37</v>
      </c>
      <c r="G26" s="3">
        <f>+S26</f>
        <v>5</v>
      </c>
      <c r="H26" s="22">
        <f>+HOUR(V26)</f>
        <v>10</v>
      </c>
      <c r="I26" s="22">
        <f>IFERROR(VLOOKUP(B26,MATRICULAS!A:B,2,0),0)*1</f>
        <v>0</v>
      </c>
      <c r="J26" s="26">
        <v>20260504</v>
      </c>
      <c r="K26" s="26">
        <v>149046332</v>
      </c>
      <c r="L26" s="26" t="s">
        <v>134</v>
      </c>
      <c r="M26" s="26" t="s">
        <v>56</v>
      </c>
      <c r="N26" s="26">
        <v>0</v>
      </c>
      <c r="O26" s="26">
        <v>0</v>
      </c>
      <c r="P26" s="26" t="s">
        <v>57</v>
      </c>
      <c r="Q26" s="26">
        <v>150</v>
      </c>
      <c r="R26" s="26" t="s">
        <v>127</v>
      </c>
      <c r="S26" s="26">
        <v>5</v>
      </c>
      <c r="T26" s="26" t="s">
        <v>58</v>
      </c>
      <c r="U26" s="26" t="s">
        <v>59</v>
      </c>
      <c r="V26" s="28">
        <v>46146.45616898148</v>
      </c>
      <c r="W26" s="28">
        <v>46146.45616898148</v>
      </c>
      <c r="X26" s="28">
        <v>46146.456990740742</v>
      </c>
      <c r="Y26" s="26" t="s">
        <v>117</v>
      </c>
      <c r="Z26" s="26" t="s">
        <v>1464</v>
      </c>
      <c r="AA26" s="26" t="s">
        <v>53</v>
      </c>
      <c r="AB26" s="26" t="s">
        <v>60</v>
      </c>
      <c r="AC26" s="26" t="s">
        <v>1465</v>
      </c>
      <c r="AD26" s="26" t="s">
        <v>118</v>
      </c>
      <c r="AE26" s="26" t="s">
        <v>61</v>
      </c>
      <c r="AF26" s="26" t="s">
        <v>62</v>
      </c>
      <c r="AG26" s="26" t="s">
        <v>63</v>
      </c>
      <c r="AH26" s="26">
        <v>0</v>
      </c>
      <c r="AI26" s="26">
        <v>0</v>
      </c>
      <c r="AJ26" s="26">
        <v>0</v>
      </c>
      <c r="AK26" s="26">
        <v>0</v>
      </c>
      <c r="AL26" s="26" t="s">
        <v>64</v>
      </c>
      <c r="AM26" s="26">
        <v>3</v>
      </c>
      <c r="AN26" s="26">
        <v>71</v>
      </c>
      <c r="AO26" s="26" t="s">
        <v>65</v>
      </c>
      <c r="AP26" s="26">
        <v>37</v>
      </c>
      <c r="AQ26" s="26">
        <v>0</v>
      </c>
      <c r="AR26" s="26">
        <v>0</v>
      </c>
      <c r="AS26" s="26" t="s">
        <v>118</v>
      </c>
      <c r="AT26" s="26" t="s">
        <v>1466</v>
      </c>
      <c r="AU26" s="29" t="s">
        <v>118</v>
      </c>
    </row>
    <row r="27" spans="1:47" x14ac:dyDescent="0.25">
      <c r="A27" s="7">
        <f>+CONCATENATE(DAY(V27),"/",MONTH(V27),"/",YEAR(V27),"")*1</f>
        <v>46146</v>
      </c>
      <c r="B27" s="23">
        <f>+Z27*1</f>
        <v>3482535547</v>
      </c>
      <c r="C27" s="21" t="str">
        <f>+AA27</f>
        <v>ENTRANTE</v>
      </c>
      <c r="D27" s="3" t="str">
        <f>VLOOKUP(Q27,Code!E:F,2,0)</f>
        <v>Admisiones</v>
      </c>
      <c r="E27" s="3" t="s">
        <v>55</v>
      </c>
      <c r="F27" s="3">
        <f>+AP27</f>
        <v>37</v>
      </c>
      <c r="G27" s="3">
        <f>+S27</f>
        <v>26</v>
      </c>
      <c r="H27" s="22">
        <f>+HOUR(V27)</f>
        <v>10</v>
      </c>
      <c r="I27" s="22">
        <f>IFERROR(VLOOKUP(B27,MATRICULAS!A:B,2,0),0)*1</f>
        <v>0</v>
      </c>
      <c r="J27" s="27">
        <v>20260504</v>
      </c>
      <c r="K27" s="27">
        <v>149046181</v>
      </c>
      <c r="L27" s="27" t="s">
        <v>134</v>
      </c>
      <c r="M27" s="27" t="s">
        <v>56</v>
      </c>
      <c r="N27" s="27">
        <v>0</v>
      </c>
      <c r="O27" s="27">
        <v>0</v>
      </c>
      <c r="P27" s="27" t="s">
        <v>57</v>
      </c>
      <c r="Q27" s="27">
        <v>150</v>
      </c>
      <c r="R27" s="27" t="s">
        <v>145</v>
      </c>
      <c r="S27" s="27">
        <v>26</v>
      </c>
      <c r="T27" s="27" t="s">
        <v>58</v>
      </c>
      <c r="U27" s="27" t="s">
        <v>59</v>
      </c>
      <c r="V27" s="30">
        <v>46146.452638888892</v>
      </c>
      <c r="W27" s="30">
        <v>46146.452638888892</v>
      </c>
      <c r="X27" s="30">
        <v>46146.459004629629</v>
      </c>
      <c r="Y27" s="27" t="s">
        <v>117</v>
      </c>
      <c r="Z27" s="27" t="s">
        <v>1467</v>
      </c>
      <c r="AA27" s="27" t="s">
        <v>53</v>
      </c>
      <c r="AB27" s="27" t="s">
        <v>60</v>
      </c>
      <c r="AC27" s="27" t="s">
        <v>1468</v>
      </c>
      <c r="AD27" s="27" t="s">
        <v>118</v>
      </c>
      <c r="AE27" s="27" t="s">
        <v>61</v>
      </c>
      <c r="AF27" s="27" t="s">
        <v>62</v>
      </c>
      <c r="AG27" s="27" t="s">
        <v>63</v>
      </c>
      <c r="AH27" s="27">
        <v>0</v>
      </c>
      <c r="AI27" s="27">
        <v>0</v>
      </c>
      <c r="AJ27" s="27">
        <v>0</v>
      </c>
      <c r="AK27" s="27">
        <v>0</v>
      </c>
      <c r="AL27" s="27" t="s">
        <v>64</v>
      </c>
      <c r="AM27" s="27">
        <v>3</v>
      </c>
      <c r="AN27" s="27">
        <v>550</v>
      </c>
      <c r="AO27" s="27" t="s">
        <v>65</v>
      </c>
      <c r="AP27" s="27">
        <v>37</v>
      </c>
      <c r="AQ27" s="27">
        <v>201</v>
      </c>
      <c r="AR27" s="27">
        <v>2484927</v>
      </c>
      <c r="AS27" s="27" t="s">
        <v>118</v>
      </c>
      <c r="AT27" s="27" t="s">
        <v>1469</v>
      </c>
      <c r="AU27" s="31" t="s">
        <v>118</v>
      </c>
    </row>
    <row r="28" spans="1:47" x14ac:dyDescent="0.25">
      <c r="A28" s="7">
        <f>+CONCATENATE(DAY(V28),"/",MONTH(V28),"/",YEAR(V28),"")*1</f>
        <v>46146</v>
      </c>
      <c r="B28" s="23">
        <f>+Z28*1</f>
        <v>1170583210</v>
      </c>
      <c r="C28" s="21" t="str">
        <f>+AA28</f>
        <v>ENTRANTE</v>
      </c>
      <c r="D28" s="3" t="str">
        <f>VLOOKUP(Q28,Code!E:F,2,0)</f>
        <v>Admisiones</v>
      </c>
      <c r="E28" s="3" t="s">
        <v>55</v>
      </c>
      <c r="F28" s="3">
        <f>+AP28</f>
        <v>37</v>
      </c>
      <c r="G28" s="3">
        <f>+S28</f>
        <v>26</v>
      </c>
      <c r="H28" s="22">
        <f>+HOUR(V28)</f>
        <v>10</v>
      </c>
      <c r="I28" s="22">
        <f>IFERROR(VLOOKUP(B28,MATRICULAS!A:B,2,0),0)*1</f>
        <v>0</v>
      </c>
      <c r="J28" s="26">
        <v>20260504</v>
      </c>
      <c r="K28" s="26">
        <v>149045897</v>
      </c>
      <c r="L28" s="26" t="s">
        <v>134</v>
      </c>
      <c r="M28" s="26" t="s">
        <v>56</v>
      </c>
      <c r="N28" s="26">
        <v>0</v>
      </c>
      <c r="O28" s="26">
        <v>0</v>
      </c>
      <c r="P28" s="26" t="s">
        <v>57</v>
      </c>
      <c r="Q28" s="26">
        <v>150</v>
      </c>
      <c r="R28" s="26" t="s">
        <v>127</v>
      </c>
      <c r="S28" s="26">
        <v>26</v>
      </c>
      <c r="T28" s="26" t="s">
        <v>58</v>
      </c>
      <c r="U28" s="26" t="s">
        <v>59</v>
      </c>
      <c r="V28" s="28">
        <v>46146.437731481485</v>
      </c>
      <c r="W28" s="28">
        <v>46146.437731481485</v>
      </c>
      <c r="X28" s="28">
        <v>46146.450046296297</v>
      </c>
      <c r="Y28" s="26" t="s">
        <v>117</v>
      </c>
      <c r="Z28" s="26" t="s">
        <v>1470</v>
      </c>
      <c r="AA28" s="26" t="s">
        <v>53</v>
      </c>
      <c r="AB28" s="26" t="s">
        <v>60</v>
      </c>
      <c r="AC28" s="26" t="s">
        <v>1471</v>
      </c>
      <c r="AD28" s="26" t="s">
        <v>118</v>
      </c>
      <c r="AE28" s="26" t="s">
        <v>66</v>
      </c>
      <c r="AF28" s="26" t="s">
        <v>67</v>
      </c>
      <c r="AG28" s="26" t="s">
        <v>67</v>
      </c>
      <c r="AH28" s="26">
        <v>0</v>
      </c>
      <c r="AI28" s="26">
        <v>0</v>
      </c>
      <c r="AJ28" s="26">
        <v>0</v>
      </c>
      <c r="AK28" s="26">
        <v>0</v>
      </c>
      <c r="AL28" s="26" t="s">
        <v>64</v>
      </c>
      <c r="AM28" s="26">
        <v>3</v>
      </c>
      <c r="AN28" s="26">
        <v>1064</v>
      </c>
      <c r="AO28" s="26" t="s">
        <v>65</v>
      </c>
      <c r="AP28" s="26">
        <v>37</v>
      </c>
      <c r="AQ28" s="26">
        <v>201</v>
      </c>
      <c r="AR28" s="26">
        <v>2486615</v>
      </c>
      <c r="AS28" s="26" t="s">
        <v>118</v>
      </c>
      <c r="AT28" s="26" t="s">
        <v>1472</v>
      </c>
      <c r="AU28" s="29" t="s">
        <v>118</v>
      </c>
    </row>
    <row r="29" spans="1:47" x14ac:dyDescent="0.25">
      <c r="A29" s="7">
        <f>+CONCATENATE(DAY(V29),"/",MONTH(V29),"/",YEAR(V29),"")*1</f>
        <v>46146</v>
      </c>
      <c r="B29" s="23">
        <f>+Z29*1</f>
        <v>1132570770</v>
      </c>
      <c r="C29" s="21" t="str">
        <f>+AA29</f>
        <v>ENTRANTE</v>
      </c>
      <c r="D29" s="3" t="str">
        <f>VLOOKUP(Q29,Code!E:F,2,0)</f>
        <v>Admisiones</v>
      </c>
      <c r="E29" s="3" t="s">
        <v>55</v>
      </c>
      <c r="F29" s="3">
        <f>+AP29</f>
        <v>37</v>
      </c>
      <c r="G29" s="3">
        <f>+S29</f>
        <v>5</v>
      </c>
      <c r="H29" s="22">
        <f>+HOUR(V29)</f>
        <v>10</v>
      </c>
      <c r="I29" s="22">
        <f>IFERROR(VLOOKUP(B29,MATRICULAS!A:B,2,0),0)*1</f>
        <v>0</v>
      </c>
      <c r="J29" s="27">
        <v>20260504</v>
      </c>
      <c r="K29" s="27">
        <v>149045894</v>
      </c>
      <c r="L29" s="27" t="s">
        <v>134</v>
      </c>
      <c r="M29" s="27" t="s">
        <v>56</v>
      </c>
      <c r="N29" s="27">
        <v>0</v>
      </c>
      <c r="O29" s="27">
        <v>0</v>
      </c>
      <c r="P29" s="27" t="s">
        <v>57</v>
      </c>
      <c r="Q29" s="27">
        <v>150</v>
      </c>
      <c r="R29" s="27" t="s">
        <v>159</v>
      </c>
      <c r="S29" s="27">
        <v>5</v>
      </c>
      <c r="T29" s="27" t="s">
        <v>58</v>
      </c>
      <c r="U29" s="27" t="s">
        <v>59</v>
      </c>
      <c r="V29" s="30">
        <v>46146.437569444446</v>
      </c>
      <c r="W29" s="30">
        <v>46146.437569444446</v>
      </c>
      <c r="X29" s="30">
        <v>46146.441145833334</v>
      </c>
      <c r="Y29" s="27" t="s">
        <v>117</v>
      </c>
      <c r="Z29" s="27" t="s">
        <v>1473</v>
      </c>
      <c r="AA29" s="27" t="s">
        <v>53</v>
      </c>
      <c r="AB29" s="27" t="s">
        <v>60</v>
      </c>
      <c r="AC29" s="27" t="s">
        <v>1474</v>
      </c>
      <c r="AD29" s="27" t="s">
        <v>118</v>
      </c>
      <c r="AE29" s="27" t="s">
        <v>61</v>
      </c>
      <c r="AF29" s="27" t="s">
        <v>62</v>
      </c>
      <c r="AG29" s="27" t="s">
        <v>63</v>
      </c>
      <c r="AH29" s="27">
        <v>0</v>
      </c>
      <c r="AI29" s="27">
        <v>0</v>
      </c>
      <c r="AJ29" s="27">
        <v>0</v>
      </c>
      <c r="AK29" s="27">
        <v>0</v>
      </c>
      <c r="AL29" s="27" t="s">
        <v>64</v>
      </c>
      <c r="AM29" s="27">
        <v>3</v>
      </c>
      <c r="AN29" s="27">
        <v>309</v>
      </c>
      <c r="AO29" s="27" t="s">
        <v>65</v>
      </c>
      <c r="AP29" s="27">
        <v>37</v>
      </c>
      <c r="AQ29" s="27">
        <v>114</v>
      </c>
      <c r="AR29" s="27">
        <v>788021</v>
      </c>
      <c r="AS29" s="27" t="s">
        <v>118</v>
      </c>
      <c r="AT29" s="27" t="s">
        <v>1475</v>
      </c>
      <c r="AU29" s="31" t="s">
        <v>118</v>
      </c>
    </row>
    <row r="30" spans="1:47" x14ac:dyDescent="0.25">
      <c r="A30" s="7">
        <f>+CONCATENATE(DAY(V30),"/",MONTH(V30),"/",YEAR(V30),"")*1</f>
        <v>46146</v>
      </c>
      <c r="B30" s="23">
        <f>+Z30*1</f>
        <v>1136289001</v>
      </c>
      <c r="C30" s="21" t="str">
        <f>+AA30</f>
        <v>ENTRANTE</v>
      </c>
      <c r="D30" s="3" t="str">
        <f>VLOOKUP(Q30,Code!E:F,2,0)</f>
        <v>Admisiones</v>
      </c>
      <c r="E30" s="3" t="s">
        <v>55</v>
      </c>
      <c r="F30" s="3">
        <f>+AP30</f>
        <v>37</v>
      </c>
      <c r="G30" s="3">
        <f>+S30</f>
        <v>26</v>
      </c>
      <c r="H30" s="22">
        <f>+HOUR(V30)</f>
        <v>9</v>
      </c>
      <c r="I30" s="22">
        <f>IFERROR(VLOOKUP(B30,MATRICULAS!A:B,2,0),0)*1</f>
        <v>0</v>
      </c>
      <c r="J30" s="26">
        <v>20260504</v>
      </c>
      <c r="K30" s="26">
        <v>149044898</v>
      </c>
      <c r="L30" s="26" t="s">
        <v>134</v>
      </c>
      <c r="M30" s="26" t="s">
        <v>56</v>
      </c>
      <c r="N30" s="26">
        <v>0</v>
      </c>
      <c r="O30" s="26">
        <v>0</v>
      </c>
      <c r="P30" s="26" t="s">
        <v>57</v>
      </c>
      <c r="Q30" s="26">
        <v>150</v>
      </c>
      <c r="R30" s="26" t="s">
        <v>145</v>
      </c>
      <c r="S30" s="26">
        <v>26</v>
      </c>
      <c r="T30" s="26" t="s">
        <v>58</v>
      </c>
      <c r="U30" s="26" t="s">
        <v>59</v>
      </c>
      <c r="V30" s="28">
        <v>46146.412407407406</v>
      </c>
      <c r="W30" s="28">
        <v>46146.412407407406</v>
      </c>
      <c r="X30" s="28">
        <v>46146.417893518519</v>
      </c>
      <c r="Y30" s="26" t="s">
        <v>117</v>
      </c>
      <c r="Z30" s="26" t="s">
        <v>1476</v>
      </c>
      <c r="AA30" s="26" t="s">
        <v>53</v>
      </c>
      <c r="AB30" s="26" t="s">
        <v>60</v>
      </c>
      <c r="AC30" s="26" t="s">
        <v>1477</v>
      </c>
      <c r="AD30" s="26" t="s">
        <v>118</v>
      </c>
      <c r="AE30" s="26" t="s">
        <v>61</v>
      </c>
      <c r="AF30" s="26" t="s">
        <v>62</v>
      </c>
      <c r="AG30" s="26" t="s">
        <v>63</v>
      </c>
      <c r="AH30" s="26">
        <v>0</v>
      </c>
      <c r="AI30" s="26">
        <v>0</v>
      </c>
      <c r="AJ30" s="26">
        <v>0</v>
      </c>
      <c r="AK30" s="26">
        <v>0</v>
      </c>
      <c r="AL30" s="26" t="s">
        <v>64</v>
      </c>
      <c r="AM30" s="26">
        <v>3</v>
      </c>
      <c r="AN30" s="26">
        <v>474</v>
      </c>
      <c r="AO30" s="26" t="s">
        <v>65</v>
      </c>
      <c r="AP30" s="26">
        <v>37</v>
      </c>
      <c r="AQ30" s="26">
        <v>1</v>
      </c>
      <c r="AR30" s="26">
        <v>2486560</v>
      </c>
      <c r="AS30" s="26" t="s">
        <v>118</v>
      </c>
      <c r="AT30" s="26" t="s">
        <v>1478</v>
      </c>
      <c r="AU30" s="29" t="s">
        <v>118</v>
      </c>
    </row>
    <row r="31" spans="1:47" x14ac:dyDescent="0.25">
      <c r="A31" s="7">
        <f>+CONCATENATE(DAY(V31),"/",MONTH(V31),"/",YEAR(V31),"")*1</f>
        <v>46147</v>
      </c>
      <c r="B31" s="23">
        <f>+Z31*1</f>
        <v>1177141445</v>
      </c>
      <c r="C31" s="21" t="str">
        <f>+AA31</f>
        <v>ENTRANTE</v>
      </c>
      <c r="D31" s="3" t="str">
        <f>VLOOKUP(Q31,Code!E:F,2,0)</f>
        <v>Admisiones</v>
      </c>
      <c r="E31" s="3" t="s">
        <v>55</v>
      </c>
      <c r="F31" s="3">
        <f>+AP31</f>
        <v>37</v>
      </c>
      <c r="G31" s="3">
        <f>+S31</f>
        <v>27</v>
      </c>
      <c r="H31" s="22">
        <f>+HOUR(V31)</f>
        <v>20</v>
      </c>
      <c r="I31" s="22">
        <f>IFERROR(VLOOKUP(B31,MATRICULAS!A:B,2,0),0)*1</f>
        <v>0</v>
      </c>
      <c r="J31" s="27">
        <v>20260505</v>
      </c>
      <c r="K31" s="27">
        <v>149079802</v>
      </c>
      <c r="L31" s="27" t="s">
        <v>134</v>
      </c>
      <c r="M31" s="27" t="s">
        <v>56</v>
      </c>
      <c r="N31" s="27">
        <v>0</v>
      </c>
      <c r="O31" s="27">
        <v>0</v>
      </c>
      <c r="P31" s="27" t="s">
        <v>57</v>
      </c>
      <c r="Q31" s="27">
        <v>150</v>
      </c>
      <c r="R31" s="27" t="s">
        <v>174</v>
      </c>
      <c r="S31" s="27">
        <v>27</v>
      </c>
      <c r="T31" s="27" t="s">
        <v>58</v>
      </c>
      <c r="U31" s="27" t="s">
        <v>59</v>
      </c>
      <c r="V31" s="30">
        <v>46147.851539351854</v>
      </c>
      <c r="W31" s="30">
        <v>46147.851539351854</v>
      </c>
      <c r="X31" s="30">
        <v>46147.85628472222</v>
      </c>
      <c r="Y31" s="27" t="s">
        <v>117</v>
      </c>
      <c r="Z31" s="27" t="s">
        <v>1329</v>
      </c>
      <c r="AA31" s="27" t="s">
        <v>53</v>
      </c>
      <c r="AB31" s="27" t="s">
        <v>60</v>
      </c>
      <c r="AC31" s="27" t="s">
        <v>1330</v>
      </c>
      <c r="AD31" s="27" t="s">
        <v>118</v>
      </c>
      <c r="AE31" s="27" t="s">
        <v>66</v>
      </c>
      <c r="AF31" s="27" t="s">
        <v>67</v>
      </c>
      <c r="AG31" s="27" t="s">
        <v>67</v>
      </c>
      <c r="AH31" s="27">
        <v>0</v>
      </c>
      <c r="AI31" s="27">
        <v>0</v>
      </c>
      <c r="AJ31" s="27">
        <v>0</v>
      </c>
      <c r="AK31" s="27">
        <v>0</v>
      </c>
      <c r="AL31" s="27" t="s">
        <v>64</v>
      </c>
      <c r="AM31" s="27">
        <v>3</v>
      </c>
      <c r="AN31" s="27">
        <v>411</v>
      </c>
      <c r="AO31" s="27" t="s">
        <v>65</v>
      </c>
      <c r="AP31" s="27">
        <v>37</v>
      </c>
      <c r="AQ31" s="27">
        <v>1</v>
      </c>
      <c r="AR31" s="27">
        <v>2488819</v>
      </c>
      <c r="AS31" s="27" t="s">
        <v>118</v>
      </c>
      <c r="AT31" s="27" t="s">
        <v>1331</v>
      </c>
      <c r="AU31" s="31" t="s">
        <v>118</v>
      </c>
    </row>
    <row r="32" spans="1:47" x14ac:dyDescent="0.25">
      <c r="A32" s="7">
        <f>+CONCATENATE(DAY(V32),"/",MONTH(V32),"/",YEAR(V32),"")*1</f>
        <v>46147</v>
      </c>
      <c r="B32" s="23">
        <f>+Z32*1</f>
        <v>1173661985</v>
      </c>
      <c r="C32" s="21" t="str">
        <f>+AA32</f>
        <v>ENTRANTE</v>
      </c>
      <c r="D32" s="3" t="str">
        <f>VLOOKUP(Q32,Code!E:F,2,0)</f>
        <v>Admisiones</v>
      </c>
      <c r="E32" s="3" t="s">
        <v>55</v>
      </c>
      <c r="F32" s="3">
        <f>+AP32</f>
        <v>37</v>
      </c>
      <c r="G32" s="3">
        <f>+S32</f>
        <v>27</v>
      </c>
      <c r="H32" s="22">
        <f>+HOUR(V32)</f>
        <v>20</v>
      </c>
      <c r="I32" s="22">
        <f>IFERROR(VLOOKUP(B32,MATRICULAS!A:B,2,0),0)*1</f>
        <v>0</v>
      </c>
      <c r="J32" s="26">
        <v>20260505</v>
      </c>
      <c r="K32" s="26">
        <v>149079539</v>
      </c>
      <c r="L32" s="26" t="s">
        <v>134</v>
      </c>
      <c r="M32" s="26" t="s">
        <v>56</v>
      </c>
      <c r="N32" s="26">
        <v>0</v>
      </c>
      <c r="O32" s="26">
        <v>0</v>
      </c>
      <c r="P32" s="26" t="s">
        <v>57</v>
      </c>
      <c r="Q32" s="26">
        <v>150</v>
      </c>
      <c r="R32" s="26" t="s">
        <v>152</v>
      </c>
      <c r="S32" s="26">
        <v>27</v>
      </c>
      <c r="T32" s="26" t="s">
        <v>58</v>
      </c>
      <c r="U32" s="26" t="s">
        <v>59</v>
      </c>
      <c r="V32" s="28">
        <v>46147.842870370368</v>
      </c>
      <c r="W32" s="28">
        <v>46147.842870370368</v>
      </c>
      <c r="X32" s="28">
        <v>46147.844305555554</v>
      </c>
      <c r="Y32" s="26" t="s">
        <v>117</v>
      </c>
      <c r="Z32" s="26" t="s">
        <v>1332</v>
      </c>
      <c r="AA32" s="26" t="s">
        <v>53</v>
      </c>
      <c r="AB32" s="26" t="s">
        <v>60</v>
      </c>
      <c r="AC32" s="26" t="s">
        <v>1333</v>
      </c>
      <c r="AD32" s="26" t="s">
        <v>118</v>
      </c>
      <c r="AE32" s="26" t="s">
        <v>66</v>
      </c>
      <c r="AF32" s="26" t="s">
        <v>67</v>
      </c>
      <c r="AG32" s="26" t="s">
        <v>67</v>
      </c>
      <c r="AH32" s="26">
        <v>0</v>
      </c>
      <c r="AI32" s="26">
        <v>0</v>
      </c>
      <c r="AJ32" s="26">
        <v>0</v>
      </c>
      <c r="AK32" s="26">
        <v>0</v>
      </c>
      <c r="AL32" s="26" t="s">
        <v>64</v>
      </c>
      <c r="AM32" s="26">
        <v>3</v>
      </c>
      <c r="AN32" s="26">
        <v>124</v>
      </c>
      <c r="AO32" s="26" t="s">
        <v>65</v>
      </c>
      <c r="AP32" s="26">
        <v>37</v>
      </c>
      <c r="AQ32" s="26">
        <v>201</v>
      </c>
      <c r="AR32" s="26">
        <v>2488783</v>
      </c>
      <c r="AS32" s="26" t="s">
        <v>118</v>
      </c>
      <c r="AT32" s="26" t="s">
        <v>1334</v>
      </c>
      <c r="AU32" s="29" t="s">
        <v>118</v>
      </c>
    </row>
    <row r="33" spans="1:47" x14ac:dyDescent="0.25">
      <c r="A33" s="7">
        <f>+CONCATENATE(DAY(V33),"/",MONTH(V33),"/",YEAR(V33),"")*1</f>
        <v>46147</v>
      </c>
      <c r="B33" s="23">
        <f>+Z33*1</f>
        <v>3456586938</v>
      </c>
      <c r="C33" s="21" t="str">
        <f>+AA33</f>
        <v>ENTRANTE</v>
      </c>
      <c r="D33" s="3" t="str">
        <f>VLOOKUP(Q33,Code!E:F,2,0)</f>
        <v>Admisiones</v>
      </c>
      <c r="E33" s="3" t="s">
        <v>55</v>
      </c>
      <c r="F33" s="3">
        <f>+AP33</f>
        <v>37</v>
      </c>
      <c r="G33" s="3">
        <f>+S33</f>
        <v>27</v>
      </c>
      <c r="H33" s="22">
        <f>+HOUR(V33)</f>
        <v>18</v>
      </c>
      <c r="I33" s="22">
        <f>IFERROR(VLOOKUP(B33,MATRICULAS!A:B,2,0),0)*1</f>
        <v>0</v>
      </c>
      <c r="J33" s="27">
        <v>20260505</v>
      </c>
      <c r="K33" s="27">
        <v>149077294</v>
      </c>
      <c r="L33" s="27" t="s">
        <v>134</v>
      </c>
      <c r="M33" s="27" t="s">
        <v>56</v>
      </c>
      <c r="N33" s="27">
        <v>0</v>
      </c>
      <c r="O33" s="27">
        <v>0</v>
      </c>
      <c r="P33" s="27" t="s">
        <v>57</v>
      </c>
      <c r="Q33" s="27">
        <v>150</v>
      </c>
      <c r="R33" s="27" t="s">
        <v>174</v>
      </c>
      <c r="S33" s="27">
        <v>27</v>
      </c>
      <c r="T33" s="27" t="s">
        <v>58</v>
      </c>
      <c r="U33" s="27" t="s">
        <v>59</v>
      </c>
      <c r="V33" s="30">
        <v>46147.777025462965</v>
      </c>
      <c r="W33" s="30">
        <v>46147.777025462965</v>
      </c>
      <c r="X33" s="30">
        <v>46147.780057870368</v>
      </c>
      <c r="Y33" s="27" t="s">
        <v>117</v>
      </c>
      <c r="Z33" s="27" t="s">
        <v>1335</v>
      </c>
      <c r="AA33" s="27" t="s">
        <v>53</v>
      </c>
      <c r="AB33" s="27" t="s">
        <v>60</v>
      </c>
      <c r="AC33" s="27" t="s">
        <v>1336</v>
      </c>
      <c r="AD33" s="27" t="s">
        <v>118</v>
      </c>
      <c r="AE33" s="27" t="s">
        <v>70</v>
      </c>
      <c r="AF33" s="27" t="s">
        <v>157</v>
      </c>
      <c r="AG33" s="27" t="s">
        <v>1337</v>
      </c>
      <c r="AH33" s="27">
        <v>0</v>
      </c>
      <c r="AI33" s="27">
        <v>0</v>
      </c>
      <c r="AJ33" s="27">
        <v>0</v>
      </c>
      <c r="AK33" s="27">
        <v>0</v>
      </c>
      <c r="AL33" s="27" t="s">
        <v>64</v>
      </c>
      <c r="AM33" s="27">
        <v>3</v>
      </c>
      <c r="AN33" s="27">
        <v>262</v>
      </c>
      <c r="AO33" s="27" t="s">
        <v>65</v>
      </c>
      <c r="AP33" s="27">
        <v>37</v>
      </c>
      <c r="AQ33" s="27">
        <v>202</v>
      </c>
      <c r="AR33" s="27">
        <v>2488678</v>
      </c>
      <c r="AS33" s="27" t="s">
        <v>118</v>
      </c>
      <c r="AT33" s="27" t="s">
        <v>1338</v>
      </c>
      <c r="AU33" s="31" t="s">
        <v>118</v>
      </c>
    </row>
    <row r="34" spans="1:47" x14ac:dyDescent="0.25">
      <c r="A34" s="7">
        <f>+CONCATENATE(DAY(V34),"/",MONTH(V34),"/",YEAR(V34),"")*1</f>
        <v>46147</v>
      </c>
      <c r="B34" s="23">
        <f>+Z34*1</f>
        <v>1126250956</v>
      </c>
      <c r="C34" s="21" t="str">
        <f>+AA34</f>
        <v>ENTRANTE</v>
      </c>
      <c r="D34" s="3" t="str">
        <f>VLOOKUP(Q34,Code!E:F,2,0)</f>
        <v>Admisiones</v>
      </c>
      <c r="E34" s="3" t="s">
        <v>55</v>
      </c>
      <c r="F34" s="3">
        <f>+AP34</f>
        <v>37</v>
      </c>
      <c r="G34" s="3">
        <f>+S34</f>
        <v>27</v>
      </c>
      <c r="H34" s="22">
        <f>+HOUR(V34)</f>
        <v>18</v>
      </c>
      <c r="I34" s="22">
        <f>IFERROR(VLOOKUP(B34,MATRICULAS!A:B,2,0),0)*1</f>
        <v>0</v>
      </c>
      <c r="J34" s="26">
        <v>20260505</v>
      </c>
      <c r="K34" s="26">
        <v>149076787</v>
      </c>
      <c r="L34" s="26" t="s">
        <v>134</v>
      </c>
      <c r="M34" s="26" t="s">
        <v>56</v>
      </c>
      <c r="N34" s="26">
        <v>0</v>
      </c>
      <c r="O34" s="26">
        <v>0</v>
      </c>
      <c r="P34" s="26" t="s">
        <v>57</v>
      </c>
      <c r="Q34" s="26">
        <v>150</v>
      </c>
      <c r="R34" s="26" t="s">
        <v>152</v>
      </c>
      <c r="S34" s="26">
        <v>27</v>
      </c>
      <c r="T34" s="26" t="s">
        <v>58</v>
      </c>
      <c r="U34" s="26" t="s">
        <v>59</v>
      </c>
      <c r="V34" s="28">
        <v>46147.763391203705</v>
      </c>
      <c r="W34" s="28">
        <v>46147.763391203705</v>
      </c>
      <c r="X34" s="28">
        <v>46147.765069444446</v>
      </c>
      <c r="Y34" s="26" t="s">
        <v>117</v>
      </c>
      <c r="Z34" s="26" t="s">
        <v>1339</v>
      </c>
      <c r="AA34" s="26" t="s">
        <v>53</v>
      </c>
      <c r="AB34" s="26" t="s">
        <v>60</v>
      </c>
      <c r="AC34" s="26" t="s">
        <v>1340</v>
      </c>
      <c r="AD34" s="26" t="s">
        <v>118</v>
      </c>
      <c r="AE34" s="26" t="s">
        <v>66</v>
      </c>
      <c r="AF34" s="26" t="s">
        <v>67</v>
      </c>
      <c r="AG34" s="26" t="s">
        <v>67</v>
      </c>
      <c r="AH34" s="26">
        <v>0</v>
      </c>
      <c r="AI34" s="26">
        <v>0</v>
      </c>
      <c r="AJ34" s="26">
        <v>0</v>
      </c>
      <c r="AK34" s="26">
        <v>0</v>
      </c>
      <c r="AL34" s="26" t="s">
        <v>64</v>
      </c>
      <c r="AM34" s="26">
        <v>3</v>
      </c>
      <c r="AN34" s="26">
        <v>145</v>
      </c>
      <c r="AO34" s="26" t="s">
        <v>65</v>
      </c>
      <c r="AP34" s="26">
        <v>37</v>
      </c>
      <c r="AQ34" s="26">
        <v>199</v>
      </c>
      <c r="AR34" s="26">
        <v>2471734</v>
      </c>
      <c r="AS34" s="26" t="s">
        <v>118</v>
      </c>
      <c r="AT34" s="26" t="s">
        <v>1341</v>
      </c>
      <c r="AU34" s="29" t="s">
        <v>118</v>
      </c>
    </row>
    <row r="35" spans="1:47" x14ac:dyDescent="0.25">
      <c r="A35" s="7">
        <f>+CONCATENATE(DAY(V35),"/",MONTH(V35),"/",YEAR(V35),"")*1</f>
        <v>46147</v>
      </c>
      <c r="B35" s="23">
        <f>+Z35*1</f>
        <v>1151041745</v>
      </c>
      <c r="C35" s="21" t="str">
        <f>+AA35</f>
        <v>ENTRANTE</v>
      </c>
      <c r="D35" s="3" t="str">
        <f>VLOOKUP(Q35,Code!E:F,2,0)</f>
        <v>Admisiones</v>
      </c>
      <c r="E35" s="3" t="s">
        <v>55</v>
      </c>
      <c r="F35" s="3">
        <f>+AP35</f>
        <v>37</v>
      </c>
      <c r="G35" s="3">
        <f>+S35</f>
        <v>27</v>
      </c>
      <c r="H35" s="22">
        <f>+HOUR(V35)</f>
        <v>18</v>
      </c>
      <c r="I35" s="22">
        <f>IFERROR(VLOOKUP(B35,MATRICULAS!A:B,2,0),0)*1</f>
        <v>0</v>
      </c>
      <c r="J35" s="27">
        <v>20260505</v>
      </c>
      <c r="K35" s="27">
        <v>149076682</v>
      </c>
      <c r="L35" s="27" t="s">
        <v>134</v>
      </c>
      <c r="M35" s="27" t="s">
        <v>56</v>
      </c>
      <c r="N35" s="27">
        <v>0</v>
      </c>
      <c r="O35" s="27">
        <v>0</v>
      </c>
      <c r="P35" s="27" t="s">
        <v>57</v>
      </c>
      <c r="Q35" s="27">
        <v>150</v>
      </c>
      <c r="R35" s="27" t="s">
        <v>174</v>
      </c>
      <c r="S35" s="27">
        <v>27</v>
      </c>
      <c r="T35" s="27" t="s">
        <v>58</v>
      </c>
      <c r="U35" s="27" t="s">
        <v>59</v>
      </c>
      <c r="V35" s="30">
        <v>46147.759814814817</v>
      </c>
      <c r="W35" s="30">
        <v>46147.759814814817</v>
      </c>
      <c r="X35" s="30">
        <v>46147.766701388886</v>
      </c>
      <c r="Y35" s="27" t="s">
        <v>117</v>
      </c>
      <c r="Z35" s="27" t="s">
        <v>1342</v>
      </c>
      <c r="AA35" s="27" t="s">
        <v>53</v>
      </c>
      <c r="AB35" s="27" t="s">
        <v>60</v>
      </c>
      <c r="AC35" s="27" t="s">
        <v>1343</v>
      </c>
      <c r="AD35" s="27" t="s">
        <v>118</v>
      </c>
      <c r="AE35" s="27" t="s">
        <v>61</v>
      </c>
      <c r="AF35" s="27" t="s">
        <v>62</v>
      </c>
      <c r="AG35" s="27" t="s">
        <v>63</v>
      </c>
      <c r="AH35" s="27">
        <v>0</v>
      </c>
      <c r="AI35" s="27">
        <v>0</v>
      </c>
      <c r="AJ35" s="27">
        <v>0</v>
      </c>
      <c r="AK35" s="27">
        <v>0</v>
      </c>
      <c r="AL35" s="27" t="s">
        <v>64</v>
      </c>
      <c r="AM35" s="27">
        <v>3</v>
      </c>
      <c r="AN35" s="27">
        <v>595</v>
      </c>
      <c r="AO35" s="27" t="s">
        <v>65</v>
      </c>
      <c r="AP35" s="27">
        <v>37</v>
      </c>
      <c r="AQ35" s="27">
        <v>1</v>
      </c>
      <c r="AR35" s="27">
        <v>2488660</v>
      </c>
      <c r="AS35" s="27" t="s">
        <v>118</v>
      </c>
      <c r="AT35" s="27" t="s">
        <v>1344</v>
      </c>
      <c r="AU35" s="31" t="s">
        <v>118</v>
      </c>
    </row>
    <row r="36" spans="1:47" x14ac:dyDescent="0.25">
      <c r="A36" s="7">
        <f>+CONCATENATE(DAY(V36),"/",MONTH(V36),"/",YEAR(V36),"")*1</f>
        <v>46147</v>
      </c>
      <c r="B36" s="23">
        <f>+Z36*1</f>
        <v>2477343294</v>
      </c>
      <c r="C36" s="21" t="str">
        <f>+AA36</f>
        <v>ENTRANTE</v>
      </c>
      <c r="D36" s="3" t="str">
        <f>VLOOKUP(Q36,Code!E:F,2,0)</f>
        <v>Admisiones</v>
      </c>
      <c r="E36" s="3" t="s">
        <v>55</v>
      </c>
      <c r="F36" s="3">
        <f>+AP36</f>
        <v>37</v>
      </c>
      <c r="G36" s="3">
        <f>+S36</f>
        <v>27</v>
      </c>
      <c r="H36" s="22">
        <f>+HOUR(V36)</f>
        <v>18</v>
      </c>
      <c r="I36" s="22">
        <f>IFERROR(VLOOKUP(B36,MATRICULAS!A:B,2,0),0)*1</f>
        <v>0</v>
      </c>
      <c r="J36" s="26">
        <v>20260505</v>
      </c>
      <c r="K36" s="26">
        <v>149076430</v>
      </c>
      <c r="L36" s="26" t="s">
        <v>134</v>
      </c>
      <c r="M36" s="26" t="s">
        <v>56</v>
      </c>
      <c r="N36" s="26">
        <v>0</v>
      </c>
      <c r="O36" s="26">
        <v>0</v>
      </c>
      <c r="P36" s="26" t="s">
        <v>57</v>
      </c>
      <c r="Q36" s="26">
        <v>150</v>
      </c>
      <c r="R36" s="26" t="s">
        <v>174</v>
      </c>
      <c r="S36" s="26">
        <v>27</v>
      </c>
      <c r="T36" s="26" t="s">
        <v>58</v>
      </c>
      <c r="U36" s="26" t="s">
        <v>59</v>
      </c>
      <c r="V36" s="28">
        <v>46147.75236111111</v>
      </c>
      <c r="W36" s="28">
        <v>46147.75236111111</v>
      </c>
      <c r="X36" s="28">
        <v>46147.752708333333</v>
      </c>
      <c r="Y36" s="26" t="s">
        <v>117</v>
      </c>
      <c r="Z36" s="26" t="s">
        <v>1345</v>
      </c>
      <c r="AA36" s="26" t="s">
        <v>53</v>
      </c>
      <c r="AB36" s="26" t="s">
        <v>60</v>
      </c>
      <c r="AC36" s="26" t="s">
        <v>1346</v>
      </c>
      <c r="AD36" s="26" t="s">
        <v>118</v>
      </c>
      <c r="AE36" s="26" t="s">
        <v>61</v>
      </c>
      <c r="AF36" s="26" t="s">
        <v>62</v>
      </c>
      <c r="AG36" s="26" t="s">
        <v>63</v>
      </c>
      <c r="AH36" s="26">
        <v>0</v>
      </c>
      <c r="AI36" s="26">
        <v>0</v>
      </c>
      <c r="AJ36" s="26">
        <v>0</v>
      </c>
      <c r="AK36" s="26">
        <v>0</v>
      </c>
      <c r="AL36" s="26" t="s">
        <v>64</v>
      </c>
      <c r="AM36" s="26">
        <v>3</v>
      </c>
      <c r="AN36" s="26">
        <v>30</v>
      </c>
      <c r="AO36" s="26" t="s">
        <v>65</v>
      </c>
      <c r="AP36" s="26">
        <v>37</v>
      </c>
      <c r="AQ36" s="26">
        <v>1</v>
      </c>
      <c r="AR36" s="26">
        <v>1186133</v>
      </c>
      <c r="AS36" s="26" t="s">
        <v>1347</v>
      </c>
      <c r="AT36" s="26" t="s">
        <v>1348</v>
      </c>
      <c r="AU36" s="29" t="s">
        <v>118</v>
      </c>
    </row>
    <row r="37" spans="1:47" x14ac:dyDescent="0.25">
      <c r="A37" s="7">
        <f>+CONCATENATE(DAY(V37),"/",MONTH(V37),"/",YEAR(V37),"")*1</f>
        <v>46147</v>
      </c>
      <c r="B37" s="23">
        <f>+Z37*1</f>
        <v>2645892969</v>
      </c>
      <c r="C37" s="21" t="str">
        <f>+AA37</f>
        <v>ENTRANTE</v>
      </c>
      <c r="D37" s="3" t="str">
        <f>VLOOKUP(Q37,Code!E:F,2,0)</f>
        <v>Admisiones</v>
      </c>
      <c r="E37" s="3" t="s">
        <v>55</v>
      </c>
      <c r="F37" s="3">
        <f>+AP37</f>
        <v>37</v>
      </c>
      <c r="G37" s="3">
        <f>+S37</f>
        <v>27</v>
      </c>
      <c r="H37" s="22">
        <f>+HOUR(V37)</f>
        <v>17</v>
      </c>
      <c r="I37" s="22">
        <f>IFERROR(VLOOKUP(B37,MATRICULAS!A:B,2,0),0)*1</f>
        <v>1</v>
      </c>
      <c r="J37" s="27">
        <v>20260505</v>
      </c>
      <c r="K37" s="27">
        <v>149075902</v>
      </c>
      <c r="L37" s="27" t="s">
        <v>134</v>
      </c>
      <c r="M37" s="27" t="s">
        <v>56</v>
      </c>
      <c r="N37" s="27">
        <v>0</v>
      </c>
      <c r="O37" s="27">
        <v>0</v>
      </c>
      <c r="P37" s="27" t="s">
        <v>57</v>
      </c>
      <c r="Q37" s="27">
        <v>150</v>
      </c>
      <c r="R37" s="27" t="s">
        <v>174</v>
      </c>
      <c r="S37" s="27">
        <v>27</v>
      </c>
      <c r="T37" s="27" t="s">
        <v>58</v>
      </c>
      <c r="U37" s="27" t="s">
        <v>59</v>
      </c>
      <c r="V37" s="30">
        <v>46147.734155092592</v>
      </c>
      <c r="W37" s="30">
        <v>46147.734155092592</v>
      </c>
      <c r="X37" s="30">
        <v>46147.739039351851</v>
      </c>
      <c r="Y37" s="27" t="s">
        <v>117</v>
      </c>
      <c r="Z37" s="27" t="s">
        <v>1213</v>
      </c>
      <c r="AA37" s="27" t="s">
        <v>53</v>
      </c>
      <c r="AB37" s="27" t="s">
        <v>60</v>
      </c>
      <c r="AC37" s="27" t="s">
        <v>1349</v>
      </c>
      <c r="AD37" s="27" t="s">
        <v>118</v>
      </c>
      <c r="AE37" s="27" t="s">
        <v>70</v>
      </c>
      <c r="AF37" s="27" t="s">
        <v>140</v>
      </c>
      <c r="AG37" s="27" t="s">
        <v>140</v>
      </c>
      <c r="AH37" s="27">
        <v>0</v>
      </c>
      <c r="AI37" s="27">
        <v>0</v>
      </c>
      <c r="AJ37" s="27">
        <v>0</v>
      </c>
      <c r="AK37" s="27">
        <v>0</v>
      </c>
      <c r="AL37" s="27" t="s">
        <v>64</v>
      </c>
      <c r="AM37" s="27">
        <v>3</v>
      </c>
      <c r="AN37" s="27">
        <v>422</v>
      </c>
      <c r="AO37" s="27" t="s">
        <v>65</v>
      </c>
      <c r="AP37" s="27">
        <v>37</v>
      </c>
      <c r="AQ37" s="27">
        <v>157</v>
      </c>
      <c r="AR37" s="27">
        <v>1661380</v>
      </c>
      <c r="AS37" s="27" t="s">
        <v>118</v>
      </c>
      <c r="AT37" s="27" t="s">
        <v>1350</v>
      </c>
      <c r="AU37" s="31" t="s">
        <v>118</v>
      </c>
    </row>
    <row r="38" spans="1:47" x14ac:dyDescent="0.25">
      <c r="A38" s="7">
        <f>+CONCATENATE(DAY(V38),"/",MONTH(V38),"/",YEAR(V38),"")*1</f>
        <v>46147</v>
      </c>
      <c r="B38" s="23">
        <f>+Z38*1</f>
        <v>1150012996</v>
      </c>
      <c r="C38" s="21" t="str">
        <f>+AA38</f>
        <v>ENTRANTE</v>
      </c>
      <c r="D38" s="3" t="str">
        <f>VLOOKUP(Q38,Code!E:F,2,0)</f>
        <v>Admisiones</v>
      </c>
      <c r="E38" s="3" t="s">
        <v>55</v>
      </c>
      <c r="F38" s="3">
        <f>+AP38</f>
        <v>37</v>
      </c>
      <c r="G38" s="3">
        <f>+S38</f>
        <v>27</v>
      </c>
      <c r="H38" s="22">
        <f>+HOUR(V38)</f>
        <v>17</v>
      </c>
      <c r="I38" s="22">
        <f>IFERROR(VLOOKUP(B38,MATRICULAS!A:B,2,0),0)*1</f>
        <v>0</v>
      </c>
      <c r="J38" s="26">
        <v>20260505</v>
      </c>
      <c r="K38" s="26">
        <v>149075644</v>
      </c>
      <c r="L38" s="26" t="s">
        <v>134</v>
      </c>
      <c r="M38" s="26" t="s">
        <v>56</v>
      </c>
      <c r="N38" s="26">
        <v>0</v>
      </c>
      <c r="O38" s="26">
        <v>0</v>
      </c>
      <c r="P38" s="26" t="s">
        <v>57</v>
      </c>
      <c r="Q38" s="26">
        <v>150</v>
      </c>
      <c r="R38" s="26" t="s">
        <v>174</v>
      </c>
      <c r="S38" s="26">
        <v>27</v>
      </c>
      <c r="T38" s="26" t="s">
        <v>58</v>
      </c>
      <c r="U38" s="26" t="s">
        <v>59</v>
      </c>
      <c r="V38" s="28">
        <v>46147.723958333336</v>
      </c>
      <c r="W38" s="28">
        <v>46147.723958333336</v>
      </c>
      <c r="X38" s="28">
        <v>46147.724930555552</v>
      </c>
      <c r="Y38" s="26" t="s">
        <v>117</v>
      </c>
      <c r="Z38" s="26" t="s">
        <v>1351</v>
      </c>
      <c r="AA38" s="26" t="s">
        <v>53</v>
      </c>
      <c r="AB38" s="26" t="s">
        <v>60</v>
      </c>
      <c r="AC38" s="26" t="s">
        <v>1352</v>
      </c>
      <c r="AD38" s="26" t="s">
        <v>118</v>
      </c>
      <c r="AE38" s="26" t="s">
        <v>61</v>
      </c>
      <c r="AF38" s="26" t="s">
        <v>62</v>
      </c>
      <c r="AG38" s="26" t="s">
        <v>63</v>
      </c>
      <c r="AH38" s="26">
        <v>0</v>
      </c>
      <c r="AI38" s="26">
        <v>0</v>
      </c>
      <c r="AJ38" s="26">
        <v>0</v>
      </c>
      <c r="AK38" s="26">
        <v>0</v>
      </c>
      <c r="AL38" s="26" t="s">
        <v>64</v>
      </c>
      <c r="AM38" s="26">
        <v>3</v>
      </c>
      <c r="AN38" s="26">
        <v>85</v>
      </c>
      <c r="AO38" s="26" t="s">
        <v>65</v>
      </c>
      <c r="AP38" s="26">
        <v>37</v>
      </c>
      <c r="AQ38" s="26">
        <v>202</v>
      </c>
      <c r="AR38" s="26">
        <v>2488583</v>
      </c>
      <c r="AS38" s="26" t="s">
        <v>118</v>
      </c>
      <c r="AT38" s="26" t="s">
        <v>1353</v>
      </c>
      <c r="AU38" s="29" t="s">
        <v>118</v>
      </c>
    </row>
    <row r="39" spans="1:47" x14ac:dyDescent="0.25">
      <c r="A39" s="7">
        <f>+CONCATENATE(DAY(V39),"/",MONTH(V39),"/",YEAR(V39),"")*1</f>
        <v>46147</v>
      </c>
      <c r="B39" s="23">
        <f>+Z39*1</f>
        <v>2314536428</v>
      </c>
      <c r="C39" s="21" t="str">
        <f>+AA39</f>
        <v>ENTRANTE</v>
      </c>
      <c r="D39" s="3" t="str">
        <f>VLOOKUP(Q39,Code!E:F,2,0)</f>
        <v>Admisiones</v>
      </c>
      <c r="E39" s="3" t="s">
        <v>55</v>
      </c>
      <c r="F39" s="3">
        <f>+AP39</f>
        <v>37</v>
      </c>
      <c r="G39" s="3">
        <f>+S39</f>
        <v>27</v>
      </c>
      <c r="H39" s="22">
        <f>+HOUR(V39)</f>
        <v>16</v>
      </c>
      <c r="I39" s="22">
        <f>IFERROR(VLOOKUP(B39,MATRICULAS!A:B,2,0),0)*1</f>
        <v>0</v>
      </c>
      <c r="J39" s="27">
        <v>20260505</v>
      </c>
      <c r="K39" s="27">
        <v>149075039</v>
      </c>
      <c r="L39" s="27" t="s">
        <v>134</v>
      </c>
      <c r="M39" s="27" t="s">
        <v>56</v>
      </c>
      <c r="N39" s="27">
        <v>0</v>
      </c>
      <c r="O39" s="27">
        <v>0</v>
      </c>
      <c r="P39" s="27" t="s">
        <v>57</v>
      </c>
      <c r="Q39" s="27">
        <v>150</v>
      </c>
      <c r="R39" s="27" t="s">
        <v>152</v>
      </c>
      <c r="S39" s="27">
        <v>27</v>
      </c>
      <c r="T39" s="27" t="s">
        <v>58</v>
      </c>
      <c r="U39" s="27" t="s">
        <v>59</v>
      </c>
      <c r="V39" s="30">
        <v>46147.705011574071</v>
      </c>
      <c r="W39" s="30">
        <v>46147.705011574071</v>
      </c>
      <c r="X39" s="30">
        <v>46147.710219907407</v>
      </c>
      <c r="Y39" s="27" t="s">
        <v>117</v>
      </c>
      <c r="Z39" s="27" t="s">
        <v>1354</v>
      </c>
      <c r="AA39" s="27" t="s">
        <v>53</v>
      </c>
      <c r="AB39" s="27" t="s">
        <v>60</v>
      </c>
      <c r="AC39" s="27" t="s">
        <v>1355</v>
      </c>
      <c r="AD39" s="27" t="s">
        <v>118</v>
      </c>
      <c r="AE39" s="27" t="s">
        <v>61</v>
      </c>
      <c r="AF39" s="27" t="s">
        <v>62</v>
      </c>
      <c r="AG39" s="27" t="s">
        <v>63</v>
      </c>
      <c r="AH39" s="27">
        <v>0</v>
      </c>
      <c r="AI39" s="27">
        <v>0</v>
      </c>
      <c r="AJ39" s="27">
        <v>0</v>
      </c>
      <c r="AK39" s="27">
        <v>0</v>
      </c>
      <c r="AL39" s="27" t="s">
        <v>64</v>
      </c>
      <c r="AM39" s="27">
        <v>3</v>
      </c>
      <c r="AN39" s="27">
        <v>451</v>
      </c>
      <c r="AO39" s="27" t="s">
        <v>65</v>
      </c>
      <c r="AP39" s="27">
        <v>37</v>
      </c>
      <c r="AQ39" s="27">
        <v>201</v>
      </c>
      <c r="AR39" s="27">
        <v>2487559</v>
      </c>
      <c r="AS39" s="27" t="s">
        <v>118</v>
      </c>
      <c r="AT39" s="27" t="s">
        <v>1356</v>
      </c>
      <c r="AU39" s="31" t="s">
        <v>118</v>
      </c>
    </row>
    <row r="40" spans="1:47" x14ac:dyDescent="0.25">
      <c r="A40" s="7">
        <f>+CONCATENATE(DAY(V40),"/",MONTH(V40),"/",YEAR(V40),"")*1</f>
        <v>46147</v>
      </c>
      <c r="B40" s="23">
        <f>+Z40*1</f>
        <v>1168126088</v>
      </c>
      <c r="C40" s="21" t="str">
        <f>+AA40</f>
        <v>ENTRANTE</v>
      </c>
      <c r="D40" s="3" t="str">
        <f>VLOOKUP(Q40,Code!E:F,2,0)</f>
        <v>Admisiones</v>
      </c>
      <c r="E40" s="3" t="s">
        <v>55</v>
      </c>
      <c r="F40" s="3">
        <f>+AP40</f>
        <v>37</v>
      </c>
      <c r="G40" s="3">
        <f>+S40</f>
        <v>27</v>
      </c>
      <c r="H40" s="22">
        <f>+HOUR(V40)</f>
        <v>16</v>
      </c>
      <c r="I40" s="22">
        <f>IFERROR(VLOOKUP(B40,MATRICULAS!A:B,2,0),0)*1</f>
        <v>0</v>
      </c>
      <c r="J40" s="26">
        <v>20260505</v>
      </c>
      <c r="K40" s="26">
        <v>149074952</v>
      </c>
      <c r="L40" s="26" t="s">
        <v>134</v>
      </c>
      <c r="M40" s="26" t="s">
        <v>56</v>
      </c>
      <c r="N40" s="26">
        <v>0</v>
      </c>
      <c r="O40" s="26">
        <v>0</v>
      </c>
      <c r="P40" s="26" t="s">
        <v>57</v>
      </c>
      <c r="Q40" s="26">
        <v>150</v>
      </c>
      <c r="R40" s="26" t="s">
        <v>174</v>
      </c>
      <c r="S40" s="26">
        <v>27</v>
      </c>
      <c r="T40" s="26" t="s">
        <v>58</v>
      </c>
      <c r="U40" s="26" t="s">
        <v>59</v>
      </c>
      <c r="V40" s="28">
        <v>46147.703518518516</v>
      </c>
      <c r="W40" s="28">
        <v>46147.703518518516</v>
      </c>
      <c r="X40" s="28">
        <v>46147.705972222226</v>
      </c>
      <c r="Y40" s="26" t="s">
        <v>117</v>
      </c>
      <c r="Z40" s="26" t="s">
        <v>1357</v>
      </c>
      <c r="AA40" s="26" t="s">
        <v>53</v>
      </c>
      <c r="AB40" s="26" t="s">
        <v>60</v>
      </c>
      <c r="AC40" s="26" t="s">
        <v>1358</v>
      </c>
      <c r="AD40" s="26" t="s">
        <v>118</v>
      </c>
      <c r="AE40" s="26" t="s">
        <v>61</v>
      </c>
      <c r="AF40" s="26" t="s">
        <v>62</v>
      </c>
      <c r="AG40" s="26" t="s">
        <v>63</v>
      </c>
      <c r="AH40" s="26">
        <v>0</v>
      </c>
      <c r="AI40" s="26">
        <v>0</v>
      </c>
      <c r="AJ40" s="26">
        <v>0</v>
      </c>
      <c r="AK40" s="26">
        <v>0</v>
      </c>
      <c r="AL40" s="26" t="s">
        <v>64</v>
      </c>
      <c r="AM40" s="26">
        <v>3</v>
      </c>
      <c r="AN40" s="26">
        <v>212</v>
      </c>
      <c r="AO40" s="26" t="s">
        <v>65</v>
      </c>
      <c r="AP40" s="26">
        <v>37</v>
      </c>
      <c r="AQ40" s="26">
        <v>1</v>
      </c>
      <c r="AR40" s="26">
        <v>2488559</v>
      </c>
      <c r="AS40" s="26" t="s">
        <v>118</v>
      </c>
      <c r="AT40" s="26" t="s">
        <v>1359</v>
      </c>
      <c r="AU40" s="29" t="s">
        <v>118</v>
      </c>
    </row>
    <row r="41" spans="1:47" x14ac:dyDescent="0.25">
      <c r="A41" s="7">
        <f>+CONCATENATE(DAY(V41),"/",MONTH(V41),"/",YEAR(V41),"")*1</f>
        <v>46147</v>
      </c>
      <c r="B41" s="23">
        <f>+Z41*1</f>
        <v>1122987042</v>
      </c>
      <c r="C41" s="21" t="str">
        <f>+AA41</f>
        <v>ENTRANTE</v>
      </c>
      <c r="D41" s="3" t="str">
        <f>VLOOKUP(Q41,Code!E:F,2,0)</f>
        <v>Admisiones</v>
      </c>
      <c r="E41" s="3" t="s">
        <v>55</v>
      </c>
      <c r="F41" s="3">
        <f>+AP41</f>
        <v>37</v>
      </c>
      <c r="G41" s="3">
        <f>+S41</f>
        <v>27</v>
      </c>
      <c r="H41" s="22">
        <f>+HOUR(V41)</f>
        <v>16</v>
      </c>
      <c r="I41" s="22">
        <f>IFERROR(VLOOKUP(B41,MATRICULAS!A:B,2,0),0)*1</f>
        <v>0</v>
      </c>
      <c r="J41" s="27">
        <v>20260505</v>
      </c>
      <c r="K41" s="27">
        <v>149073607</v>
      </c>
      <c r="L41" s="27" t="s">
        <v>134</v>
      </c>
      <c r="M41" s="27" t="s">
        <v>56</v>
      </c>
      <c r="N41" s="27">
        <v>0</v>
      </c>
      <c r="O41" s="27">
        <v>0</v>
      </c>
      <c r="P41" s="27" t="s">
        <v>57</v>
      </c>
      <c r="Q41" s="27">
        <v>150</v>
      </c>
      <c r="R41" s="27" t="s">
        <v>152</v>
      </c>
      <c r="S41" s="27">
        <v>27</v>
      </c>
      <c r="T41" s="27" t="s">
        <v>58</v>
      </c>
      <c r="U41" s="27" t="s">
        <v>59</v>
      </c>
      <c r="V41" s="30">
        <v>46147.67324074074</v>
      </c>
      <c r="W41" s="30">
        <v>46147.67324074074</v>
      </c>
      <c r="X41" s="30">
        <v>46147.677870370368</v>
      </c>
      <c r="Y41" s="27" t="s">
        <v>117</v>
      </c>
      <c r="Z41" s="27" t="s">
        <v>1360</v>
      </c>
      <c r="AA41" s="27" t="s">
        <v>53</v>
      </c>
      <c r="AB41" s="27" t="s">
        <v>60</v>
      </c>
      <c r="AC41" s="27" t="s">
        <v>1361</v>
      </c>
      <c r="AD41" s="27" t="s">
        <v>118</v>
      </c>
      <c r="AE41" s="27" t="s">
        <v>66</v>
      </c>
      <c r="AF41" s="27" t="s">
        <v>67</v>
      </c>
      <c r="AG41" s="27" t="s">
        <v>67</v>
      </c>
      <c r="AH41" s="27">
        <v>0</v>
      </c>
      <c r="AI41" s="27">
        <v>0</v>
      </c>
      <c r="AJ41" s="27">
        <v>0</v>
      </c>
      <c r="AK41" s="27">
        <v>0</v>
      </c>
      <c r="AL41" s="27" t="s">
        <v>64</v>
      </c>
      <c r="AM41" s="27">
        <v>3</v>
      </c>
      <c r="AN41" s="27">
        <v>400</v>
      </c>
      <c r="AO41" s="27" t="s">
        <v>65</v>
      </c>
      <c r="AP41" s="27">
        <v>37</v>
      </c>
      <c r="AQ41" s="27">
        <v>201</v>
      </c>
      <c r="AR41" s="27">
        <v>2488496</v>
      </c>
      <c r="AS41" s="27" t="s">
        <v>118</v>
      </c>
      <c r="AT41" s="27" t="s">
        <v>1362</v>
      </c>
      <c r="AU41" s="31" t="s">
        <v>118</v>
      </c>
    </row>
    <row r="42" spans="1:47" x14ac:dyDescent="0.25">
      <c r="A42" s="7">
        <f>+CONCATENATE(DAY(V42),"/",MONTH(V42),"/",YEAR(V42),"")*1</f>
        <v>46147</v>
      </c>
      <c r="B42" s="23">
        <f>+Z42*1</f>
        <v>1160472080</v>
      </c>
      <c r="C42" s="21" t="str">
        <f>+AA42</f>
        <v>ENTRANTE</v>
      </c>
      <c r="D42" s="3" t="str">
        <f>VLOOKUP(Q42,Code!E:F,2,0)</f>
        <v>Admisiones</v>
      </c>
      <c r="E42" s="3" t="s">
        <v>55</v>
      </c>
      <c r="F42" s="3">
        <f>+AP42</f>
        <v>37</v>
      </c>
      <c r="G42" s="3">
        <f>+S42</f>
        <v>27</v>
      </c>
      <c r="H42" s="22">
        <f>+HOUR(V42)</f>
        <v>15</v>
      </c>
      <c r="I42" s="22">
        <f>IFERROR(VLOOKUP(B42,MATRICULAS!A:B,2,0),0)*1</f>
        <v>0</v>
      </c>
      <c r="J42" s="26">
        <v>20260505</v>
      </c>
      <c r="K42" s="26">
        <v>149073269</v>
      </c>
      <c r="L42" s="26" t="s">
        <v>134</v>
      </c>
      <c r="M42" s="26" t="s">
        <v>56</v>
      </c>
      <c r="N42" s="26">
        <v>0</v>
      </c>
      <c r="O42" s="26">
        <v>0</v>
      </c>
      <c r="P42" s="26" t="s">
        <v>57</v>
      </c>
      <c r="Q42" s="26">
        <v>150</v>
      </c>
      <c r="R42" s="26" t="s">
        <v>163</v>
      </c>
      <c r="S42" s="26">
        <v>27</v>
      </c>
      <c r="T42" s="26" t="s">
        <v>58</v>
      </c>
      <c r="U42" s="26" t="s">
        <v>59</v>
      </c>
      <c r="V42" s="28">
        <v>46147.665555555555</v>
      </c>
      <c r="W42" s="28">
        <v>46147.665555555555</v>
      </c>
      <c r="X42" s="28">
        <v>46147.672847222224</v>
      </c>
      <c r="Y42" s="26" t="s">
        <v>117</v>
      </c>
      <c r="Z42" s="26" t="s">
        <v>937</v>
      </c>
      <c r="AA42" s="26" t="s">
        <v>53</v>
      </c>
      <c r="AB42" s="26" t="s">
        <v>60</v>
      </c>
      <c r="AC42" s="26" t="s">
        <v>1363</v>
      </c>
      <c r="AD42" s="26" t="s">
        <v>118</v>
      </c>
      <c r="AE42" s="26" t="s">
        <v>61</v>
      </c>
      <c r="AF42" s="26" t="s">
        <v>62</v>
      </c>
      <c r="AG42" s="26" t="s">
        <v>63</v>
      </c>
      <c r="AH42" s="26">
        <v>0</v>
      </c>
      <c r="AI42" s="26">
        <v>0</v>
      </c>
      <c r="AJ42" s="26">
        <v>0</v>
      </c>
      <c r="AK42" s="26">
        <v>0</v>
      </c>
      <c r="AL42" s="26" t="s">
        <v>64</v>
      </c>
      <c r="AM42" s="26">
        <v>3</v>
      </c>
      <c r="AN42" s="26">
        <v>630</v>
      </c>
      <c r="AO42" s="26" t="s">
        <v>65</v>
      </c>
      <c r="AP42" s="26">
        <v>37</v>
      </c>
      <c r="AQ42" s="26">
        <v>0</v>
      </c>
      <c r="AR42" s="26">
        <v>0</v>
      </c>
      <c r="AS42" s="26" t="s">
        <v>118</v>
      </c>
      <c r="AT42" s="26" t="s">
        <v>1364</v>
      </c>
      <c r="AU42" s="29" t="s">
        <v>118</v>
      </c>
    </row>
    <row r="43" spans="1:47" x14ac:dyDescent="0.25">
      <c r="A43" s="7">
        <f>+CONCATENATE(DAY(V43),"/",MONTH(V43),"/",YEAR(V43),"")*1</f>
        <v>46147</v>
      </c>
      <c r="B43" s="23">
        <f>+Z43*1</f>
        <v>1127972034</v>
      </c>
      <c r="C43" s="21" t="str">
        <f>+AA43</f>
        <v>ENTRANTE</v>
      </c>
      <c r="D43" s="3" t="str">
        <f>VLOOKUP(Q43,Code!E:F,2,0)</f>
        <v>Admisiones</v>
      </c>
      <c r="E43" s="3" t="s">
        <v>55</v>
      </c>
      <c r="F43" s="3">
        <f>+AP43</f>
        <v>37</v>
      </c>
      <c r="G43" s="3">
        <f>+S43</f>
        <v>27</v>
      </c>
      <c r="H43" s="22">
        <f>+HOUR(V43)</f>
        <v>15</v>
      </c>
      <c r="I43" s="22">
        <f>IFERROR(VLOOKUP(B43,MATRICULAS!A:B,2,0),0)*1</f>
        <v>0</v>
      </c>
      <c r="J43" s="27">
        <v>20260505</v>
      </c>
      <c r="K43" s="27">
        <v>149072975</v>
      </c>
      <c r="L43" s="27" t="s">
        <v>134</v>
      </c>
      <c r="M43" s="27" t="s">
        <v>56</v>
      </c>
      <c r="N43" s="27">
        <v>0</v>
      </c>
      <c r="O43" s="27">
        <v>0</v>
      </c>
      <c r="P43" s="27" t="s">
        <v>57</v>
      </c>
      <c r="Q43" s="27">
        <v>150</v>
      </c>
      <c r="R43" s="27" t="s">
        <v>152</v>
      </c>
      <c r="S43" s="27">
        <v>27</v>
      </c>
      <c r="T43" s="27" t="s">
        <v>58</v>
      </c>
      <c r="U43" s="27" t="s">
        <v>59</v>
      </c>
      <c r="V43" s="30">
        <v>46147.658703703702</v>
      </c>
      <c r="W43" s="30">
        <v>46147.658703703702</v>
      </c>
      <c r="X43" s="30">
        <v>46147.665694444448</v>
      </c>
      <c r="Y43" s="27" t="s">
        <v>117</v>
      </c>
      <c r="Z43" s="27" t="s">
        <v>1365</v>
      </c>
      <c r="AA43" s="27" t="s">
        <v>53</v>
      </c>
      <c r="AB43" s="27" t="s">
        <v>60</v>
      </c>
      <c r="AC43" s="27" t="s">
        <v>1366</v>
      </c>
      <c r="AD43" s="27" t="s">
        <v>118</v>
      </c>
      <c r="AE43" s="27" t="s">
        <v>66</v>
      </c>
      <c r="AF43" s="27" t="s">
        <v>67</v>
      </c>
      <c r="AG43" s="27" t="s">
        <v>67</v>
      </c>
      <c r="AH43" s="27">
        <v>0</v>
      </c>
      <c r="AI43" s="27">
        <v>0</v>
      </c>
      <c r="AJ43" s="27">
        <v>0</v>
      </c>
      <c r="AK43" s="27">
        <v>0</v>
      </c>
      <c r="AL43" s="27" t="s">
        <v>64</v>
      </c>
      <c r="AM43" s="27">
        <v>3</v>
      </c>
      <c r="AN43" s="27">
        <v>604</v>
      </c>
      <c r="AO43" s="27" t="s">
        <v>65</v>
      </c>
      <c r="AP43" s="27">
        <v>37</v>
      </c>
      <c r="AQ43" s="27">
        <v>1</v>
      </c>
      <c r="AR43" s="27">
        <v>2488486</v>
      </c>
      <c r="AS43" s="27" t="s">
        <v>118</v>
      </c>
      <c r="AT43" s="27" t="s">
        <v>1367</v>
      </c>
      <c r="AU43" s="31" t="s">
        <v>118</v>
      </c>
    </row>
    <row r="44" spans="1:47" x14ac:dyDescent="0.25">
      <c r="A44" s="7">
        <f>+CONCATENATE(DAY(V44),"/",MONTH(V44),"/",YEAR(V44),"")*1</f>
        <v>46147</v>
      </c>
      <c r="B44" s="23">
        <f>+Z44*1</f>
        <v>1159480846</v>
      </c>
      <c r="C44" s="21" t="str">
        <f>+AA44</f>
        <v>ENTRANTE</v>
      </c>
      <c r="D44" s="3" t="str">
        <f>VLOOKUP(Q44,Code!E:F,2,0)</f>
        <v>Admisiones</v>
      </c>
      <c r="E44" s="3" t="s">
        <v>55</v>
      </c>
      <c r="F44" s="3">
        <f>+AP44</f>
        <v>37</v>
      </c>
      <c r="G44" s="3">
        <f>+S44</f>
        <v>27</v>
      </c>
      <c r="H44" s="22">
        <f>+HOUR(V44)</f>
        <v>15</v>
      </c>
      <c r="I44" s="22">
        <f>IFERROR(VLOOKUP(B44,MATRICULAS!A:B,2,0),0)*1</f>
        <v>0</v>
      </c>
      <c r="J44" s="26">
        <v>20260505</v>
      </c>
      <c r="K44" s="26">
        <v>149072618</v>
      </c>
      <c r="L44" s="26" t="s">
        <v>134</v>
      </c>
      <c r="M44" s="26" t="s">
        <v>56</v>
      </c>
      <c r="N44" s="26">
        <v>0</v>
      </c>
      <c r="O44" s="26">
        <v>0</v>
      </c>
      <c r="P44" s="26" t="s">
        <v>57</v>
      </c>
      <c r="Q44" s="26">
        <v>150</v>
      </c>
      <c r="R44" s="26" t="s">
        <v>152</v>
      </c>
      <c r="S44" s="26">
        <v>27</v>
      </c>
      <c r="T44" s="26" t="s">
        <v>58</v>
      </c>
      <c r="U44" s="26" t="s">
        <v>59</v>
      </c>
      <c r="V44" s="28">
        <v>46147.650682870371</v>
      </c>
      <c r="W44" s="28">
        <v>46147.650682870371</v>
      </c>
      <c r="X44" s="28">
        <v>46147.65425925926</v>
      </c>
      <c r="Y44" s="26" t="s">
        <v>117</v>
      </c>
      <c r="Z44" s="26" t="s">
        <v>1284</v>
      </c>
      <c r="AA44" s="26" t="s">
        <v>53</v>
      </c>
      <c r="AB44" s="26" t="s">
        <v>60</v>
      </c>
      <c r="AC44" s="26" t="s">
        <v>1368</v>
      </c>
      <c r="AD44" s="26" t="s">
        <v>118</v>
      </c>
      <c r="AE44" s="26" t="s">
        <v>61</v>
      </c>
      <c r="AF44" s="26" t="s">
        <v>62</v>
      </c>
      <c r="AG44" s="26" t="s">
        <v>63</v>
      </c>
      <c r="AH44" s="26">
        <v>0</v>
      </c>
      <c r="AI44" s="26">
        <v>0</v>
      </c>
      <c r="AJ44" s="26">
        <v>0</v>
      </c>
      <c r="AK44" s="26">
        <v>0</v>
      </c>
      <c r="AL44" s="26" t="s">
        <v>64</v>
      </c>
      <c r="AM44" s="26">
        <v>3</v>
      </c>
      <c r="AN44" s="26">
        <v>310</v>
      </c>
      <c r="AO44" s="26" t="s">
        <v>65</v>
      </c>
      <c r="AP44" s="26">
        <v>37</v>
      </c>
      <c r="AQ44" s="26">
        <v>0</v>
      </c>
      <c r="AR44" s="26">
        <v>0</v>
      </c>
      <c r="AS44" s="26" t="s">
        <v>118</v>
      </c>
      <c r="AT44" s="26" t="s">
        <v>1369</v>
      </c>
      <c r="AU44" s="29" t="s">
        <v>118</v>
      </c>
    </row>
    <row r="45" spans="1:47" x14ac:dyDescent="0.25">
      <c r="A45" s="7">
        <f>+CONCATENATE(DAY(V45),"/",MONTH(V45),"/",YEAR(V45),"")*1</f>
        <v>46147</v>
      </c>
      <c r="B45" s="23">
        <f>+Z45*1</f>
        <v>1162311873</v>
      </c>
      <c r="C45" s="21" t="str">
        <f>+AA45</f>
        <v>ENTRANTE</v>
      </c>
      <c r="D45" s="3" t="str">
        <f>VLOOKUP(Q45,Code!E:F,2,0)</f>
        <v>Admisiones</v>
      </c>
      <c r="E45" s="3" t="s">
        <v>55</v>
      </c>
      <c r="F45" s="3">
        <f>+AP45</f>
        <v>37</v>
      </c>
      <c r="G45" s="3">
        <f>+S45</f>
        <v>26</v>
      </c>
      <c r="H45" s="22">
        <f>+HOUR(V45)</f>
        <v>14</v>
      </c>
      <c r="I45" s="22">
        <f>IFERROR(VLOOKUP(B45,MATRICULAS!A:B,2,0),0)*1</f>
        <v>1</v>
      </c>
      <c r="J45" s="27">
        <v>20260505</v>
      </c>
      <c r="K45" s="27">
        <v>149071293</v>
      </c>
      <c r="L45" s="27" t="s">
        <v>134</v>
      </c>
      <c r="M45" s="27" t="s">
        <v>56</v>
      </c>
      <c r="N45" s="27">
        <v>0</v>
      </c>
      <c r="O45" s="27">
        <v>0</v>
      </c>
      <c r="P45" s="27" t="s">
        <v>57</v>
      </c>
      <c r="Q45" s="27">
        <v>150</v>
      </c>
      <c r="R45" s="27" t="s">
        <v>153</v>
      </c>
      <c r="S45" s="27">
        <v>26</v>
      </c>
      <c r="T45" s="27" t="s">
        <v>58</v>
      </c>
      <c r="U45" s="27" t="s">
        <v>59</v>
      </c>
      <c r="V45" s="30">
        <v>46147.612650462965</v>
      </c>
      <c r="W45" s="30">
        <v>46147.612650462965</v>
      </c>
      <c r="X45" s="30">
        <v>46147.615717592591</v>
      </c>
      <c r="Y45" s="27" t="s">
        <v>117</v>
      </c>
      <c r="Z45" s="27" t="s">
        <v>1370</v>
      </c>
      <c r="AA45" s="27" t="s">
        <v>53</v>
      </c>
      <c r="AB45" s="27" t="s">
        <v>60</v>
      </c>
      <c r="AC45" s="27" t="s">
        <v>1371</v>
      </c>
      <c r="AD45" s="27" t="s">
        <v>118</v>
      </c>
      <c r="AE45" s="27" t="s">
        <v>61</v>
      </c>
      <c r="AF45" s="27" t="s">
        <v>62</v>
      </c>
      <c r="AG45" s="27" t="s">
        <v>63</v>
      </c>
      <c r="AH45" s="27">
        <v>0</v>
      </c>
      <c r="AI45" s="27">
        <v>0</v>
      </c>
      <c r="AJ45" s="27">
        <v>0</v>
      </c>
      <c r="AK45" s="27">
        <v>0</v>
      </c>
      <c r="AL45" s="27" t="s">
        <v>64</v>
      </c>
      <c r="AM45" s="27">
        <v>3</v>
      </c>
      <c r="AN45" s="27">
        <v>266</v>
      </c>
      <c r="AO45" s="27" t="s">
        <v>65</v>
      </c>
      <c r="AP45" s="27">
        <v>37</v>
      </c>
      <c r="AQ45" s="27">
        <v>73</v>
      </c>
      <c r="AR45" s="27">
        <v>1922092</v>
      </c>
      <c r="AS45" s="27" t="s">
        <v>1372</v>
      </c>
      <c r="AT45" s="27" t="s">
        <v>1373</v>
      </c>
      <c r="AU45" s="31" t="s">
        <v>118</v>
      </c>
    </row>
    <row r="46" spans="1:47" x14ac:dyDescent="0.25">
      <c r="A46" s="7">
        <f>+CONCATENATE(DAY(V46),"/",MONTH(V46),"/",YEAR(V46),"")*1</f>
        <v>46147</v>
      </c>
      <c r="B46" s="23">
        <f>+Z46*1</f>
        <v>1130025940</v>
      </c>
      <c r="C46" s="21" t="str">
        <f>+AA46</f>
        <v>ENTRANTE</v>
      </c>
      <c r="D46" s="3" t="str">
        <f>VLOOKUP(Q46,Code!E:F,2,0)</f>
        <v>Admisiones</v>
      </c>
      <c r="E46" s="3" t="s">
        <v>55</v>
      </c>
      <c r="F46" s="3">
        <f>+AP46</f>
        <v>37</v>
      </c>
      <c r="G46" s="3">
        <f>+S46</f>
        <v>26</v>
      </c>
      <c r="H46" s="22">
        <f>+HOUR(V46)</f>
        <v>14</v>
      </c>
      <c r="I46" s="22">
        <f>IFERROR(VLOOKUP(B46,MATRICULAS!A:B,2,0),0)*1</f>
        <v>0</v>
      </c>
      <c r="J46" s="26">
        <v>20260505</v>
      </c>
      <c r="K46" s="26">
        <v>149070653</v>
      </c>
      <c r="L46" s="26" t="s">
        <v>134</v>
      </c>
      <c r="M46" s="26" t="s">
        <v>56</v>
      </c>
      <c r="N46" s="26">
        <v>0</v>
      </c>
      <c r="O46" s="26">
        <v>0</v>
      </c>
      <c r="P46" s="26" t="s">
        <v>57</v>
      </c>
      <c r="Q46" s="26">
        <v>150</v>
      </c>
      <c r="R46" s="26" t="s">
        <v>145</v>
      </c>
      <c r="S46" s="26">
        <v>26</v>
      </c>
      <c r="T46" s="26" t="s">
        <v>58</v>
      </c>
      <c r="U46" s="26" t="s">
        <v>59</v>
      </c>
      <c r="V46" s="28">
        <v>46147.59648148148</v>
      </c>
      <c r="W46" s="28">
        <v>46147.59648148148</v>
      </c>
      <c r="X46" s="28">
        <v>46147.601817129631</v>
      </c>
      <c r="Y46" s="26" t="s">
        <v>117</v>
      </c>
      <c r="Z46" s="26" t="s">
        <v>1374</v>
      </c>
      <c r="AA46" s="26" t="s">
        <v>53</v>
      </c>
      <c r="AB46" s="26" t="s">
        <v>60</v>
      </c>
      <c r="AC46" s="26" t="s">
        <v>1375</v>
      </c>
      <c r="AD46" s="26" t="s">
        <v>118</v>
      </c>
      <c r="AE46" s="26" t="s">
        <v>61</v>
      </c>
      <c r="AF46" s="26" t="s">
        <v>62</v>
      </c>
      <c r="AG46" s="26" t="s">
        <v>63</v>
      </c>
      <c r="AH46" s="26">
        <v>0</v>
      </c>
      <c r="AI46" s="26">
        <v>0</v>
      </c>
      <c r="AJ46" s="26">
        <v>0</v>
      </c>
      <c r="AK46" s="26">
        <v>0</v>
      </c>
      <c r="AL46" s="26" t="s">
        <v>64</v>
      </c>
      <c r="AM46" s="26">
        <v>3</v>
      </c>
      <c r="AN46" s="26">
        <v>461</v>
      </c>
      <c r="AO46" s="26" t="s">
        <v>65</v>
      </c>
      <c r="AP46" s="26">
        <v>37</v>
      </c>
      <c r="AQ46" s="26">
        <v>202</v>
      </c>
      <c r="AR46" s="26">
        <v>2486475</v>
      </c>
      <c r="AS46" s="26" t="s">
        <v>118</v>
      </c>
      <c r="AT46" s="26" t="s">
        <v>1376</v>
      </c>
      <c r="AU46" s="29" t="s">
        <v>118</v>
      </c>
    </row>
    <row r="47" spans="1:47" x14ac:dyDescent="0.25">
      <c r="A47" s="7">
        <f>+CONCATENATE(DAY(V47),"/",MONTH(V47),"/",YEAR(V47),"")*1</f>
        <v>46147</v>
      </c>
      <c r="B47" s="23">
        <f>+Z47*1</f>
        <v>1161212996</v>
      </c>
      <c r="C47" s="21" t="str">
        <f>+AA47</f>
        <v>ENTRANTE</v>
      </c>
      <c r="D47" s="3" t="str">
        <f>VLOOKUP(Q47,Code!E:F,2,0)</f>
        <v>Admisiones</v>
      </c>
      <c r="E47" s="3" t="s">
        <v>55</v>
      </c>
      <c r="F47" s="3">
        <f>+AP47</f>
        <v>37</v>
      </c>
      <c r="G47" s="3">
        <f>+S47</f>
        <v>26</v>
      </c>
      <c r="H47" s="22">
        <f>+HOUR(V47)</f>
        <v>13</v>
      </c>
      <c r="I47" s="22">
        <f>IFERROR(VLOOKUP(B47,MATRICULAS!A:B,2,0),0)*1</f>
        <v>0</v>
      </c>
      <c r="J47" s="27">
        <v>20260505</v>
      </c>
      <c r="K47" s="27">
        <v>149068973</v>
      </c>
      <c r="L47" s="27" t="s">
        <v>134</v>
      </c>
      <c r="M47" s="27" t="s">
        <v>56</v>
      </c>
      <c r="N47" s="27">
        <v>0</v>
      </c>
      <c r="O47" s="27">
        <v>0</v>
      </c>
      <c r="P47" s="27" t="s">
        <v>57</v>
      </c>
      <c r="Q47" s="27">
        <v>150</v>
      </c>
      <c r="R47" s="27" t="s">
        <v>145</v>
      </c>
      <c r="S47" s="27">
        <v>26</v>
      </c>
      <c r="T47" s="27" t="s">
        <v>58</v>
      </c>
      <c r="U47" s="27" t="s">
        <v>59</v>
      </c>
      <c r="V47" s="30">
        <v>46147.551180555558</v>
      </c>
      <c r="W47" s="30">
        <v>46147.551180555558</v>
      </c>
      <c r="X47" s="30">
        <v>46147.564826388887</v>
      </c>
      <c r="Y47" s="27" t="s">
        <v>117</v>
      </c>
      <c r="Z47" s="27" t="s">
        <v>1377</v>
      </c>
      <c r="AA47" s="27" t="s">
        <v>53</v>
      </c>
      <c r="AB47" s="27" t="s">
        <v>60</v>
      </c>
      <c r="AC47" s="27" t="s">
        <v>1378</v>
      </c>
      <c r="AD47" s="27" t="s">
        <v>118</v>
      </c>
      <c r="AE47" s="27" t="s">
        <v>61</v>
      </c>
      <c r="AF47" s="27" t="s">
        <v>62</v>
      </c>
      <c r="AG47" s="27" t="s">
        <v>63</v>
      </c>
      <c r="AH47" s="27">
        <v>0</v>
      </c>
      <c r="AI47" s="27">
        <v>0</v>
      </c>
      <c r="AJ47" s="27">
        <v>0</v>
      </c>
      <c r="AK47" s="27">
        <v>0</v>
      </c>
      <c r="AL47" s="27" t="s">
        <v>64</v>
      </c>
      <c r="AM47" s="27">
        <v>3</v>
      </c>
      <c r="AN47" s="27">
        <v>1179</v>
      </c>
      <c r="AO47" s="27" t="s">
        <v>65</v>
      </c>
      <c r="AP47" s="27">
        <v>37</v>
      </c>
      <c r="AQ47" s="27">
        <v>1</v>
      </c>
      <c r="AR47" s="27">
        <v>2129549</v>
      </c>
      <c r="AS47" s="27" t="s">
        <v>1379</v>
      </c>
      <c r="AT47" s="27" t="s">
        <v>1380</v>
      </c>
      <c r="AU47" s="31" t="s">
        <v>118</v>
      </c>
    </row>
    <row r="48" spans="1:47" x14ac:dyDescent="0.25">
      <c r="A48" s="7">
        <f>+CONCATENATE(DAY(V48),"/",MONTH(V48),"/",YEAR(V48),"")*1</f>
        <v>46147</v>
      </c>
      <c r="B48" s="23">
        <f>+Z48*1</f>
        <v>1144923455</v>
      </c>
      <c r="C48" s="21" t="str">
        <f>+AA48</f>
        <v>ENTRANTE</v>
      </c>
      <c r="D48" s="3" t="str">
        <f>VLOOKUP(Q48,Code!E:F,2,0)</f>
        <v>Admisiones</v>
      </c>
      <c r="E48" s="3" t="s">
        <v>55</v>
      </c>
      <c r="F48" s="3">
        <f>+AP48</f>
        <v>37</v>
      </c>
      <c r="G48" s="3">
        <f>+S48</f>
        <v>26</v>
      </c>
      <c r="H48" s="22">
        <f>+HOUR(V48)</f>
        <v>12</v>
      </c>
      <c r="I48" s="22">
        <f>IFERROR(VLOOKUP(B48,MATRICULAS!A:B,2,0),0)*1</f>
        <v>0</v>
      </c>
      <c r="J48" s="26">
        <v>20260505</v>
      </c>
      <c r="K48" s="26">
        <v>149068041</v>
      </c>
      <c r="L48" s="26" t="s">
        <v>134</v>
      </c>
      <c r="M48" s="26" t="s">
        <v>56</v>
      </c>
      <c r="N48" s="26">
        <v>0</v>
      </c>
      <c r="O48" s="26">
        <v>0</v>
      </c>
      <c r="P48" s="26" t="s">
        <v>57</v>
      </c>
      <c r="Q48" s="26">
        <v>150</v>
      </c>
      <c r="R48" s="26" t="s">
        <v>145</v>
      </c>
      <c r="S48" s="26">
        <v>26</v>
      </c>
      <c r="T48" s="26" t="s">
        <v>58</v>
      </c>
      <c r="U48" s="26" t="s">
        <v>59</v>
      </c>
      <c r="V48" s="28">
        <v>46147.528356481482</v>
      </c>
      <c r="W48" s="28">
        <v>46147.528356481482</v>
      </c>
      <c r="X48" s="28">
        <v>46147.532569444447</v>
      </c>
      <c r="Y48" s="26" t="s">
        <v>117</v>
      </c>
      <c r="Z48" s="26" t="s">
        <v>1381</v>
      </c>
      <c r="AA48" s="26" t="s">
        <v>53</v>
      </c>
      <c r="AB48" s="26" t="s">
        <v>60</v>
      </c>
      <c r="AC48" s="26" t="s">
        <v>1382</v>
      </c>
      <c r="AD48" s="26" t="s">
        <v>118</v>
      </c>
      <c r="AE48" s="26" t="s">
        <v>61</v>
      </c>
      <c r="AF48" s="26" t="s">
        <v>62</v>
      </c>
      <c r="AG48" s="26" t="s">
        <v>63</v>
      </c>
      <c r="AH48" s="26">
        <v>0</v>
      </c>
      <c r="AI48" s="26">
        <v>0</v>
      </c>
      <c r="AJ48" s="26">
        <v>0</v>
      </c>
      <c r="AK48" s="26">
        <v>0</v>
      </c>
      <c r="AL48" s="26" t="s">
        <v>64</v>
      </c>
      <c r="AM48" s="26">
        <v>3</v>
      </c>
      <c r="AN48" s="26">
        <v>365</v>
      </c>
      <c r="AO48" s="26" t="s">
        <v>65</v>
      </c>
      <c r="AP48" s="26">
        <v>37</v>
      </c>
      <c r="AQ48" s="26">
        <v>201</v>
      </c>
      <c r="AR48" s="26">
        <v>2488058</v>
      </c>
      <c r="AS48" s="26" t="s">
        <v>118</v>
      </c>
      <c r="AT48" s="26" t="s">
        <v>1383</v>
      </c>
      <c r="AU48" s="29" t="s">
        <v>118</v>
      </c>
    </row>
    <row r="49" spans="1:47" x14ac:dyDescent="0.25">
      <c r="A49" s="7">
        <f>+CONCATENATE(DAY(V49),"/",MONTH(V49),"/",YEAR(V49),"")*1</f>
        <v>46147</v>
      </c>
      <c r="B49" s="23">
        <f>+Z49*1</f>
        <v>1125557416</v>
      </c>
      <c r="C49" s="21" t="str">
        <f>+AA49</f>
        <v>ENTRANTE</v>
      </c>
      <c r="D49" s="3" t="str">
        <f>VLOOKUP(Q49,Code!E:F,2,0)</f>
        <v>Admisiones</v>
      </c>
      <c r="E49" s="3" t="s">
        <v>55</v>
      </c>
      <c r="F49" s="3">
        <f>+AP49</f>
        <v>37</v>
      </c>
      <c r="G49" s="3">
        <f>+S49</f>
        <v>26</v>
      </c>
      <c r="H49" s="22">
        <f>+HOUR(V49)</f>
        <v>11</v>
      </c>
      <c r="I49" s="22">
        <f>IFERROR(VLOOKUP(B49,MATRICULAS!A:B,2,0),0)*1</f>
        <v>0</v>
      </c>
      <c r="J49" s="27">
        <v>20260505</v>
      </c>
      <c r="K49" s="27">
        <v>149066079</v>
      </c>
      <c r="L49" s="27" t="s">
        <v>134</v>
      </c>
      <c r="M49" s="27" t="s">
        <v>56</v>
      </c>
      <c r="N49" s="27">
        <v>0</v>
      </c>
      <c r="O49" s="27">
        <v>0</v>
      </c>
      <c r="P49" s="27" t="s">
        <v>57</v>
      </c>
      <c r="Q49" s="27">
        <v>150</v>
      </c>
      <c r="R49" s="27" t="s">
        <v>145</v>
      </c>
      <c r="S49" s="27">
        <v>26</v>
      </c>
      <c r="T49" s="27" t="s">
        <v>58</v>
      </c>
      <c r="U49" s="27" t="s">
        <v>59</v>
      </c>
      <c r="V49" s="30">
        <v>46147.496423611112</v>
      </c>
      <c r="W49" s="30">
        <v>46147.496423611112</v>
      </c>
      <c r="X49" s="30">
        <v>46147.497430555559</v>
      </c>
      <c r="Y49" s="27" t="s">
        <v>117</v>
      </c>
      <c r="Z49" s="27" t="s">
        <v>1384</v>
      </c>
      <c r="AA49" s="27" t="s">
        <v>53</v>
      </c>
      <c r="AB49" s="27" t="s">
        <v>60</v>
      </c>
      <c r="AC49" s="27" t="s">
        <v>1385</v>
      </c>
      <c r="AD49" s="27" t="s">
        <v>118</v>
      </c>
      <c r="AE49" s="27" t="s">
        <v>66</v>
      </c>
      <c r="AF49" s="27" t="s">
        <v>67</v>
      </c>
      <c r="AG49" s="27" t="s">
        <v>67</v>
      </c>
      <c r="AH49" s="27">
        <v>0</v>
      </c>
      <c r="AI49" s="27">
        <v>0</v>
      </c>
      <c r="AJ49" s="27">
        <v>0</v>
      </c>
      <c r="AK49" s="27">
        <v>0</v>
      </c>
      <c r="AL49" s="27" t="s">
        <v>64</v>
      </c>
      <c r="AM49" s="27">
        <v>3</v>
      </c>
      <c r="AN49" s="27">
        <v>87</v>
      </c>
      <c r="AO49" s="27" t="s">
        <v>65</v>
      </c>
      <c r="AP49" s="27">
        <v>37</v>
      </c>
      <c r="AQ49" s="27">
        <v>153</v>
      </c>
      <c r="AR49" s="27">
        <v>1502360</v>
      </c>
      <c r="AS49" s="27" t="s">
        <v>118</v>
      </c>
      <c r="AT49" s="27" t="s">
        <v>1386</v>
      </c>
      <c r="AU49" s="31" t="s">
        <v>118</v>
      </c>
    </row>
    <row r="50" spans="1:47" x14ac:dyDescent="0.25">
      <c r="A50" s="7">
        <f>+CONCATENATE(DAY(V50),"/",MONTH(V50),"/",YEAR(V50),"")*1</f>
        <v>46147</v>
      </c>
      <c r="B50" s="23">
        <f>+Z50*1</f>
        <v>2281476633</v>
      </c>
      <c r="C50" s="21" t="str">
        <f>+AA50</f>
        <v>ENTRANTE</v>
      </c>
      <c r="D50" s="3" t="str">
        <f>VLOOKUP(Q50,Code!E:F,2,0)</f>
        <v>Admisiones</v>
      </c>
      <c r="E50" s="3" t="s">
        <v>55</v>
      </c>
      <c r="F50" s="3">
        <f>+AP50</f>
        <v>37</v>
      </c>
      <c r="G50" s="3">
        <f>+S50</f>
        <v>26</v>
      </c>
      <c r="H50" s="22">
        <f>+HOUR(V50)</f>
        <v>11</v>
      </c>
      <c r="I50" s="22">
        <f>IFERROR(VLOOKUP(B50,MATRICULAS!A:B,2,0),0)*1</f>
        <v>0</v>
      </c>
      <c r="J50" s="26">
        <v>20260505</v>
      </c>
      <c r="K50" s="26">
        <v>149065335</v>
      </c>
      <c r="L50" s="26" t="s">
        <v>134</v>
      </c>
      <c r="M50" s="26" t="s">
        <v>56</v>
      </c>
      <c r="N50" s="26">
        <v>0</v>
      </c>
      <c r="O50" s="26">
        <v>0</v>
      </c>
      <c r="P50" s="26" t="s">
        <v>57</v>
      </c>
      <c r="Q50" s="26">
        <v>150</v>
      </c>
      <c r="R50" s="26" t="s">
        <v>127</v>
      </c>
      <c r="S50" s="26">
        <v>26</v>
      </c>
      <c r="T50" s="26" t="s">
        <v>58</v>
      </c>
      <c r="U50" s="26" t="s">
        <v>59</v>
      </c>
      <c r="V50" s="28">
        <v>46147.48333333333</v>
      </c>
      <c r="W50" s="28">
        <v>46147.48333333333</v>
      </c>
      <c r="X50" s="28">
        <v>46147.490879629629</v>
      </c>
      <c r="Y50" s="26" t="s">
        <v>117</v>
      </c>
      <c r="Z50" s="26" t="s">
        <v>1387</v>
      </c>
      <c r="AA50" s="26" t="s">
        <v>53</v>
      </c>
      <c r="AB50" s="26" t="s">
        <v>60</v>
      </c>
      <c r="AC50" s="26" t="s">
        <v>1388</v>
      </c>
      <c r="AD50" s="26" t="s">
        <v>118</v>
      </c>
      <c r="AE50" s="26" t="s">
        <v>61</v>
      </c>
      <c r="AF50" s="26" t="s">
        <v>62</v>
      </c>
      <c r="AG50" s="26" t="s">
        <v>63</v>
      </c>
      <c r="AH50" s="26">
        <v>0</v>
      </c>
      <c r="AI50" s="26">
        <v>0</v>
      </c>
      <c r="AJ50" s="26">
        <v>0</v>
      </c>
      <c r="AK50" s="26">
        <v>0</v>
      </c>
      <c r="AL50" s="26" t="s">
        <v>64</v>
      </c>
      <c r="AM50" s="26">
        <v>3</v>
      </c>
      <c r="AN50" s="26">
        <v>652</v>
      </c>
      <c r="AO50" s="26" t="s">
        <v>65</v>
      </c>
      <c r="AP50" s="26">
        <v>37</v>
      </c>
      <c r="AQ50" s="26">
        <v>158</v>
      </c>
      <c r="AR50" s="26">
        <v>1701142</v>
      </c>
      <c r="AS50" s="26" t="s">
        <v>118</v>
      </c>
      <c r="AT50" s="26" t="s">
        <v>1389</v>
      </c>
      <c r="AU50" s="29" t="s">
        <v>118</v>
      </c>
    </row>
    <row r="51" spans="1:47" x14ac:dyDescent="0.25">
      <c r="A51" s="7">
        <f>+CONCATENATE(DAY(V51),"/",MONTH(V51),"/",YEAR(V51),"")*1</f>
        <v>46147</v>
      </c>
      <c r="B51" s="23">
        <f>+Z51*1</f>
        <v>1136977995</v>
      </c>
      <c r="C51" s="21" t="str">
        <f>+AA51</f>
        <v>ENTRANTE</v>
      </c>
      <c r="D51" s="3" t="str">
        <f>VLOOKUP(Q51,Code!E:F,2,0)</f>
        <v>Admisiones</v>
      </c>
      <c r="E51" s="3" t="s">
        <v>55</v>
      </c>
      <c r="F51" s="3">
        <f>+AP51</f>
        <v>37</v>
      </c>
      <c r="G51" s="3">
        <f>+S51</f>
        <v>26</v>
      </c>
      <c r="H51" s="22">
        <f>+HOUR(V51)</f>
        <v>11</v>
      </c>
      <c r="I51" s="22">
        <f>IFERROR(VLOOKUP(B51,MATRICULAS!A:B,2,0),0)*1</f>
        <v>0</v>
      </c>
      <c r="J51" s="27">
        <v>20260505</v>
      </c>
      <c r="K51" s="27">
        <v>149064980</v>
      </c>
      <c r="L51" s="27" t="s">
        <v>134</v>
      </c>
      <c r="M51" s="27" t="s">
        <v>56</v>
      </c>
      <c r="N51" s="27">
        <v>0</v>
      </c>
      <c r="O51" s="27">
        <v>0</v>
      </c>
      <c r="P51" s="27" t="s">
        <v>57</v>
      </c>
      <c r="Q51" s="27">
        <v>150</v>
      </c>
      <c r="R51" s="27" t="s">
        <v>145</v>
      </c>
      <c r="S51" s="27">
        <v>26</v>
      </c>
      <c r="T51" s="27" t="s">
        <v>58</v>
      </c>
      <c r="U51" s="27" t="s">
        <v>59</v>
      </c>
      <c r="V51" s="30">
        <v>46147.475428240738</v>
      </c>
      <c r="W51" s="30">
        <v>46147.475428240738</v>
      </c>
      <c r="X51" s="30">
        <v>46147.487476851849</v>
      </c>
      <c r="Y51" s="27" t="s">
        <v>117</v>
      </c>
      <c r="Z51" s="27" t="s">
        <v>1390</v>
      </c>
      <c r="AA51" s="27" t="s">
        <v>53</v>
      </c>
      <c r="AB51" s="27" t="s">
        <v>60</v>
      </c>
      <c r="AC51" s="27" t="s">
        <v>1391</v>
      </c>
      <c r="AD51" s="27" t="s">
        <v>118</v>
      </c>
      <c r="AE51" s="27" t="s">
        <v>61</v>
      </c>
      <c r="AF51" s="27" t="s">
        <v>62</v>
      </c>
      <c r="AG51" s="27" t="s">
        <v>63</v>
      </c>
      <c r="AH51" s="27">
        <v>0</v>
      </c>
      <c r="AI51" s="27">
        <v>0</v>
      </c>
      <c r="AJ51" s="27">
        <v>0</v>
      </c>
      <c r="AK51" s="27">
        <v>0</v>
      </c>
      <c r="AL51" s="27" t="s">
        <v>64</v>
      </c>
      <c r="AM51" s="27">
        <v>3</v>
      </c>
      <c r="AN51" s="27">
        <v>1042</v>
      </c>
      <c r="AO51" s="27" t="s">
        <v>65</v>
      </c>
      <c r="AP51" s="27">
        <v>37</v>
      </c>
      <c r="AQ51" s="27">
        <v>202</v>
      </c>
      <c r="AR51" s="27">
        <v>2487098</v>
      </c>
      <c r="AS51" s="27" t="s">
        <v>118</v>
      </c>
      <c r="AT51" s="27" t="s">
        <v>1392</v>
      </c>
      <c r="AU51" s="31" t="s">
        <v>118</v>
      </c>
    </row>
    <row r="52" spans="1:47" x14ac:dyDescent="0.25">
      <c r="A52" s="7">
        <f>+CONCATENATE(DAY(V52),"/",MONTH(V52),"/",YEAR(V52),"")*1</f>
        <v>46147</v>
      </c>
      <c r="B52" s="23">
        <f>+Z52*1</f>
        <v>2996239844</v>
      </c>
      <c r="C52" s="21" t="str">
        <f>+AA52</f>
        <v>ENTRANTE</v>
      </c>
      <c r="D52" s="3" t="str">
        <f>VLOOKUP(Q52,Code!E:F,2,0)</f>
        <v>Admisiones</v>
      </c>
      <c r="E52" s="3" t="s">
        <v>55</v>
      </c>
      <c r="F52" s="3">
        <f>+AP52</f>
        <v>37</v>
      </c>
      <c r="G52" s="3">
        <f>+S52</f>
        <v>26</v>
      </c>
      <c r="H52" s="22">
        <f>+HOUR(V52)</f>
        <v>10</v>
      </c>
      <c r="I52" s="22">
        <f>IFERROR(VLOOKUP(B52,MATRICULAS!A:B,2,0),0)*1</f>
        <v>0</v>
      </c>
      <c r="J52" s="26">
        <v>20260505</v>
      </c>
      <c r="K52" s="26">
        <v>149063899</v>
      </c>
      <c r="L52" s="26" t="s">
        <v>134</v>
      </c>
      <c r="M52" s="26" t="s">
        <v>56</v>
      </c>
      <c r="N52" s="26">
        <v>0</v>
      </c>
      <c r="O52" s="26">
        <v>0</v>
      </c>
      <c r="P52" s="26" t="s">
        <v>57</v>
      </c>
      <c r="Q52" s="26">
        <v>150</v>
      </c>
      <c r="R52" s="26" t="s">
        <v>127</v>
      </c>
      <c r="S52" s="26">
        <v>26</v>
      </c>
      <c r="T52" s="26" t="s">
        <v>58</v>
      </c>
      <c r="U52" s="26" t="s">
        <v>59</v>
      </c>
      <c r="V52" s="28">
        <v>46147.452199074076</v>
      </c>
      <c r="W52" s="28">
        <v>46147.452199074076</v>
      </c>
      <c r="X52" s="28">
        <v>46147.455208333333</v>
      </c>
      <c r="Y52" s="26" t="s">
        <v>117</v>
      </c>
      <c r="Z52" s="26" t="s">
        <v>1393</v>
      </c>
      <c r="AA52" s="26" t="s">
        <v>53</v>
      </c>
      <c r="AB52" s="26" t="s">
        <v>60</v>
      </c>
      <c r="AC52" s="26" t="s">
        <v>1394</v>
      </c>
      <c r="AD52" s="26" t="s">
        <v>118</v>
      </c>
      <c r="AE52" s="26" t="s">
        <v>70</v>
      </c>
      <c r="AF52" s="26" t="s">
        <v>154</v>
      </c>
      <c r="AG52" s="26" t="s">
        <v>154</v>
      </c>
      <c r="AH52" s="26">
        <v>0</v>
      </c>
      <c r="AI52" s="26">
        <v>0</v>
      </c>
      <c r="AJ52" s="26">
        <v>0</v>
      </c>
      <c r="AK52" s="26">
        <v>0</v>
      </c>
      <c r="AL52" s="26" t="s">
        <v>64</v>
      </c>
      <c r="AM52" s="26">
        <v>3</v>
      </c>
      <c r="AN52" s="26">
        <v>260</v>
      </c>
      <c r="AO52" s="26" t="s">
        <v>65</v>
      </c>
      <c r="AP52" s="26">
        <v>37</v>
      </c>
      <c r="AQ52" s="26">
        <v>1</v>
      </c>
      <c r="AR52" s="26">
        <v>2488046</v>
      </c>
      <c r="AS52" s="26" t="s">
        <v>118</v>
      </c>
      <c r="AT52" s="26" t="s">
        <v>1395</v>
      </c>
      <c r="AU52" s="29" t="s">
        <v>118</v>
      </c>
    </row>
    <row r="53" spans="1:47" x14ac:dyDescent="0.25">
      <c r="A53" s="7">
        <f>+CONCATENATE(DAY(V53),"/",MONTH(V53),"/",YEAR(V53),"")*1</f>
        <v>46147</v>
      </c>
      <c r="B53" s="23">
        <f>+Z53*1</f>
        <v>3516507097</v>
      </c>
      <c r="C53" s="21" t="str">
        <f>+AA53</f>
        <v>ENTRANTE</v>
      </c>
      <c r="D53" s="3" t="str">
        <f>VLOOKUP(Q53,Code!E:F,2,0)</f>
        <v>Admisiones</v>
      </c>
      <c r="E53" s="3" t="s">
        <v>55</v>
      </c>
      <c r="F53" s="3">
        <f>+AP53</f>
        <v>37</v>
      </c>
      <c r="G53" s="3">
        <f>+S53</f>
        <v>26</v>
      </c>
      <c r="H53" s="22">
        <f>+HOUR(V53)</f>
        <v>10</v>
      </c>
      <c r="I53" s="22">
        <f>IFERROR(VLOOKUP(B53,MATRICULAS!A:B,2,0),0)*1</f>
        <v>0</v>
      </c>
      <c r="J53" s="27">
        <v>20260505</v>
      </c>
      <c r="K53" s="27">
        <v>149063865</v>
      </c>
      <c r="L53" s="27" t="s">
        <v>134</v>
      </c>
      <c r="M53" s="27" t="s">
        <v>56</v>
      </c>
      <c r="N53" s="27">
        <v>0</v>
      </c>
      <c r="O53" s="27">
        <v>0</v>
      </c>
      <c r="P53" s="27" t="s">
        <v>57</v>
      </c>
      <c r="Q53" s="27">
        <v>150</v>
      </c>
      <c r="R53" s="27" t="s">
        <v>145</v>
      </c>
      <c r="S53" s="27">
        <v>26</v>
      </c>
      <c r="T53" s="27" t="s">
        <v>58</v>
      </c>
      <c r="U53" s="27" t="s">
        <v>59</v>
      </c>
      <c r="V53" s="30">
        <v>46147.451273148145</v>
      </c>
      <c r="W53" s="30">
        <v>46147.451273148145</v>
      </c>
      <c r="X53" s="30">
        <v>46147.460081018522</v>
      </c>
      <c r="Y53" s="27" t="s">
        <v>117</v>
      </c>
      <c r="Z53" s="27" t="s">
        <v>1396</v>
      </c>
      <c r="AA53" s="27" t="s">
        <v>53</v>
      </c>
      <c r="AB53" s="27" t="s">
        <v>60</v>
      </c>
      <c r="AC53" s="27" t="s">
        <v>1397</v>
      </c>
      <c r="AD53" s="27" t="s">
        <v>118</v>
      </c>
      <c r="AE53" s="27" t="s">
        <v>61</v>
      </c>
      <c r="AF53" s="27" t="s">
        <v>62</v>
      </c>
      <c r="AG53" s="27" t="s">
        <v>63</v>
      </c>
      <c r="AH53" s="27">
        <v>0</v>
      </c>
      <c r="AI53" s="27">
        <v>0</v>
      </c>
      <c r="AJ53" s="27">
        <v>0</v>
      </c>
      <c r="AK53" s="27">
        <v>0</v>
      </c>
      <c r="AL53" s="27" t="s">
        <v>64</v>
      </c>
      <c r="AM53" s="27">
        <v>3</v>
      </c>
      <c r="AN53" s="27">
        <v>761</v>
      </c>
      <c r="AO53" s="27" t="s">
        <v>65</v>
      </c>
      <c r="AP53" s="27">
        <v>37</v>
      </c>
      <c r="AQ53" s="27">
        <v>159</v>
      </c>
      <c r="AR53" s="27">
        <v>1729233</v>
      </c>
      <c r="AS53" s="27" t="s">
        <v>118</v>
      </c>
      <c r="AT53" s="27" t="s">
        <v>1398</v>
      </c>
      <c r="AU53" s="31" t="s">
        <v>118</v>
      </c>
    </row>
    <row r="54" spans="1:47" x14ac:dyDescent="0.25">
      <c r="A54" s="7">
        <f>+CONCATENATE(DAY(V54),"/",MONTH(V54),"/",YEAR(V54),"")*1</f>
        <v>46148</v>
      </c>
      <c r="B54" s="23">
        <f>+Z54*1</f>
        <v>3564331928</v>
      </c>
      <c r="C54" s="21" t="str">
        <f>+AA54</f>
        <v>ENTRANTE</v>
      </c>
      <c r="D54" s="3" t="str">
        <f>VLOOKUP(Q54,Code!E:F,2,0)</f>
        <v>Admisiones</v>
      </c>
      <c r="E54" s="3" t="s">
        <v>55</v>
      </c>
      <c r="F54" s="3">
        <f>+AP54</f>
        <v>37</v>
      </c>
      <c r="G54" s="3">
        <f>+S54</f>
        <v>27</v>
      </c>
      <c r="H54" s="22">
        <f>+HOUR(V54)</f>
        <v>20</v>
      </c>
      <c r="I54" s="22">
        <f>IFERROR(VLOOKUP(B54,MATRICULAS!A:B,2,0),0)*1</f>
        <v>0</v>
      </c>
      <c r="J54" s="27">
        <v>20260506</v>
      </c>
      <c r="K54" s="27">
        <v>149098300</v>
      </c>
      <c r="L54" s="27" t="s">
        <v>134</v>
      </c>
      <c r="M54" s="27" t="s">
        <v>56</v>
      </c>
      <c r="N54" s="27">
        <v>0</v>
      </c>
      <c r="O54" s="27">
        <v>0</v>
      </c>
      <c r="P54" s="27" t="s">
        <v>57</v>
      </c>
      <c r="Q54" s="27">
        <v>150</v>
      </c>
      <c r="R54" s="27" t="s">
        <v>152</v>
      </c>
      <c r="S54" s="27">
        <v>27</v>
      </c>
      <c r="T54" s="27" t="s">
        <v>58</v>
      </c>
      <c r="U54" s="27" t="s">
        <v>59</v>
      </c>
      <c r="V54" s="30">
        <v>46148.849085648151</v>
      </c>
      <c r="W54" s="30">
        <v>46148.849085648151</v>
      </c>
      <c r="X54" s="30">
        <v>46148.849976851852</v>
      </c>
      <c r="Y54" s="27" t="s">
        <v>117</v>
      </c>
      <c r="Z54" s="27" t="s">
        <v>1238</v>
      </c>
      <c r="AA54" s="27" t="s">
        <v>53</v>
      </c>
      <c r="AB54" s="27" t="s">
        <v>60</v>
      </c>
      <c r="AC54" s="27" t="s">
        <v>1239</v>
      </c>
      <c r="AD54" s="27" t="s">
        <v>118</v>
      </c>
      <c r="AE54" s="27" t="s">
        <v>61</v>
      </c>
      <c r="AF54" s="27" t="s">
        <v>62</v>
      </c>
      <c r="AG54" s="27" t="s">
        <v>63</v>
      </c>
      <c r="AH54" s="27">
        <v>0</v>
      </c>
      <c r="AI54" s="27">
        <v>0</v>
      </c>
      <c r="AJ54" s="27">
        <v>0</v>
      </c>
      <c r="AK54" s="27">
        <v>0</v>
      </c>
      <c r="AL54" s="27" t="s">
        <v>64</v>
      </c>
      <c r="AM54" s="27">
        <v>3</v>
      </c>
      <c r="AN54" s="27">
        <v>77</v>
      </c>
      <c r="AO54" s="27" t="s">
        <v>65</v>
      </c>
      <c r="AP54" s="27">
        <v>37</v>
      </c>
      <c r="AQ54" s="27">
        <v>202</v>
      </c>
      <c r="AR54" s="27">
        <v>2490084</v>
      </c>
      <c r="AS54" s="27" t="s">
        <v>118</v>
      </c>
      <c r="AT54" s="27" t="s">
        <v>1240</v>
      </c>
      <c r="AU54" s="31" t="s">
        <v>118</v>
      </c>
    </row>
    <row r="55" spans="1:47" x14ac:dyDescent="0.25">
      <c r="A55" s="7">
        <f>+CONCATENATE(DAY(V55),"/",MONTH(V55),"/",YEAR(V55),"")*1</f>
        <v>46148</v>
      </c>
      <c r="B55" s="23">
        <f>+Z55*1</f>
        <v>1162206173</v>
      </c>
      <c r="C55" s="21" t="str">
        <f>+AA55</f>
        <v>ENTRANTE</v>
      </c>
      <c r="D55" s="3" t="str">
        <f>VLOOKUP(Q55,Code!E:F,2,0)</f>
        <v>Admisiones</v>
      </c>
      <c r="E55" s="3" t="s">
        <v>55</v>
      </c>
      <c r="F55" s="3">
        <f>+AP55</f>
        <v>37</v>
      </c>
      <c r="G55" s="3">
        <f>+S55</f>
        <v>27</v>
      </c>
      <c r="H55" s="22">
        <f>+HOUR(V55)</f>
        <v>20</v>
      </c>
      <c r="I55" s="22">
        <f>IFERROR(VLOOKUP(B55,MATRICULAS!A:B,2,0),0)*1</f>
        <v>0</v>
      </c>
      <c r="J55" s="26">
        <v>20260506</v>
      </c>
      <c r="K55" s="26">
        <v>149098170</v>
      </c>
      <c r="L55" s="26" t="s">
        <v>134</v>
      </c>
      <c r="M55" s="26" t="s">
        <v>56</v>
      </c>
      <c r="N55" s="26">
        <v>0</v>
      </c>
      <c r="O55" s="26">
        <v>0</v>
      </c>
      <c r="P55" s="26" t="s">
        <v>57</v>
      </c>
      <c r="Q55" s="26">
        <v>150</v>
      </c>
      <c r="R55" s="26" t="s">
        <v>163</v>
      </c>
      <c r="S55" s="26">
        <v>27</v>
      </c>
      <c r="T55" s="26" t="s">
        <v>58</v>
      </c>
      <c r="U55" s="26" t="s">
        <v>59</v>
      </c>
      <c r="V55" s="28">
        <v>46148.844155092593</v>
      </c>
      <c r="W55" s="28">
        <v>46148.844155092593</v>
      </c>
      <c r="X55" s="28">
        <v>46148.851678240739</v>
      </c>
      <c r="Y55" s="26" t="s">
        <v>117</v>
      </c>
      <c r="Z55" s="26" t="s">
        <v>1241</v>
      </c>
      <c r="AA55" s="26" t="s">
        <v>53</v>
      </c>
      <c r="AB55" s="26" t="s">
        <v>60</v>
      </c>
      <c r="AC55" s="26" t="s">
        <v>1242</v>
      </c>
      <c r="AD55" s="26" t="s">
        <v>118</v>
      </c>
      <c r="AE55" s="26" t="s">
        <v>61</v>
      </c>
      <c r="AF55" s="26" t="s">
        <v>62</v>
      </c>
      <c r="AG55" s="26" t="s">
        <v>63</v>
      </c>
      <c r="AH55" s="26">
        <v>0</v>
      </c>
      <c r="AI55" s="26">
        <v>0</v>
      </c>
      <c r="AJ55" s="26">
        <v>0</v>
      </c>
      <c r="AK55" s="26">
        <v>0</v>
      </c>
      <c r="AL55" s="26" t="s">
        <v>64</v>
      </c>
      <c r="AM55" s="26">
        <v>3</v>
      </c>
      <c r="AN55" s="26">
        <v>650</v>
      </c>
      <c r="AO55" s="26" t="s">
        <v>65</v>
      </c>
      <c r="AP55" s="26">
        <v>37</v>
      </c>
      <c r="AQ55" s="26">
        <v>201</v>
      </c>
      <c r="AR55" s="26">
        <v>2489946</v>
      </c>
      <c r="AS55" s="26" t="s">
        <v>118</v>
      </c>
      <c r="AT55" s="26" t="s">
        <v>1243</v>
      </c>
      <c r="AU55" s="29" t="s">
        <v>118</v>
      </c>
    </row>
    <row r="56" spans="1:47" x14ac:dyDescent="0.25">
      <c r="A56" s="7">
        <f>+CONCATENATE(DAY(V56),"/",MONTH(V56),"/",YEAR(V56),"")*1</f>
        <v>46148</v>
      </c>
      <c r="B56" s="23">
        <f>+Z56*1</f>
        <v>1159560749</v>
      </c>
      <c r="C56" s="21" t="str">
        <f>+AA56</f>
        <v>ENTRANTE</v>
      </c>
      <c r="D56" s="3" t="str">
        <f>VLOOKUP(Q56,Code!E:F,2,0)</f>
        <v>Admisiones</v>
      </c>
      <c r="E56" s="3" t="s">
        <v>55</v>
      </c>
      <c r="F56" s="3">
        <f>+AP56</f>
        <v>37</v>
      </c>
      <c r="G56" s="3">
        <f>+S56</f>
        <v>5</v>
      </c>
      <c r="H56" s="22">
        <f>+HOUR(V56)</f>
        <v>20</v>
      </c>
      <c r="I56" s="22">
        <f>IFERROR(VLOOKUP(B56,MATRICULAS!A:B,2,0),0)*1</f>
        <v>0</v>
      </c>
      <c r="J56" s="27">
        <v>20260506</v>
      </c>
      <c r="K56" s="27">
        <v>149097937</v>
      </c>
      <c r="L56" s="27" t="s">
        <v>134</v>
      </c>
      <c r="M56" s="27" t="s">
        <v>56</v>
      </c>
      <c r="N56" s="27">
        <v>0</v>
      </c>
      <c r="O56" s="27">
        <v>0</v>
      </c>
      <c r="P56" s="27" t="s">
        <v>57</v>
      </c>
      <c r="Q56" s="27">
        <v>150</v>
      </c>
      <c r="R56" s="27" t="s">
        <v>162</v>
      </c>
      <c r="S56" s="27">
        <v>5</v>
      </c>
      <c r="T56" s="27" t="s">
        <v>58</v>
      </c>
      <c r="U56" s="27" t="s">
        <v>59</v>
      </c>
      <c r="V56" s="30">
        <v>46148.836747685185</v>
      </c>
      <c r="W56" s="30">
        <v>46148.836747685185</v>
      </c>
      <c r="X56" s="30">
        <v>46148.83792824074</v>
      </c>
      <c r="Y56" s="27" t="s">
        <v>117</v>
      </c>
      <c r="Z56" s="27" t="s">
        <v>1244</v>
      </c>
      <c r="AA56" s="27" t="s">
        <v>53</v>
      </c>
      <c r="AB56" s="27" t="s">
        <v>60</v>
      </c>
      <c r="AC56" s="27" t="s">
        <v>1245</v>
      </c>
      <c r="AD56" s="27" t="s">
        <v>118</v>
      </c>
      <c r="AE56" s="27" t="s">
        <v>61</v>
      </c>
      <c r="AF56" s="27" t="s">
        <v>62</v>
      </c>
      <c r="AG56" s="27" t="s">
        <v>63</v>
      </c>
      <c r="AH56" s="27">
        <v>0</v>
      </c>
      <c r="AI56" s="27">
        <v>0</v>
      </c>
      <c r="AJ56" s="27">
        <v>0</v>
      </c>
      <c r="AK56" s="27">
        <v>0</v>
      </c>
      <c r="AL56" s="27" t="s">
        <v>64</v>
      </c>
      <c r="AM56" s="27">
        <v>3</v>
      </c>
      <c r="AN56" s="27">
        <v>102</v>
      </c>
      <c r="AO56" s="27" t="s">
        <v>65</v>
      </c>
      <c r="AP56" s="27">
        <v>37</v>
      </c>
      <c r="AQ56" s="27">
        <v>0</v>
      </c>
      <c r="AR56" s="27">
        <v>0</v>
      </c>
      <c r="AS56" s="27" t="s">
        <v>118</v>
      </c>
      <c r="AT56" s="27" t="s">
        <v>1246</v>
      </c>
      <c r="AU56" s="31" t="s">
        <v>118</v>
      </c>
    </row>
    <row r="57" spans="1:47" x14ac:dyDescent="0.25">
      <c r="A57" s="7">
        <f>+CONCATENATE(DAY(V57),"/",MONTH(V57),"/",YEAR(V57),"")*1</f>
        <v>46148</v>
      </c>
      <c r="B57" s="23">
        <f>+Z57*1</f>
        <v>3537586797</v>
      </c>
      <c r="C57" s="21" t="str">
        <f>+AA57</f>
        <v>ENTRANTE</v>
      </c>
      <c r="D57" s="3" t="str">
        <f>VLOOKUP(Q57,Code!E:F,2,0)</f>
        <v>Admisiones</v>
      </c>
      <c r="E57" s="3" t="s">
        <v>55</v>
      </c>
      <c r="F57" s="3">
        <f>+AP57</f>
        <v>37</v>
      </c>
      <c r="G57" s="3">
        <f>+S57</f>
        <v>27</v>
      </c>
      <c r="H57" s="22">
        <f>+HOUR(V57)</f>
        <v>20</v>
      </c>
      <c r="I57" s="22">
        <f>IFERROR(VLOOKUP(B57,MATRICULAS!A:B,2,0),0)*1</f>
        <v>0</v>
      </c>
      <c r="J57" s="26">
        <v>20260506</v>
      </c>
      <c r="K57" s="26">
        <v>149097844</v>
      </c>
      <c r="L57" s="26" t="s">
        <v>134</v>
      </c>
      <c r="M57" s="26" t="s">
        <v>56</v>
      </c>
      <c r="N57" s="26">
        <v>0</v>
      </c>
      <c r="O57" s="26">
        <v>0</v>
      </c>
      <c r="P57" s="26" t="s">
        <v>57</v>
      </c>
      <c r="Q57" s="26">
        <v>150</v>
      </c>
      <c r="R57" s="26" t="s">
        <v>152</v>
      </c>
      <c r="S57" s="26">
        <v>27</v>
      </c>
      <c r="T57" s="26" t="s">
        <v>58</v>
      </c>
      <c r="U57" s="26" t="s">
        <v>59</v>
      </c>
      <c r="V57" s="28">
        <v>46148.833726851852</v>
      </c>
      <c r="W57" s="28">
        <v>46148.833726851852</v>
      </c>
      <c r="X57" s="28">
        <v>46148.838356481479</v>
      </c>
      <c r="Y57" s="26" t="s">
        <v>117</v>
      </c>
      <c r="Z57" s="26" t="s">
        <v>1247</v>
      </c>
      <c r="AA57" s="26" t="s">
        <v>53</v>
      </c>
      <c r="AB57" s="26" t="s">
        <v>60</v>
      </c>
      <c r="AC57" s="26" t="s">
        <v>1248</v>
      </c>
      <c r="AD57" s="26" t="s">
        <v>118</v>
      </c>
      <c r="AE57" s="26" t="s">
        <v>61</v>
      </c>
      <c r="AF57" s="26" t="s">
        <v>62</v>
      </c>
      <c r="AG57" s="26" t="s">
        <v>63</v>
      </c>
      <c r="AH57" s="26">
        <v>0</v>
      </c>
      <c r="AI57" s="26">
        <v>0</v>
      </c>
      <c r="AJ57" s="26">
        <v>0</v>
      </c>
      <c r="AK57" s="26">
        <v>0</v>
      </c>
      <c r="AL57" s="26" t="s">
        <v>64</v>
      </c>
      <c r="AM57" s="26">
        <v>3</v>
      </c>
      <c r="AN57" s="26">
        <v>400</v>
      </c>
      <c r="AO57" s="26" t="s">
        <v>65</v>
      </c>
      <c r="AP57" s="26">
        <v>37</v>
      </c>
      <c r="AQ57" s="26">
        <v>202</v>
      </c>
      <c r="AR57" s="26">
        <v>2490048</v>
      </c>
      <c r="AS57" s="26" t="s">
        <v>118</v>
      </c>
      <c r="AT57" s="26" t="s">
        <v>1249</v>
      </c>
      <c r="AU57" s="29" t="s">
        <v>118</v>
      </c>
    </row>
    <row r="58" spans="1:47" x14ac:dyDescent="0.25">
      <c r="A58" s="7">
        <f>+CONCATENATE(DAY(V58),"/",MONTH(V58),"/",YEAR(V58),"")*1</f>
        <v>46148</v>
      </c>
      <c r="B58" s="23" t="e">
        <f>+Z58*1</f>
        <v>#VALUE!</v>
      </c>
      <c r="C58" s="21" t="str">
        <f>+AA58</f>
        <v>ENTRANTE</v>
      </c>
      <c r="D58" s="3" t="str">
        <f>VLOOKUP(Q58,Code!E:F,2,0)</f>
        <v>Admisiones</v>
      </c>
      <c r="E58" s="3" t="s">
        <v>55</v>
      </c>
      <c r="F58" s="3">
        <f>+AP58</f>
        <v>37</v>
      </c>
      <c r="G58" s="3">
        <f>+S58</f>
        <v>27</v>
      </c>
      <c r="H58" s="22">
        <f>+HOUR(V58)</f>
        <v>19</v>
      </c>
      <c r="I58" s="22">
        <f>IFERROR(VLOOKUP(B58,MATRICULAS!A:B,2,0),0)*1</f>
        <v>0</v>
      </c>
      <c r="J58" s="27">
        <v>20260506</v>
      </c>
      <c r="K58" s="27">
        <v>149097809</v>
      </c>
      <c r="L58" s="27" t="s">
        <v>134</v>
      </c>
      <c r="M58" s="27" t="s">
        <v>56</v>
      </c>
      <c r="N58" s="27">
        <v>0</v>
      </c>
      <c r="O58" s="27">
        <v>0</v>
      </c>
      <c r="P58" s="27" t="s">
        <v>57</v>
      </c>
      <c r="Q58" s="27">
        <v>150</v>
      </c>
      <c r="R58" s="27" t="s">
        <v>161</v>
      </c>
      <c r="S58" s="27">
        <v>27</v>
      </c>
      <c r="T58" s="27" t="s">
        <v>58</v>
      </c>
      <c r="U58" s="27" t="s">
        <v>59</v>
      </c>
      <c r="V58" s="30">
        <v>46148.832638888889</v>
      </c>
      <c r="W58" s="30">
        <v>46148.832638888889</v>
      </c>
      <c r="X58" s="30">
        <v>46148.844363425924</v>
      </c>
      <c r="Y58" s="27" t="s">
        <v>117</v>
      </c>
      <c r="Z58" s="27" t="s">
        <v>121</v>
      </c>
      <c r="AA58" s="27" t="s">
        <v>53</v>
      </c>
      <c r="AB58" s="27" t="s">
        <v>60</v>
      </c>
      <c r="AC58" s="27" t="s">
        <v>1250</v>
      </c>
      <c r="AD58" s="27" t="s">
        <v>118</v>
      </c>
      <c r="AE58" s="27" t="s">
        <v>122</v>
      </c>
      <c r="AF58" s="27" t="s">
        <v>123</v>
      </c>
      <c r="AG58" s="27" t="s">
        <v>123</v>
      </c>
      <c r="AH58" s="27">
        <v>0</v>
      </c>
      <c r="AI58" s="27">
        <v>0</v>
      </c>
      <c r="AJ58" s="27">
        <v>0</v>
      </c>
      <c r="AK58" s="27">
        <v>0</v>
      </c>
      <c r="AL58" s="27" t="s">
        <v>64</v>
      </c>
      <c r="AM58" s="27">
        <v>3</v>
      </c>
      <c r="AN58" s="27">
        <v>1014</v>
      </c>
      <c r="AO58" s="27" t="s">
        <v>65</v>
      </c>
      <c r="AP58" s="27">
        <v>37</v>
      </c>
      <c r="AQ58" s="27">
        <v>0</v>
      </c>
      <c r="AR58" s="27">
        <v>0</v>
      </c>
      <c r="AS58" s="27" t="s">
        <v>118</v>
      </c>
      <c r="AT58" s="27" t="s">
        <v>1251</v>
      </c>
      <c r="AU58" s="31" t="s">
        <v>118</v>
      </c>
    </row>
    <row r="59" spans="1:47" x14ac:dyDescent="0.25">
      <c r="A59" s="7">
        <f>+CONCATENATE(DAY(V59),"/",MONTH(V59),"/",YEAR(V59),"")*1</f>
        <v>46148</v>
      </c>
      <c r="B59" s="23">
        <f>+Z59*1</f>
        <v>3704338160</v>
      </c>
      <c r="C59" s="21" t="str">
        <f>+AA59</f>
        <v>ENTRANTE</v>
      </c>
      <c r="D59" s="3" t="str">
        <f>VLOOKUP(Q59,Code!E:F,2,0)</f>
        <v>Admisiones</v>
      </c>
      <c r="E59" s="3" t="s">
        <v>55</v>
      </c>
      <c r="F59" s="3">
        <f>+AP59</f>
        <v>37</v>
      </c>
      <c r="G59" s="3">
        <f>+S59</f>
        <v>27</v>
      </c>
      <c r="H59" s="22">
        <f>+HOUR(V59)</f>
        <v>18</v>
      </c>
      <c r="I59" s="22">
        <f>IFERROR(VLOOKUP(B59,MATRICULAS!A:B,2,0),0)*1</f>
        <v>0</v>
      </c>
      <c r="J59" s="26">
        <v>20260506</v>
      </c>
      <c r="K59" s="26">
        <v>149096076</v>
      </c>
      <c r="L59" s="26" t="s">
        <v>134</v>
      </c>
      <c r="M59" s="26" t="s">
        <v>56</v>
      </c>
      <c r="N59" s="26">
        <v>0</v>
      </c>
      <c r="O59" s="26">
        <v>0</v>
      </c>
      <c r="P59" s="26" t="s">
        <v>57</v>
      </c>
      <c r="Q59" s="26">
        <v>150</v>
      </c>
      <c r="R59" s="26" t="s">
        <v>174</v>
      </c>
      <c r="S59" s="26">
        <v>27</v>
      </c>
      <c r="T59" s="26" t="s">
        <v>58</v>
      </c>
      <c r="U59" s="26" t="s">
        <v>59</v>
      </c>
      <c r="V59" s="28">
        <v>46148.782083333332</v>
      </c>
      <c r="W59" s="28">
        <v>46148.782083333332</v>
      </c>
      <c r="X59" s="28">
        <v>46148.783437500002</v>
      </c>
      <c r="Y59" s="26" t="s">
        <v>117</v>
      </c>
      <c r="Z59" s="26" t="s">
        <v>1252</v>
      </c>
      <c r="AA59" s="26" t="s">
        <v>53</v>
      </c>
      <c r="AB59" s="26" t="s">
        <v>60</v>
      </c>
      <c r="AC59" s="26" t="s">
        <v>1253</v>
      </c>
      <c r="AD59" s="26" t="s">
        <v>118</v>
      </c>
      <c r="AE59" s="26" t="s">
        <v>61</v>
      </c>
      <c r="AF59" s="26" t="s">
        <v>62</v>
      </c>
      <c r="AG59" s="26" t="s">
        <v>63</v>
      </c>
      <c r="AH59" s="26">
        <v>0</v>
      </c>
      <c r="AI59" s="26">
        <v>0</v>
      </c>
      <c r="AJ59" s="26">
        <v>0</v>
      </c>
      <c r="AK59" s="26">
        <v>0</v>
      </c>
      <c r="AL59" s="26" t="s">
        <v>64</v>
      </c>
      <c r="AM59" s="26">
        <v>3</v>
      </c>
      <c r="AN59" s="26">
        <v>117</v>
      </c>
      <c r="AO59" s="26" t="s">
        <v>65</v>
      </c>
      <c r="AP59" s="26">
        <v>37</v>
      </c>
      <c r="AQ59" s="26">
        <v>0</v>
      </c>
      <c r="AR59" s="26">
        <v>0</v>
      </c>
      <c r="AS59" s="26" t="s">
        <v>118</v>
      </c>
      <c r="AT59" s="26" t="s">
        <v>1254</v>
      </c>
      <c r="AU59" s="29" t="s">
        <v>118</v>
      </c>
    </row>
    <row r="60" spans="1:47" x14ac:dyDescent="0.25">
      <c r="A60" s="7">
        <f>+CONCATENATE(DAY(V60),"/",MONTH(V60),"/",YEAR(V60),"")*1</f>
        <v>46148</v>
      </c>
      <c r="B60" s="23">
        <f>+Z60*1</f>
        <v>3751431185</v>
      </c>
      <c r="C60" s="21" t="str">
        <f>+AA60</f>
        <v>ENTRANTE</v>
      </c>
      <c r="D60" s="3" t="str">
        <f>VLOOKUP(Q60,Code!E:F,2,0)</f>
        <v>Admisiones</v>
      </c>
      <c r="E60" s="3" t="s">
        <v>55</v>
      </c>
      <c r="F60" s="3">
        <f>+AP60</f>
        <v>37</v>
      </c>
      <c r="G60" s="3">
        <f>+S60</f>
        <v>27</v>
      </c>
      <c r="H60" s="22">
        <f>+HOUR(V60)</f>
        <v>18</v>
      </c>
      <c r="I60" s="22">
        <f>IFERROR(VLOOKUP(B60,MATRICULAS!A:B,2,0),0)*1</f>
        <v>0</v>
      </c>
      <c r="J60" s="27">
        <v>20260506</v>
      </c>
      <c r="K60" s="27">
        <v>149095919</v>
      </c>
      <c r="L60" s="27" t="s">
        <v>134</v>
      </c>
      <c r="M60" s="27" t="s">
        <v>56</v>
      </c>
      <c r="N60" s="27">
        <v>0</v>
      </c>
      <c r="O60" s="27">
        <v>0</v>
      </c>
      <c r="P60" s="27" t="s">
        <v>57</v>
      </c>
      <c r="Q60" s="27">
        <v>150</v>
      </c>
      <c r="R60" s="27" t="s">
        <v>152</v>
      </c>
      <c r="S60" s="27">
        <v>27</v>
      </c>
      <c r="T60" s="27" t="s">
        <v>58</v>
      </c>
      <c r="U60" s="27" t="s">
        <v>59</v>
      </c>
      <c r="V60" s="30">
        <v>46148.777256944442</v>
      </c>
      <c r="W60" s="30">
        <v>46148.777268518519</v>
      </c>
      <c r="X60" s="30">
        <v>46148.781585648147</v>
      </c>
      <c r="Y60" s="27" t="s">
        <v>117</v>
      </c>
      <c r="Z60" s="27" t="s">
        <v>1255</v>
      </c>
      <c r="AA60" s="27" t="s">
        <v>53</v>
      </c>
      <c r="AB60" s="27" t="s">
        <v>60</v>
      </c>
      <c r="AC60" s="27" t="s">
        <v>1256</v>
      </c>
      <c r="AD60" s="27" t="s">
        <v>118</v>
      </c>
      <c r="AE60" s="27" t="s">
        <v>70</v>
      </c>
      <c r="AF60" s="27" t="s">
        <v>146</v>
      </c>
      <c r="AG60" s="27" t="s">
        <v>1257</v>
      </c>
      <c r="AH60" s="27">
        <v>0</v>
      </c>
      <c r="AI60" s="27">
        <v>0</v>
      </c>
      <c r="AJ60" s="27">
        <v>0</v>
      </c>
      <c r="AK60" s="27">
        <v>0</v>
      </c>
      <c r="AL60" s="27" t="s">
        <v>64</v>
      </c>
      <c r="AM60" s="27">
        <v>3</v>
      </c>
      <c r="AN60" s="27">
        <v>374</v>
      </c>
      <c r="AO60" s="27" t="s">
        <v>65</v>
      </c>
      <c r="AP60" s="27">
        <v>37</v>
      </c>
      <c r="AQ60" s="27">
        <v>1</v>
      </c>
      <c r="AR60" s="27">
        <v>442402</v>
      </c>
      <c r="AS60" s="27" t="s">
        <v>118</v>
      </c>
      <c r="AT60" s="27" t="s">
        <v>1258</v>
      </c>
      <c r="AU60" s="31" t="s">
        <v>118</v>
      </c>
    </row>
    <row r="61" spans="1:47" x14ac:dyDescent="0.25">
      <c r="A61" s="7">
        <f>+CONCATENATE(DAY(V61),"/",MONTH(V61),"/",YEAR(V61),"")*1</f>
        <v>46148</v>
      </c>
      <c r="B61" s="23">
        <f>+Z61*1</f>
        <v>1167356230</v>
      </c>
      <c r="C61" s="21" t="str">
        <f>+AA61</f>
        <v>ENTRANTE</v>
      </c>
      <c r="D61" s="3" t="str">
        <f>VLOOKUP(Q61,Code!E:F,2,0)</f>
        <v>Admisiones</v>
      </c>
      <c r="E61" s="3" t="s">
        <v>55</v>
      </c>
      <c r="F61" s="3">
        <f>+AP61</f>
        <v>37</v>
      </c>
      <c r="G61" s="3">
        <f>+S61</f>
        <v>27</v>
      </c>
      <c r="H61" s="22">
        <f>+HOUR(V61)</f>
        <v>18</v>
      </c>
      <c r="I61" s="22">
        <f>IFERROR(VLOOKUP(B61,MATRICULAS!A:B,2,0),0)*1</f>
        <v>0</v>
      </c>
      <c r="J61" s="27">
        <v>20260506</v>
      </c>
      <c r="K61" s="27">
        <v>149095452</v>
      </c>
      <c r="L61" s="27" t="s">
        <v>134</v>
      </c>
      <c r="M61" s="27" t="s">
        <v>56</v>
      </c>
      <c r="N61" s="27">
        <v>0</v>
      </c>
      <c r="O61" s="27">
        <v>0</v>
      </c>
      <c r="P61" s="27" t="s">
        <v>57</v>
      </c>
      <c r="Q61" s="27">
        <v>150</v>
      </c>
      <c r="R61" s="27" t="s">
        <v>152</v>
      </c>
      <c r="S61" s="27">
        <v>27</v>
      </c>
      <c r="T61" s="27" t="s">
        <v>58</v>
      </c>
      <c r="U61" s="27" t="s">
        <v>59</v>
      </c>
      <c r="V61" s="30">
        <v>46148.763009259259</v>
      </c>
      <c r="W61" s="30">
        <v>46148.763009259259</v>
      </c>
      <c r="X61" s="30">
        <v>46148.769201388888</v>
      </c>
      <c r="Y61" s="27" t="s">
        <v>117</v>
      </c>
      <c r="Z61" s="27" t="s">
        <v>1259</v>
      </c>
      <c r="AA61" s="27" t="s">
        <v>53</v>
      </c>
      <c r="AB61" s="27" t="s">
        <v>60</v>
      </c>
      <c r="AC61" s="27" t="s">
        <v>1260</v>
      </c>
      <c r="AD61" s="27" t="s">
        <v>118</v>
      </c>
      <c r="AE61" s="27" t="s">
        <v>61</v>
      </c>
      <c r="AF61" s="27" t="s">
        <v>62</v>
      </c>
      <c r="AG61" s="27" t="s">
        <v>63</v>
      </c>
      <c r="AH61" s="27">
        <v>0</v>
      </c>
      <c r="AI61" s="27">
        <v>0</v>
      </c>
      <c r="AJ61" s="27">
        <v>0</v>
      </c>
      <c r="AK61" s="27">
        <v>0</v>
      </c>
      <c r="AL61" s="27" t="s">
        <v>64</v>
      </c>
      <c r="AM61" s="27">
        <v>3</v>
      </c>
      <c r="AN61" s="27">
        <v>536</v>
      </c>
      <c r="AO61" s="27" t="s">
        <v>65</v>
      </c>
      <c r="AP61" s="27">
        <v>37</v>
      </c>
      <c r="AQ61" s="27">
        <v>201</v>
      </c>
      <c r="AR61" s="27">
        <v>2489828</v>
      </c>
      <c r="AS61" s="27" t="s">
        <v>118</v>
      </c>
      <c r="AT61" s="27" t="s">
        <v>1261</v>
      </c>
      <c r="AU61" s="31" t="s">
        <v>118</v>
      </c>
    </row>
    <row r="62" spans="1:47" x14ac:dyDescent="0.25">
      <c r="A62" s="7">
        <f>+CONCATENATE(DAY(V62),"/",MONTH(V62),"/",YEAR(V62),"")*1</f>
        <v>46148</v>
      </c>
      <c r="B62" s="23">
        <f>+Z62*1</f>
        <v>1159246781</v>
      </c>
      <c r="C62" s="21" t="str">
        <f>+AA62</f>
        <v>ENTRANTE</v>
      </c>
      <c r="D62" s="3" t="str">
        <f>VLOOKUP(Q62,Code!E:F,2,0)</f>
        <v>Admisiones</v>
      </c>
      <c r="E62" s="3" t="s">
        <v>55</v>
      </c>
      <c r="F62" s="3">
        <f>+AP62</f>
        <v>37</v>
      </c>
      <c r="G62" s="3">
        <f>+S62</f>
        <v>27</v>
      </c>
      <c r="H62" s="22">
        <f>+HOUR(V62)</f>
        <v>17</v>
      </c>
      <c r="I62" s="22">
        <f>IFERROR(VLOOKUP(B62,MATRICULAS!A:B,2,0),0)*1</f>
        <v>0</v>
      </c>
      <c r="J62" s="26">
        <v>20260506</v>
      </c>
      <c r="K62" s="26">
        <v>149094453</v>
      </c>
      <c r="L62" s="26" t="s">
        <v>134</v>
      </c>
      <c r="M62" s="26" t="s">
        <v>56</v>
      </c>
      <c r="N62" s="26">
        <v>0</v>
      </c>
      <c r="O62" s="26">
        <v>0</v>
      </c>
      <c r="P62" s="26" t="s">
        <v>57</v>
      </c>
      <c r="Q62" s="26">
        <v>150</v>
      </c>
      <c r="R62" s="26" t="s">
        <v>152</v>
      </c>
      <c r="S62" s="26">
        <v>27</v>
      </c>
      <c r="T62" s="26" t="s">
        <v>58</v>
      </c>
      <c r="U62" s="26" t="s">
        <v>59</v>
      </c>
      <c r="V62" s="28">
        <v>46148.726134259261</v>
      </c>
      <c r="W62" s="28">
        <v>46148.726134259261</v>
      </c>
      <c r="X62" s="28">
        <v>46148.727175925924</v>
      </c>
      <c r="Y62" s="26" t="s">
        <v>117</v>
      </c>
      <c r="Z62" s="26" t="s">
        <v>1262</v>
      </c>
      <c r="AA62" s="26" t="s">
        <v>53</v>
      </c>
      <c r="AB62" s="26" t="s">
        <v>60</v>
      </c>
      <c r="AC62" s="26" t="s">
        <v>1263</v>
      </c>
      <c r="AD62" s="26" t="s">
        <v>118</v>
      </c>
      <c r="AE62" s="26" t="s">
        <v>61</v>
      </c>
      <c r="AF62" s="26" t="s">
        <v>62</v>
      </c>
      <c r="AG62" s="26" t="s">
        <v>63</v>
      </c>
      <c r="AH62" s="26">
        <v>0</v>
      </c>
      <c r="AI62" s="26">
        <v>0</v>
      </c>
      <c r="AJ62" s="26">
        <v>0</v>
      </c>
      <c r="AK62" s="26">
        <v>0</v>
      </c>
      <c r="AL62" s="26" t="s">
        <v>64</v>
      </c>
      <c r="AM62" s="26">
        <v>3</v>
      </c>
      <c r="AN62" s="26">
        <v>91</v>
      </c>
      <c r="AO62" s="26" t="s">
        <v>65</v>
      </c>
      <c r="AP62" s="26">
        <v>37</v>
      </c>
      <c r="AQ62" s="26">
        <v>201</v>
      </c>
      <c r="AR62" s="26">
        <v>2489856</v>
      </c>
      <c r="AS62" s="26" t="s">
        <v>118</v>
      </c>
      <c r="AT62" s="26" t="s">
        <v>1264</v>
      </c>
      <c r="AU62" s="29" t="s">
        <v>118</v>
      </c>
    </row>
    <row r="63" spans="1:47" x14ac:dyDescent="0.25">
      <c r="A63" s="7">
        <f>+CONCATENATE(DAY(V63),"/",MONTH(V63),"/",YEAR(V63),"")*1</f>
        <v>46148</v>
      </c>
      <c r="B63" s="23">
        <f>+Z63*1</f>
        <v>3546420921</v>
      </c>
      <c r="C63" s="21" t="str">
        <f>+AA63</f>
        <v>ENTRANTE</v>
      </c>
      <c r="D63" s="3" t="str">
        <f>VLOOKUP(Q63,Code!E:F,2,0)</f>
        <v>Admisiones</v>
      </c>
      <c r="E63" s="3" t="s">
        <v>55</v>
      </c>
      <c r="F63" s="3">
        <f>+AP63</f>
        <v>37</v>
      </c>
      <c r="G63" s="3">
        <f>+S63</f>
        <v>27</v>
      </c>
      <c r="H63" s="22">
        <f>+HOUR(V63)</f>
        <v>17</v>
      </c>
      <c r="I63" s="22">
        <f>IFERROR(VLOOKUP(B63,MATRICULAS!A:B,2,0),0)*1</f>
        <v>0</v>
      </c>
      <c r="J63" s="27">
        <v>20260506</v>
      </c>
      <c r="K63" s="27">
        <v>149094082</v>
      </c>
      <c r="L63" s="27" t="s">
        <v>134</v>
      </c>
      <c r="M63" s="27" t="s">
        <v>56</v>
      </c>
      <c r="N63" s="27">
        <v>0</v>
      </c>
      <c r="O63" s="27">
        <v>0</v>
      </c>
      <c r="P63" s="27" t="s">
        <v>57</v>
      </c>
      <c r="Q63" s="27">
        <v>150</v>
      </c>
      <c r="R63" s="27" t="s">
        <v>152</v>
      </c>
      <c r="S63" s="27">
        <v>27</v>
      </c>
      <c r="T63" s="27" t="s">
        <v>58</v>
      </c>
      <c r="U63" s="27" t="s">
        <v>59</v>
      </c>
      <c r="V63" s="30">
        <v>46148.710023148145</v>
      </c>
      <c r="W63" s="30">
        <v>46148.710023148145</v>
      </c>
      <c r="X63" s="30">
        <v>46148.710381944446</v>
      </c>
      <c r="Y63" s="27" t="s">
        <v>117</v>
      </c>
      <c r="Z63" s="27" t="s">
        <v>1265</v>
      </c>
      <c r="AA63" s="27" t="s">
        <v>53</v>
      </c>
      <c r="AB63" s="27" t="s">
        <v>60</v>
      </c>
      <c r="AC63" s="27" t="s">
        <v>1266</v>
      </c>
      <c r="AD63" s="27" t="s">
        <v>118</v>
      </c>
      <c r="AE63" s="27" t="s">
        <v>70</v>
      </c>
      <c r="AF63" s="27" t="s">
        <v>130</v>
      </c>
      <c r="AG63" s="27" t="s">
        <v>1267</v>
      </c>
      <c r="AH63" s="27">
        <v>0</v>
      </c>
      <c r="AI63" s="27">
        <v>0</v>
      </c>
      <c r="AJ63" s="27">
        <v>0</v>
      </c>
      <c r="AK63" s="27">
        <v>0</v>
      </c>
      <c r="AL63" s="27" t="s">
        <v>64</v>
      </c>
      <c r="AM63" s="27">
        <v>3</v>
      </c>
      <c r="AN63" s="27">
        <v>31</v>
      </c>
      <c r="AO63" s="27" t="s">
        <v>65</v>
      </c>
      <c r="AP63" s="27">
        <v>37</v>
      </c>
      <c r="AQ63" s="27">
        <v>1</v>
      </c>
      <c r="AR63" s="27">
        <v>2489823</v>
      </c>
      <c r="AS63" s="27" t="s">
        <v>1268</v>
      </c>
      <c r="AT63" s="27" t="s">
        <v>1269</v>
      </c>
      <c r="AU63" s="31" t="s">
        <v>118</v>
      </c>
    </row>
    <row r="64" spans="1:47" x14ac:dyDescent="0.25">
      <c r="A64" s="7">
        <f>+CONCATENATE(DAY(V64),"/",MONTH(V64),"/",YEAR(V64),"")*1</f>
        <v>46148</v>
      </c>
      <c r="B64" s="23">
        <f>+Z64*1</f>
        <v>2932477185</v>
      </c>
      <c r="C64" s="21" t="str">
        <f>+AA64</f>
        <v>ENTRANTE</v>
      </c>
      <c r="D64" s="3" t="str">
        <f>VLOOKUP(Q64,Code!E:F,2,0)</f>
        <v>Admisiones</v>
      </c>
      <c r="E64" s="3" t="s">
        <v>55</v>
      </c>
      <c r="F64" s="3">
        <f>+AP64</f>
        <v>37</v>
      </c>
      <c r="G64" s="3">
        <f>+S64</f>
        <v>27</v>
      </c>
      <c r="H64" s="22">
        <f>+HOUR(V64)</f>
        <v>16</v>
      </c>
      <c r="I64" s="22">
        <f>IFERROR(VLOOKUP(B64,MATRICULAS!A:B,2,0),0)*1</f>
        <v>1</v>
      </c>
      <c r="J64" s="26">
        <v>20260506</v>
      </c>
      <c r="K64" s="26">
        <v>149093841</v>
      </c>
      <c r="L64" s="26" t="s">
        <v>134</v>
      </c>
      <c r="M64" s="26" t="s">
        <v>56</v>
      </c>
      <c r="N64" s="26">
        <v>0</v>
      </c>
      <c r="O64" s="26">
        <v>0</v>
      </c>
      <c r="P64" s="26" t="s">
        <v>57</v>
      </c>
      <c r="Q64" s="26">
        <v>150</v>
      </c>
      <c r="R64" s="26" t="s">
        <v>152</v>
      </c>
      <c r="S64" s="26">
        <v>27</v>
      </c>
      <c r="T64" s="26" t="s">
        <v>58</v>
      </c>
      <c r="U64" s="26" t="s">
        <v>59</v>
      </c>
      <c r="V64" s="28">
        <v>46148.699606481481</v>
      </c>
      <c r="W64" s="28">
        <v>46148.699606481481</v>
      </c>
      <c r="X64" s="28">
        <v>46148.706608796296</v>
      </c>
      <c r="Y64" s="26" t="s">
        <v>117</v>
      </c>
      <c r="Z64" s="26" t="s">
        <v>203</v>
      </c>
      <c r="AA64" s="26" t="s">
        <v>53</v>
      </c>
      <c r="AB64" s="26" t="s">
        <v>60</v>
      </c>
      <c r="AC64" s="26" t="s">
        <v>1270</v>
      </c>
      <c r="AD64" s="26" t="s">
        <v>118</v>
      </c>
      <c r="AE64" s="26" t="s">
        <v>61</v>
      </c>
      <c r="AF64" s="26" t="s">
        <v>62</v>
      </c>
      <c r="AG64" s="26" t="s">
        <v>63</v>
      </c>
      <c r="AH64" s="26">
        <v>0</v>
      </c>
      <c r="AI64" s="26">
        <v>0</v>
      </c>
      <c r="AJ64" s="26">
        <v>0</v>
      </c>
      <c r="AK64" s="26">
        <v>0</v>
      </c>
      <c r="AL64" s="26" t="s">
        <v>64</v>
      </c>
      <c r="AM64" s="26">
        <v>3</v>
      </c>
      <c r="AN64" s="26">
        <v>606</v>
      </c>
      <c r="AO64" s="26" t="s">
        <v>65</v>
      </c>
      <c r="AP64" s="26">
        <v>37</v>
      </c>
      <c r="AQ64" s="26">
        <v>201</v>
      </c>
      <c r="AR64" s="26">
        <v>2489584</v>
      </c>
      <c r="AS64" s="26" t="s">
        <v>118</v>
      </c>
      <c r="AT64" s="26" t="s">
        <v>1271</v>
      </c>
      <c r="AU64" s="29" t="s">
        <v>118</v>
      </c>
    </row>
    <row r="65" spans="1:47" x14ac:dyDescent="0.25">
      <c r="A65" s="7">
        <f>+CONCATENATE(DAY(V65),"/",MONTH(V65),"/",YEAR(V65),"")*1</f>
        <v>46148</v>
      </c>
      <c r="B65" s="23">
        <f>+Z65*1</f>
        <v>2645328482</v>
      </c>
      <c r="C65" s="21" t="str">
        <f>+AA65</f>
        <v>ENTRANTE</v>
      </c>
      <c r="D65" s="3" t="str">
        <f>VLOOKUP(Q65,Code!E:F,2,0)</f>
        <v>Admisiones</v>
      </c>
      <c r="E65" s="3" t="s">
        <v>55</v>
      </c>
      <c r="F65" s="3">
        <f>+AP65</f>
        <v>37</v>
      </c>
      <c r="G65" s="3">
        <f>+S65</f>
        <v>27</v>
      </c>
      <c r="H65" s="22">
        <f>+HOUR(V65)</f>
        <v>16</v>
      </c>
      <c r="I65" s="22">
        <f>IFERROR(VLOOKUP(B65,MATRICULAS!A:B,2,0),0)*1</f>
        <v>0</v>
      </c>
      <c r="J65" s="26">
        <v>20260506</v>
      </c>
      <c r="K65" s="26">
        <v>149093801</v>
      </c>
      <c r="L65" s="26" t="s">
        <v>134</v>
      </c>
      <c r="M65" s="26" t="s">
        <v>56</v>
      </c>
      <c r="N65" s="26">
        <v>0</v>
      </c>
      <c r="O65" s="26">
        <v>0</v>
      </c>
      <c r="P65" s="26" t="s">
        <v>57</v>
      </c>
      <c r="Q65" s="26">
        <v>150</v>
      </c>
      <c r="R65" s="26" t="s">
        <v>165</v>
      </c>
      <c r="S65" s="26">
        <v>27</v>
      </c>
      <c r="T65" s="26" t="s">
        <v>58</v>
      </c>
      <c r="U65" s="26" t="s">
        <v>59</v>
      </c>
      <c r="V65" s="28">
        <v>46148.698217592595</v>
      </c>
      <c r="W65" s="28">
        <v>46148.698217592595</v>
      </c>
      <c r="X65" s="28">
        <v>46148.701064814813</v>
      </c>
      <c r="Y65" s="26" t="s">
        <v>117</v>
      </c>
      <c r="Z65" s="26" t="s">
        <v>1272</v>
      </c>
      <c r="AA65" s="26" t="s">
        <v>53</v>
      </c>
      <c r="AB65" s="26" t="s">
        <v>60</v>
      </c>
      <c r="AC65" s="26" t="s">
        <v>1273</v>
      </c>
      <c r="AD65" s="26" t="s">
        <v>118</v>
      </c>
      <c r="AE65" s="26" t="s">
        <v>61</v>
      </c>
      <c r="AF65" s="26" t="s">
        <v>62</v>
      </c>
      <c r="AG65" s="26" t="s">
        <v>63</v>
      </c>
      <c r="AH65" s="26">
        <v>0</v>
      </c>
      <c r="AI65" s="26">
        <v>0</v>
      </c>
      <c r="AJ65" s="26">
        <v>0</v>
      </c>
      <c r="AK65" s="26">
        <v>0</v>
      </c>
      <c r="AL65" s="26" t="s">
        <v>64</v>
      </c>
      <c r="AM65" s="26">
        <v>3</v>
      </c>
      <c r="AN65" s="26">
        <v>246</v>
      </c>
      <c r="AO65" s="26" t="s">
        <v>65</v>
      </c>
      <c r="AP65" s="26">
        <v>37</v>
      </c>
      <c r="AQ65" s="26">
        <v>201</v>
      </c>
      <c r="AR65" s="26">
        <v>2487451</v>
      </c>
      <c r="AS65" s="26" t="s">
        <v>118</v>
      </c>
      <c r="AT65" s="26" t="s">
        <v>1274</v>
      </c>
      <c r="AU65" s="29" t="s">
        <v>118</v>
      </c>
    </row>
    <row r="66" spans="1:47" x14ac:dyDescent="0.25">
      <c r="A66" s="7">
        <f>+CONCATENATE(DAY(V66),"/",MONTH(V66),"/",YEAR(V66),"")*1</f>
        <v>46148</v>
      </c>
      <c r="B66" s="23">
        <f>+Z66*1</f>
        <v>2984522648</v>
      </c>
      <c r="C66" s="21" t="str">
        <f>+AA66</f>
        <v>ENTRANTE</v>
      </c>
      <c r="D66" s="3" t="str">
        <f>VLOOKUP(Q66,Code!E:F,2,0)</f>
        <v>Admisiones</v>
      </c>
      <c r="E66" s="3" t="s">
        <v>55</v>
      </c>
      <c r="F66" s="3">
        <f>+AP66</f>
        <v>37</v>
      </c>
      <c r="G66" s="3">
        <f>+S66</f>
        <v>27</v>
      </c>
      <c r="H66" s="22">
        <f>+HOUR(V66)</f>
        <v>16</v>
      </c>
      <c r="I66" s="22">
        <f>IFERROR(VLOOKUP(B66,MATRICULAS!A:B,2,0),0)*1</f>
        <v>0</v>
      </c>
      <c r="J66" s="27">
        <v>20260506</v>
      </c>
      <c r="K66" s="27">
        <v>149093790</v>
      </c>
      <c r="L66" s="27" t="s">
        <v>134</v>
      </c>
      <c r="M66" s="27" t="s">
        <v>56</v>
      </c>
      <c r="N66" s="27">
        <v>0</v>
      </c>
      <c r="O66" s="27">
        <v>0</v>
      </c>
      <c r="P66" s="27" t="s">
        <v>57</v>
      </c>
      <c r="Q66" s="27">
        <v>150</v>
      </c>
      <c r="R66" s="27" t="s">
        <v>161</v>
      </c>
      <c r="S66" s="27">
        <v>27</v>
      </c>
      <c r="T66" s="27" t="s">
        <v>58</v>
      </c>
      <c r="U66" s="27" t="s">
        <v>59</v>
      </c>
      <c r="V66" s="30">
        <v>46148.697997685187</v>
      </c>
      <c r="W66" s="30">
        <v>46148.697997685187</v>
      </c>
      <c r="X66" s="30">
        <v>46148.702592592592</v>
      </c>
      <c r="Y66" s="27" t="s">
        <v>117</v>
      </c>
      <c r="Z66" s="27" t="s">
        <v>1275</v>
      </c>
      <c r="AA66" s="27" t="s">
        <v>53</v>
      </c>
      <c r="AB66" s="27" t="s">
        <v>60</v>
      </c>
      <c r="AC66" s="27" t="s">
        <v>1276</v>
      </c>
      <c r="AD66" s="27" t="s">
        <v>118</v>
      </c>
      <c r="AE66" s="27" t="s">
        <v>61</v>
      </c>
      <c r="AF66" s="27" t="s">
        <v>62</v>
      </c>
      <c r="AG66" s="27" t="s">
        <v>63</v>
      </c>
      <c r="AH66" s="27">
        <v>0</v>
      </c>
      <c r="AI66" s="27">
        <v>0</v>
      </c>
      <c r="AJ66" s="27">
        <v>0</v>
      </c>
      <c r="AK66" s="27">
        <v>0</v>
      </c>
      <c r="AL66" s="27" t="s">
        <v>64</v>
      </c>
      <c r="AM66" s="27">
        <v>3</v>
      </c>
      <c r="AN66" s="27">
        <v>398</v>
      </c>
      <c r="AO66" s="27" t="s">
        <v>65</v>
      </c>
      <c r="AP66" s="27">
        <v>37</v>
      </c>
      <c r="AQ66" s="27">
        <v>202</v>
      </c>
      <c r="AR66" s="27">
        <v>2488129</v>
      </c>
      <c r="AS66" s="27" t="s">
        <v>118</v>
      </c>
      <c r="AT66" s="27" t="s">
        <v>1277</v>
      </c>
      <c r="AU66" s="31" t="s">
        <v>118</v>
      </c>
    </row>
    <row r="67" spans="1:47" x14ac:dyDescent="0.25">
      <c r="A67" s="7">
        <f>+CONCATENATE(DAY(V67),"/",MONTH(V67),"/",YEAR(V67),"")*1</f>
        <v>46148</v>
      </c>
      <c r="B67" s="23">
        <f>+Z67*1</f>
        <v>1121611655</v>
      </c>
      <c r="C67" s="21" t="str">
        <f>+AA67</f>
        <v>ENTRANTE</v>
      </c>
      <c r="D67" s="3" t="str">
        <f>VLOOKUP(Q67,Code!E:F,2,0)</f>
        <v>Admisiones</v>
      </c>
      <c r="E67" s="3" t="s">
        <v>55</v>
      </c>
      <c r="F67" s="3">
        <f>+AP67</f>
        <v>37</v>
      </c>
      <c r="G67" s="3">
        <f>+S67</f>
        <v>27</v>
      </c>
      <c r="H67" s="22">
        <f>+HOUR(V67)</f>
        <v>16</v>
      </c>
      <c r="I67" s="22">
        <f>IFERROR(VLOOKUP(B67,MATRICULAS!A:B,2,0),0)*1</f>
        <v>0</v>
      </c>
      <c r="J67" s="26">
        <v>20260506</v>
      </c>
      <c r="K67" s="26">
        <v>149093227</v>
      </c>
      <c r="L67" s="26" t="s">
        <v>134</v>
      </c>
      <c r="M67" s="26" t="s">
        <v>56</v>
      </c>
      <c r="N67" s="26">
        <v>0</v>
      </c>
      <c r="O67" s="26">
        <v>0</v>
      </c>
      <c r="P67" s="26" t="s">
        <v>57</v>
      </c>
      <c r="Q67" s="26">
        <v>150</v>
      </c>
      <c r="R67" s="26" t="s">
        <v>152</v>
      </c>
      <c r="S67" s="26">
        <v>27</v>
      </c>
      <c r="T67" s="26" t="s">
        <v>58</v>
      </c>
      <c r="U67" s="26" t="s">
        <v>59</v>
      </c>
      <c r="V67" s="28">
        <v>46148.67900462963</v>
      </c>
      <c r="W67" s="28">
        <v>46148.67900462963</v>
      </c>
      <c r="X67" s="28">
        <v>46148.679432870369</v>
      </c>
      <c r="Y67" s="26" t="s">
        <v>117</v>
      </c>
      <c r="Z67" s="26" t="s">
        <v>1278</v>
      </c>
      <c r="AA67" s="26" t="s">
        <v>53</v>
      </c>
      <c r="AB67" s="26" t="s">
        <v>60</v>
      </c>
      <c r="AC67" s="26" t="s">
        <v>1279</v>
      </c>
      <c r="AD67" s="26" t="s">
        <v>118</v>
      </c>
      <c r="AE67" s="26" t="s">
        <v>61</v>
      </c>
      <c r="AF67" s="26" t="s">
        <v>62</v>
      </c>
      <c r="AG67" s="26" t="s">
        <v>63</v>
      </c>
      <c r="AH67" s="26">
        <v>0</v>
      </c>
      <c r="AI67" s="26">
        <v>0</v>
      </c>
      <c r="AJ67" s="26">
        <v>0</v>
      </c>
      <c r="AK67" s="26">
        <v>0</v>
      </c>
      <c r="AL67" s="26" t="s">
        <v>64</v>
      </c>
      <c r="AM67" s="26">
        <v>3</v>
      </c>
      <c r="AN67" s="26">
        <v>37</v>
      </c>
      <c r="AO67" s="26" t="s">
        <v>65</v>
      </c>
      <c r="AP67" s="26">
        <v>37</v>
      </c>
      <c r="AQ67" s="26">
        <v>0</v>
      </c>
      <c r="AR67" s="26">
        <v>0</v>
      </c>
      <c r="AS67" s="26" t="s">
        <v>118</v>
      </c>
      <c r="AT67" s="26" t="s">
        <v>1280</v>
      </c>
      <c r="AU67" s="29" t="s">
        <v>118</v>
      </c>
    </row>
    <row r="68" spans="1:47" x14ac:dyDescent="0.25">
      <c r="A68" s="7">
        <f>+CONCATENATE(DAY(V68),"/",MONTH(V68),"/",YEAR(V68),"")*1</f>
        <v>46148</v>
      </c>
      <c r="B68" s="23">
        <f>+Z68*1</f>
        <v>3874560134</v>
      </c>
      <c r="C68" s="21" t="str">
        <f>+AA68</f>
        <v>ENTRANTE</v>
      </c>
      <c r="D68" s="3" t="str">
        <f>VLOOKUP(Q68,Code!E:F,2,0)</f>
        <v>Admisiones</v>
      </c>
      <c r="E68" s="3" t="s">
        <v>55</v>
      </c>
      <c r="F68" s="3">
        <f>+AP68</f>
        <v>37</v>
      </c>
      <c r="G68" s="3">
        <f>+S68</f>
        <v>27</v>
      </c>
      <c r="H68" s="22">
        <f>+HOUR(V68)</f>
        <v>16</v>
      </c>
      <c r="I68" s="22">
        <f>IFERROR(VLOOKUP(B68,MATRICULAS!A:B,2,0),0)*1</f>
        <v>0</v>
      </c>
      <c r="J68" s="27">
        <v>20260506</v>
      </c>
      <c r="K68" s="27">
        <v>149092922</v>
      </c>
      <c r="L68" s="27" t="s">
        <v>134</v>
      </c>
      <c r="M68" s="27" t="s">
        <v>56</v>
      </c>
      <c r="N68" s="27">
        <v>0</v>
      </c>
      <c r="O68" s="27">
        <v>0</v>
      </c>
      <c r="P68" s="27" t="s">
        <v>57</v>
      </c>
      <c r="Q68" s="27">
        <v>150</v>
      </c>
      <c r="R68" s="27" t="s">
        <v>163</v>
      </c>
      <c r="S68" s="27">
        <v>27</v>
      </c>
      <c r="T68" s="27" t="s">
        <v>58</v>
      </c>
      <c r="U68" s="27" t="s">
        <v>59</v>
      </c>
      <c r="V68" s="30">
        <v>46148.666759259257</v>
      </c>
      <c r="W68" s="30">
        <v>46148.666759259257</v>
      </c>
      <c r="X68" s="30">
        <v>46148.674375000002</v>
      </c>
      <c r="Y68" s="27" t="s">
        <v>117</v>
      </c>
      <c r="Z68" s="27" t="s">
        <v>1281</v>
      </c>
      <c r="AA68" s="27" t="s">
        <v>53</v>
      </c>
      <c r="AB68" s="27" t="s">
        <v>60</v>
      </c>
      <c r="AC68" s="27" t="s">
        <v>1282</v>
      </c>
      <c r="AD68" s="27" t="s">
        <v>118</v>
      </c>
      <c r="AE68" s="27" t="s">
        <v>61</v>
      </c>
      <c r="AF68" s="27" t="s">
        <v>62</v>
      </c>
      <c r="AG68" s="27" t="s">
        <v>63</v>
      </c>
      <c r="AH68" s="27">
        <v>0</v>
      </c>
      <c r="AI68" s="27">
        <v>0</v>
      </c>
      <c r="AJ68" s="27">
        <v>0</v>
      </c>
      <c r="AK68" s="27">
        <v>0</v>
      </c>
      <c r="AL68" s="27" t="s">
        <v>64</v>
      </c>
      <c r="AM68" s="27">
        <v>3</v>
      </c>
      <c r="AN68" s="27">
        <v>658</v>
      </c>
      <c r="AO68" s="27" t="s">
        <v>65</v>
      </c>
      <c r="AP68" s="27">
        <v>37</v>
      </c>
      <c r="AQ68" s="27">
        <v>179</v>
      </c>
      <c r="AR68" s="27">
        <v>2094217</v>
      </c>
      <c r="AS68" s="27" t="s">
        <v>118</v>
      </c>
      <c r="AT68" s="27" t="s">
        <v>1283</v>
      </c>
      <c r="AU68" s="31" t="s">
        <v>118</v>
      </c>
    </row>
    <row r="69" spans="1:47" x14ac:dyDescent="0.25">
      <c r="A69" s="7">
        <f>+CONCATENATE(DAY(V69),"/",MONTH(V69),"/",YEAR(V69),"")*1</f>
        <v>46148</v>
      </c>
      <c r="B69" s="23">
        <f>+Z69*1</f>
        <v>1151609356</v>
      </c>
      <c r="C69" s="21" t="str">
        <f>+AA69</f>
        <v>ENTRANTE</v>
      </c>
      <c r="D69" s="3" t="str">
        <f>VLOOKUP(Q69,Code!E:F,2,0)</f>
        <v>Admisiones</v>
      </c>
      <c r="E69" s="3" t="s">
        <v>55</v>
      </c>
      <c r="F69" s="3">
        <f>+AP69</f>
        <v>37</v>
      </c>
      <c r="G69" s="3">
        <f>+S69</f>
        <v>26</v>
      </c>
      <c r="H69" s="22">
        <f>+HOUR(V69)</f>
        <v>14</v>
      </c>
      <c r="I69" s="22">
        <f>IFERROR(VLOOKUP(B69,MATRICULAS!A:B,2,0),0)*1</f>
        <v>0</v>
      </c>
      <c r="J69" s="26">
        <v>20260506</v>
      </c>
      <c r="K69" s="26">
        <v>149090554</v>
      </c>
      <c r="L69" s="26" t="s">
        <v>134</v>
      </c>
      <c r="M69" s="26" t="s">
        <v>56</v>
      </c>
      <c r="N69" s="26">
        <v>0</v>
      </c>
      <c r="O69" s="26">
        <v>0</v>
      </c>
      <c r="P69" s="26" t="s">
        <v>57</v>
      </c>
      <c r="Q69" s="26">
        <v>150</v>
      </c>
      <c r="R69" s="26" t="s">
        <v>153</v>
      </c>
      <c r="S69" s="26">
        <v>26</v>
      </c>
      <c r="T69" s="26" t="s">
        <v>58</v>
      </c>
      <c r="U69" s="26" t="s">
        <v>59</v>
      </c>
      <c r="V69" s="28">
        <v>46148.600555555553</v>
      </c>
      <c r="W69" s="28">
        <v>46148.600555555553</v>
      </c>
      <c r="X69" s="28">
        <v>46148.601574074077</v>
      </c>
      <c r="Y69" s="26" t="s">
        <v>117</v>
      </c>
      <c r="Z69" s="26" t="s">
        <v>1285</v>
      </c>
      <c r="AA69" s="26" t="s">
        <v>53</v>
      </c>
      <c r="AB69" s="26" t="s">
        <v>60</v>
      </c>
      <c r="AC69" s="26" t="s">
        <v>1286</v>
      </c>
      <c r="AD69" s="26" t="s">
        <v>118</v>
      </c>
      <c r="AE69" s="26" t="s">
        <v>61</v>
      </c>
      <c r="AF69" s="26" t="s">
        <v>62</v>
      </c>
      <c r="AG69" s="26" t="s">
        <v>63</v>
      </c>
      <c r="AH69" s="26">
        <v>0</v>
      </c>
      <c r="AI69" s="26">
        <v>0</v>
      </c>
      <c r="AJ69" s="26">
        <v>0</v>
      </c>
      <c r="AK69" s="26">
        <v>0</v>
      </c>
      <c r="AL69" s="26" t="s">
        <v>64</v>
      </c>
      <c r="AM69" s="26">
        <v>3</v>
      </c>
      <c r="AN69" s="26">
        <v>88</v>
      </c>
      <c r="AO69" s="26" t="s">
        <v>65</v>
      </c>
      <c r="AP69" s="26">
        <v>37</v>
      </c>
      <c r="AQ69" s="26">
        <v>0</v>
      </c>
      <c r="AR69" s="26">
        <v>0</v>
      </c>
      <c r="AS69" s="26" t="s">
        <v>118</v>
      </c>
      <c r="AT69" s="26" t="s">
        <v>1287</v>
      </c>
      <c r="AU69" s="29" t="s">
        <v>118</v>
      </c>
    </row>
    <row r="70" spans="1:47" x14ac:dyDescent="0.25">
      <c r="A70" s="7">
        <f>+CONCATENATE(DAY(V70),"/",MONTH(V70),"/",YEAR(V70),"")*1</f>
        <v>46148</v>
      </c>
      <c r="B70" s="23">
        <f>+Z70*1</f>
        <v>1178938939</v>
      </c>
      <c r="C70" s="21" t="str">
        <f>+AA70</f>
        <v>ENTRANTE</v>
      </c>
      <c r="D70" s="3" t="str">
        <f>VLOOKUP(Q70,Code!E:F,2,0)</f>
        <v>Admisiones</v>
      </c>
      <c r="E70" s="3" t="s">
        <v>55</v>
      </c>
      <c r="F70" s="3">
        <f>+AP70</f>
        <v>37</v>
      </c>
      <c r="G70" s="3">
        <f>+S70</f>
        <v>26</v>
      </c>
      <c r="H70" s="22">
        <f>+HOUR(V70)</f>
        <v>14</v>
      </c>
      <c r="I70" s="22">
        <f>IFERROR(VLOOKUP(B70,MATRICULAS!A:B,2,0),0)*1</f>
        <v>0</v>
      </c>
      <c r="J70" s="27">
        <v>20260506</v>
      </c>
      <c r="K70" s="27">
        <v>149090280</v>
      </c>
      <c r="L70" s="27" t="s">
        <v>134</v>
      </c>
      <c r="M70" s="27" t="s">
        <v>56</v>
      </c>
      <c r="N70" s="27">
        <v>0</v>
      </c>
      <c r="O70" s="27">
        <v>0</v>
      </c>
      <c r="P70" s="27" t="s">
        <v>57</v>
      </c>
      <c r="Q70" s="27">
        <v>150</v>
      </c>
      <c r="R70" s="27" t="s">
        <v>145</v>
      </c>
      <c r="S70" s="27">
        <v>26</v>
      </c>
      <c r="T70" s="27" t="s">
        <v>58</v>
      </c>
      <c r="U70" s="27" t="s">
        <v>59</v>
      </c>
      <c r="V70" s="30">
        <v>46148.592638888891</v>
      </c>
      <c r="W70" s="30">
        <v>46148.592638888891</v>
      </c>
      <c r="X70" s="30">
        <v>46148.600902777776</v>
      </c>
      <c r="Y70" s="27" t="s">
        <v>117</v>
      </c>
      <c r="Z70" s="27" t="s">
        <v>1288</v>
      </c>
      <c r="AA70" s="27" t="s">
        <v>53</v>
      </c>
      <c r="AB70" s="27" t="s">
        <v>60</v>
      </c>
      <c r="AC70" s="27" t="s">
        <v>1289</v>
      </c>
      <c r="AD70" s="27" t="s">
        <v>118</v>
      </c>
      <c r="AE70" s="27" t="s">
        <v>66</v>
      </c>
      <c r="AF70" s="27" t="s">
        <v>67</v>
      </c>
      <c r="AG70" s="27" t="s">
        <v>67</v>
      </c>
      <c r="AH70" s="27">
        <v>0</v>
      </c>
      <c r="AI70" s="27">
        <v>0</v>
      </c>
      <c r="AJ70" s="27">
        <v>0</v>
      </c>
      <c r="AK70" s="27">
        <v>0</v>
      </c>
      <c r="AL70" s="27" t="s">
        <v>64</v>
      </c>
      <c r="AM70" s="27">
        <v>3</v>
      </c>
      <c r="AN70" s="27">
        <v>714</v>
      </c>
      <c r="AO70" s="27" t="s">
        <v>65</v>
      </c>
      <c r="AP70" s="27">
        <v>37</v>
      </c>
      <c r="AQ70" s="27">
        <v>202</v>
      </c>
      <c r="AR70" s="27">
        <v>2489515</v>
      </c>
      <c r="AS70" s="27" t="s">
        <v>118</v>
      </c>
      <c r="AT70" s="27" t="s">
        <v>1290</v>
      </c>
      <c r="AU70" s="31" t="s">
        <v>118</v>
      </c>
    </row>
    <row r="71" spans="1:47" x14ac:dyDescent="0.25">
      <c r="A71" s="7">
        <f>+CONCATENATE(DAY(V71),"/",MONTH(V71),"/",YEAR(V71),"")*1</f>
        <v>46148</v>
      </c>
      <c r="B71" s="23">
        <f>+Z71*1</f>
        <v>2964493860</v>
      </c>
      <c r="C71" s="21" t="str">
        <f>+AA71</f>
        <v>ENTRANTE</v>
      </c>
      <c r="D71" s="3" t="str">
        <f>VLOOKUP(Q71,Code!E:F,2,0)</f>
        <v>Admisiones</v>
      </c>
      <c r="E71" s="3" t="s">
        <v>55</v>
      </c>
      <c r="F71" s="3">
        <f>+AP71</f>
        <v>37</v>
      </c>
      <c r="G71" s="3">
        <f>+S71</f>
        <v>26</v>
      </c>
      <c r="H71" s="22">
        <f>+HOUR(V71)</f>
        <v>13</v>
      </c>
      <c r="I71" s="22">
        <f>IFERROR(VLOOKUP(B71,MATRICULAS!A:B,2,0),0)*1</f>
        <v>0</v>
      </c>
      <c r="J71" s="26">
        <v>20260506</v>
      </c>
      <c r="K71" s="26">
        <v>149089404</v>
      </c>
      <c r="L71" s="26" t="s">
        <v>134</v>
      </c>
      <c r="M71" s="26" t="s">
        <v>56</v>
      </c>
      <c r="N71" s="26">
        <v>0</v>
      </c>
      <c r="O71" s="26">
        <v>0</v>
      </c>
      <c r="P71" s="26" t="s">
        <v>57</v>
      </c>
      <c r="Q71" s="26">
        <v>150</v>
      </c>
      <c r="R71" s="26" t="s">
        <v>127</v>
      </c>
      <c r="S71" s="26">
        <v>26</v>
      </c>
      <c r="T71" s="26" t="s">
        <v>58</v>
      </c>
      <c r="U71" s="26" t="s">
        <v>59</v>
      </c>
      <c r="V71" s="28">
        <v>46148.573252314818</v>
      </c>
      <c r="W71" s="28">
        <v>46148.573252314818</v>
      </c>
      <c r="X71" s="28">
        <v>46148.580127314817</v>
      </c>
      <c r="Y71" s="26" t="s">
        <v>117</v>
      </c>
      <c r="Z71" s="26" t="s">
        <v>1291</v>
      </c>
      <c r="AA71" s="26" t="s">
        <v>53</v>
      </c>
      <c r="AB71" s="26" t="s">
        <v>60</v>
      </c>
      <c r="AC71" s="26" t="s">
        <v>1292</v>
      </c>
      <c r="AD71" s="26" t="s">
        <v>118</v>
      </c>
      <c r="AE71" s="26" t="s">
        <v>61</v>
      </c>
      <c r="AF71" s="26" t="s">
        <v>62</v>
      </c>
      <c r="AG71" s="26" t="s">
        <v>63</v>
      </c>
      <c r="AH71" s="26">
        <v>0</v>
      </c>
      <c r="AI71" s="26">
        <v>0</v>
      </c>
      <c r="AJ71" s="26">
        <v>0</v>
      </c>
      <c r="AK71" s="26">
        <v>0</v>
      </c>
      <c r="AL71" s="26" t="s">
        <v>64</v>
      </c>
      <c r="AM71" s="26">
        <v>3</v>
      </c>
      <c r="AN71" s="26">
        <v>595</v>
      </c>
      <c r="AO71" s="26" t="s">
        <v>65</v>
      </c>
      <c r="AP71" s="26">
        <v>37</v>
      </c>
      <c r="AQ71" s="26">
        <v>191</v>
      </c>
      <c r="AR71" s="26">
        <v>2336226</v>
      </c>
      <c r="AS71" s="26" t="s">
        <v>118</v>
      </c>
      <c r="AT71" s="26" t="s">
        <v>1293</v>
      </c>
      <c r="AU71" s="29" t="s">
        <v>118</v>
      </c>
    </row>
    <row r="72" spans="1:47" x14ac:dyDescent="0.25">
      <c r="A72" s="7">
        <f>+CONCATENATE(DAY(V72),"/",MONTH(V72),"/",YEAR(V72),"")*1</f>
        <v>46148</v>
      </c>
      <c r="B72" s="23">
        <f>+Z72*1</f>
        <v>1160110693</v>
      </c>
      <c r="C72" s="21" t="str">
        <f>+AA72</f>
        <v>ENTRANTE</v>
      </c>
      <c r="D72" s="3" t="str">
        <f>VLOOKUP(Q72,Code!E:F,2,0)</f>
        <v>Admisiones</v>
      </c>
      <c r="E72" s="3" t="s">
        <v>55</v>
      </c>
      <c r="F72" s="3">
        <f>+AP72</f>
        <v>37</v>
      </c>
      <c r="G72" s="3">
        <f>+S72</f>
        <v>26</v>
      </c>
      <c r="H72" s="22">
        <f>+HOUR(V72)</f>
        <v>13</v>
      </c>
      <c r="I72" s="22">
        <f>IFERROR(VLOOKUP(B72,MATRICULAS!A:B,2,0),0)*1</f>
        <v>0</v>
      </c>
      <c r="J72" s="27">
        <v>20260506</v>
      </c>
      <c r="K72" s="27">
        <v>149088246</v>
      </c>
      <c r="L72" s="27" t="s">
        <v>134</v>
      </c>
      <c r="M72" s="27" t="s">
        <v>56</v>
      </c>
      <c r="N72" s="27">
        <v>0</v>
      </c>
      <c r="O72" s="27">
        <v>0</v>
      </c>
      <c r="P72" s="27" t="s">
        <v>57</v>
      </c>
      <c r="Q72" s="27">
        <v>150</v>
      </c>
      <c r="R72" s="27" t="s">
        <v>127</v>
      </c>
      <c r="S72" s="27">
        <v>26</v>
      </c>
      <c r="T72" s="27" t="s">
        <v>58</v>
      </c>
      <c r="U72" s="27" t="s">
        <v>59</v>
      </c>
      <c r="V72" s="30">
        <v>46148.546979166669</v>
      </c>
      <c r="W72" s="30">
        <v>46148.546979166669</v>
      </c>
      <c r="X72" s="30">
        <v>46148.551689814813</v>
      </c>
      <c r="Y72" s="27" t="s">
        <v>117</v>
      </c>
      <c r="Z72" s="27" t="s">
        <v>1294</v>
      </c>
      <c r="AA72" s="27" t="s">
        <v>53</v>
      </c>
      <c r="AB72" s="27" t="s">
        <v>60</v>
      </c>
      <c r="AC72" s="27" t="s">
        <v>1295</v>
      </c>
      <c r="AD72" s="27" t="s">
        <v>118</v>
      </c>
      <c r="AE72" s="27" t="s">
        <v>61</v>
      </c>
      <c r="AF72" s="27" t="s">
        <v>62</v>
      </c>
      <c r="AG72" s="27" t="s">
        <v>63</v>
      </c>
      <c r="AH72" s="27">
        <v>0</v>
      </c>
      <c r="AI72" s="27">
        <v>0</v>
      </c>
      <c r="AJ72" s="27">
        <v>0</v>
      </c>
      <c r="AK72" s="27">
        <v>0</v>
      </c>
      <c r="AL72" s="27" t="s">
        <v>64</v>
      </c>
      <c r="AM72" s="27">
        <v>3</v>
      </c>
      <c r="AN72" s="27">
        <v>407</v>
      </c>
      <c r="AO72" s="27" t="s">
        <v>65</v>
      </c>
      <c r="AP72" s="27">
        <v>37</v>
      </c>
      <c r="AQ72" s="27">
        <v>1</v>
      </c>
      <c r="AR72" s="27">
        <v>2489494</v>
      </c>
      <c r="AS72" s="27" t="s">
        <v>118</v>
      </c>
      <c r="AT72" s="27" t="s">
        <v>1296</v>
      </c>
      <c r="AU72" s="31" t="s">
        <v>118</v>
      </c>
    </row>
    <row r="73" spans="1:47" x14ac:dyDescent="0.25">
      <c r="A73" s="7">
        <f>+CONCATENATE(DAY(V73),"/",MONTH(V73),"/",YEAR(V73),"")*1</f>
        <v>46148</v>
      </c>
      <c r="B73" s="23">
        <f>+Z73*1</f>
        <v>3446375098</v>
      </c>
      <c r="C73" s="21" t="str">
        <f>+AA73</f>
        <v>ENTRANTE</v>
      </c>
      <c r="D73" s="3" t="str">
        <f>VLOOKUP(Q73,Code!E:F,2,0)</f>
        <v>Admisiones</v>
      </c>
      <c r="E73" s="3" t="s">
        <v>55</v>
      </c>
      <c r="F73" s="3">
        <f>+AP73</f>
        <v>37</v>
      </c>
      <c r="G73" s="3">
        <f>+S73</f>
        <v>26</v>
      </c>
      <c r="H73" s="22">
        <f>+HOUR(V73)</f>
        <v>12</v>
      </c>
      <c r="I73" s="22">
        <f>IFERROR(VLOOKUP(B73,MATRICULAS!A:B,2,0),0)*1</f>
        <v>1</v>
      </c>
      <c r="J73" s="26">
        <v>20260506</v>
      </c>
      <c r="K73" s="26">
        <v>149088101</v>
      </c>
      <c r="L73" s="26" t="s">
        <v>134</v>
      </c>
      <c r="M73" s="26" t="s">
        <v>56</v>
      </c>
      <c r="N73" s="26">
        <v>0</v>
      </c>
      <c r="O73" s="26">
        <v>0</v>
      </c>
      <c r="P73" s="26" t="s">
        <v>57</v>
      </c>
      <c r="Q73" s="26">
        <v>150</v>
      </c>
      <c r="R73" s="26" t="s">
        <v>145</v>
      </c>
      <c r="S73" s="26">
        <v>26</v>
      </c>
      <c r="T73" s="26" t="s">
        <v>58</v>
      </c>
      <c r="U73" s="26" t="s">
        <v>59</v>
      </c>
      <c r="V73" s="28">
        <v>46148.541550925926</v>
      </c>
      <c r="W73" s="28">
        <v>46148.541550925926</v>
      </c>
      <c r="X73" s="28">
        <v>46148.561180555553</v>
      </c>
      <c r="Y73" s="26" t="s">
        <v>117</v>
      </c>
      <c r="Z73" s="26" t="s">
        <v>202</v>
      </c>
      <c r="AA73" s="26" t="s">
        <v>53</v>
      </c>
      <c r="AB73" s="26" t="s">
        <v>60</v>
      </c>
      <c r="AC73" s="26" t="s">
        <v>1297</v>
      </c>
      <c r="AD73" s="26" t="s">
        <v>118</v>
      </c>
      <c r="AE73" s="26" t="s">
        <v>70</v>
      </c>
      <c r="AF73" s="26" t="s">
        <v>157</v>
      </c>
      <c r="AG73" s="26" t="s">
        <v>1059</v>
      </c>
      <c r="AH73" s="26">
        <v>0</v>
      </c>
      <c r="AI73" s="26">
        <v>0</v>
      </c>
      <c r="AJ73" s="26">
        <v>0</v>
      </c>
      <c r="AK73" s="26">
        <v>0</v>
      </c>
      <c r="AL73" s="26" t="s">
        <v>64</v>
      </c>
      <c r="AM73" s="26">
        <v>3</v>
      </c>
      <c r="AN73" s="26">
        <v>1697</v>
      </c>
      <c r="AO73" s="26" t="s">
        <v>65</v>
      </c>
      <c r="AP73" s="26">
        <v>37</v>
      </c>
      <c r="AQ73" s="26">
        <v>202</v>
      </c>
      <c r="AR73" s="26">
        <v>2489370</v>
      </c>
      <c r="AS73" s="26" t="s">
        <v>118</v>
      </c>
      <c r="AT73" s="26" t="s">
        <v>1298</v>
      </c>
      <c r="AU73" s="29" t="s">
        <v>118</v>
      </c>
    </row>
    <row r="74" spans="1:47" x14ac:dyDescent="0.25">
      <c r="A74" s="7">
        <f>+CONCATENATE(DAY(V74),"/",MONTH(V74),"/",YEAR(V74),"")*1</f>
        <v>46148</v>
      </c>
      <c r="B74" s="23">
        <f>+Z74*1</f>
        <v>1126430242</v>
      </c>
      <c r="C74" s="21" t="str">
        <f>+AA74</f>
        <v>ENTRANTE</v>
      </c>
      <c r="D74" s="3" t="str">
        <f>VLOOKUP(Q74,Code!E:F,2,0)</f>
        <v>Admisiones</v>
      </c>
      <c r="E74" s="3" t="s">
        <v>55</v>
      </c>
      <c r="F74" s="3">
        <f>+AP74</f>
        <v>37</v>
      </c>
      <c r="G74" s="3">
        <f>+S74</f>
        <v>26</v>
      </c>
      <c r="H74" s="22">
        <f>+HOUR(V74)</f>
        <v>12</v>
      </c>
      <c r="I74" s="22">
        <f>IFERROR(VLOOKUP(B74,MATRICULAS!A:B,2,0),0)*1</f>
        <v>0</v>
      </c>
      <c r="J74" s="27">
        <v>20260506</v>
      </c>
      <c r="K74" s="27">
        <v>149087740</v>
      </c>
      <c r="L74" s="27" t="s">
        <v>134</v>
      </c>
      <c r="M74" s="27" t="s">
        <v>56</v>
      </c>
      <c r="N74" s="27">
        <v>0</v>
      </c>
      <c r="O74" s="27">
        <v>0</v>
      </c>
      <c r="P74" s="27" t="s">
        <v>57</v>
      </c>
      <c r="Q74" s="27">
        <v>150</v>
      </c>
      <c r="R74" s="27" t="s">
        <v>127</v>
      </c>
      <c r="S74" s="27">
        <v>26</v>
      </c>
      <c r="T74" s="27" t="s">
        <v>58</v>
      </c>
      <c r="U74" s="27" t="s">
        <v>59</v>
      </c>
      <c r="V74" s="30">
        <v>46148.530462962961</v>
      </c>
      <c r="W74" s="30">
        <v>46148.530462962961</v>
      </c>
      <c r="X74" s="30">
        <v>46148.538078703707</v>
      </c>
      <c r="Y74" s="27" t="s">
        <v>117</v>
      </c>
      <c r="Z74" s="27" t="s">
        <v>1299</v>
      </c>
      <c r="AA74" s="27" t="s">
        <v>53</v>
      </c>
      <c r="AB74" s="27" t="s">
        <v>60</v>
      </c>
      <c r="AC74" s="27" t="s">
        <v>1300</v>
      </c>
      <c r="AD74" s="27" t="s">
        <v>118</v>
      </c>
      <c r="AE74" s="27" t="s">
        <v>66</v>
      </c>
      <c r="AF74" s="27" t="s">
        <v>67</v>
      </c>
      <c r="AG74" s="27" t="s">
        <v>67</v>
      </c>
      <c r="AH74" s="27">
        <v>0</v>
      </c>
      <c r="AI74" s="27">
        <v>0</v>
      </c>
      <c r="AJ74" s="27">
        <v>0</v>
      </c>
      <c r="AK74" s="27">
        <v>0</v>
      </c>
      <c r="AL74" s="27" t="s">
        <v>64</v>
      </c>
      <c r="AM74" s="27">
        <v>3</v>
      </c>
      <c r="AN74" s="27">
        <v>658</v>
      </c>
      <c r="AO74" s="27" t="s">
        <v>65</v>
      </c>
      <c r="AP74" s="27">
        <v>37</v>
      </c>
      <c r="AQ74" s="27">
        <v>1</v>
      </c>
      <c r="AR74" s="27">
        <v>2489465</v>
      </c>
      <c r="AS74" s="27" t="s">
        <v>118</v>
      </c>
      <c r="AT74" s="27" t="s">
        <v>1301</v>
      </c>
      <c r="AU74" s="31" t="s">
        <v>118</v>
      </c>
    </row>
    <row r="75" spans="1:47" x14ac:dyDescent="0.25">
      <c r="A75" s="7">
        <f>+CONCATENATE(DAY(V75),"/",MONTH(V75),"/",YEAR(V75),"")*1</f>
        <v>46148</v>
      </c>
      <c r="B75" s="23">
        <f>+Z75*1</f>
        <v>1125338329</v>
      </c>
      <c r="C75" s="21" t="str">
        <f>+AA75</f>
        <v>ENTRANTE</v>
      </c>
      <c r="D75" s="3" t="str">
        <f>VLOOKUP(Q75,Code!E:F,2,0)</f>
        <v>Admisiones</v>
      </c>
      <c r="E75" s="3" t="s">
        <v>55</v>
      </c>
      <c r="F75" s="3">
        <f>+AP75</f>
        <v>37</v>
      </c>
      <c r="G75" s="3">
        <f>+S75</f>
        <v>26</v>
      </c>
      <c r="H75" s="22">
        <f>+HOUR(V75)</f>
        <v>12</v>
      </c>
      <c r="I75" s="22">
        <f>IFERROR(VLOOKUP(B75,MATRICULAS!A:B,2,0),0)*1</f>
        <v>0</v>
      </c>
      <c r="J75" s="26">
        <v>20260506</v>
      </c>
      <c r="K75" s="26">
        <v>149087666</v>
      </c>
      <c r="L75" s="26" t="s">
        <v>134</v>
      </c>
      <c r="M75" s="26" t="s">
        <v>56</v>
      </c>
      <c r="N75" s="26">
        <v>0</v>
      </c>
      <c r="O75" s="26">
        <v>0</v>
      </c>
      <c r="P75" s="26" t="s">
        <v>57</v>
      </c>
      <c r="Q75" s="26">
        <v>150</v>
      </c>
      <c r="R75" s="26" t="s">
        <v>145</v>
      </c>
      <c r="S75" s="26">
        <v>26</v>
      </c>
      <c r="T75" s="26" t="s">
        <v>58</v>
      </c>
      <c r="U75" s="26" t="s">
        <v>59</v>
      </c>
      <c r="V75" s="28">
        <v>46148.528668981482</v>
      </c>
      <c r="W75" s="28">
        <v>46148.528668981482</v>
      </c>
      <c r="X75" s="28">
        <v>46148.533564814818</v>
      </c>
      <c r="Y75" s="26" t="s">
        <v>117</v>
      </c>
      <c r="Z75" s="26" t="s">
        <v>1302</v>
      </c>
      <c r="AA75" s="26" t="s">
        <v>53</v>
      </c>
      <c r="AB75" s="26" t="s">
        <v>60</v>
      </c>
      <c r="AC75" s="26" t="s">
        <v>1303</v>
      </c>
      <c r="AD75" s="26" t="s">
        <v>118</v>
      </c>
      <c r="AE75" s="26" t="s">
        <v>66</v>
      </c>
      <c r="AF75" s="26" t="s">
        <v>67</v>
      </c>
      <c r="AG75" s="26" t="s">
        <v>67</v>
      </c>
      <c r="AH75" s="26">
        <v>0</v>
      </c>
      <c r="AI75" s="26">
        <v>0</v>
      </c>
      <c r="AJ75" s="26">
        <v>0</v>
      </c>
      <c r="AK75" s="26">
        <v>0</v>
      </c>
      <c r="AL75" s="26" t="s">
        <v>64</v>
      </c>
      <c r="AM75" s="26">
        <v>3</v>
      </c>
      <c r="AN75" s="26">
        <v>424</v>
      </c>
      <c r="AO75" s="26" t="s">
        <v>65</v>
      </c>
      <c r="AP75" s="26">
        <v>37</v>
      </c>
      <c r="AQ75" s="26">
        <v>202</v>
      </c>
      <c r="AR75" s="26">
        <v>2488255</v>
      </c>
      <c r="AS75" s="26" t="s">
        <v>118</v>
      </c>
      <c r="AT75" s="26" t="s">
        <v>1304</v>
      </c>
      <c r="AU75" s="29" t="s">
        <v>118</v>
      </c>
    </row>
    <row r="76" spans="1:47" x14ac:dyDescent="0.25">
      <c r="A76" s="7">
        <f>+CONCATENATE(DAY(V76),"/",MONTH(V76),"/",YEAR(V76),"")*1</f>
        <v>46148</v>
      </c>
      <c r="B76" s="23">
        <f>+Z76*1</f>
        <v>1134329764</v>
      </c>
      <c r="C76" s="21" t="str">
        <f>+AA76</f>
        <v>ENTRANTE</v>
      </c>
      <c r="D76" s="3" t="str">
        <f>VLOOKUP(Q76,Code!E:F,2,0)</f>
        <v>Admisiones</v>
      </c>
      <c r="E76" s="3" t="s">
        <v>55</v>
      </c>
      <c r="F76" s="3">
        <f>+AP76</f>
        <v>37</v>
      </c>
      <c r="G76" s="3">
        <f>+S76</f>
        <v>26</v>
      </c>
      <c r="H76" s="22">
        <f>+HOUR(V76)</f>
        <v>12</v>
      </c>
      <c r="I76" s="22">
        <f>IFERROR(VLOOKUP(B76,MATRICULAS!A:B,2,0),0)*1</f>
        <v>0</v>
      </c>
      <c r="J76" s="27">
        <v>20260506</v>
      </c>
      <c r="K76" s="27">
        <v>149087098</v>
      </c>
      <c r="L76" s="27" t="s">
        <v>134</v>
      </c>
      <c r="M76" s="27" t="s">
        <v>56</v>
      </c>
      <c r="N76" s="27">
        <v>0</v>
      </c>
      <c r="O76" s="27">
        <v>0</v>
      </c>
      <c r="P76" s="27" t="s">
        <v>57</v>
      </c>
      <c r="Q76" s="27">
        <v>150</v>
      </c>
      <c r="R76" s="27" t="s">
        <v>127</v>
      </c>
      <c r="S76" s="27">
        <v>26</v>
      </c>
      <c r="T76" s="27" t="s">
        <v>58</v>
      </c>
      <c r="U76" s="27" t="s">
        <v>59</v>
      </c>
      <c r="V76" s="30">
        <v>46148.517847222225</v>
      </c>
      <c r="W76" s="30">
        <v>46148.517847222225</v>
      </c>
      <c r="X76" s="30">
        <v>46148.52375</v>
      </c>
      <c r="Y76" s="27" t="s">
        <v>117</v>
      </c>
      <c r="Z76" s="27" t="s">
        <v>1305</v>
      </c>
      <c r="AA76" s="27" t="s">
        <v>53</v>
      </c>
      <c r="AB76" s="27" t="s">
        <v>60</v>
      </c>
      <c r="AC76" s="27" t="s">
        <v>1306</v>
      </c>
      <c r="AD76" s="27" t="s">
        <v>118</v>
      </c>
      <c r="AE76" s="27" t="s">
        <v>66</v>
      </c>
      <c r="AF76" s="27" t="s">
        <v>67</v>
      </c>
      <c r="AG76" s="27" t="s">
        <v>67</v>
      </c>
      <c r="AH76" s="27">
        <v>0</v>
      </c>
      <c r="AI76" s="27">
        <v>0</v>
      </c>
      <c r="AJ76" s="27">
        <v>0</v>
      </c>
      <c r="AK76" s="27">
        <v>0</v>
      </c>
      <c r="AL76" s="27" t="s">
        <v>64</v>
      </c>
      <c r="AM76" s="27">
        <v>3</v>
      </c>
      <c r="AN76" s="27">
        <v>510</v>
      </c>
      <c r="AO76" s="27" t="s">
        <v>65</v>
      </c>
      <c r="AP76" s="27">
        <v>37</v>
      </c>
      <c r="AQ76" s="27">
        <v>1</v>
      </c>
      <c r="AR76" s="27">
        <v>2489432</v>
      </c>
      <c r="AS76" s="27" t="s">
        <v>118</v>
      </c>
      <c r="AT76" s="27" t="s">
        <v>1307</v>
      </c>
      <c r="AU76" s="31" t="s">
        <v>118</v>
      </c>
    </row>
    <row r="77" spans="1:47" x14ac:dyDescent="0.25">
      <c r="A77" s="7">
        <f>+CONCATENATE(DAY(V77),"/",MONTH(V77),"/",YEAR(V77),"")*1</f>
        <v>46148</v>
      </c>
      <c r="B77" s="23">
        <f>+Z77*1</f>
        <v>1158351219</v>
      </c>
      <c r="C77" s="21" t="str">
        <f>+AA77</f>
        <v>ENTRANTE</v>
      </c>
      <c r="D77" s="3" t="str">
        <f>VLOOKUP(Q77,Code!E:F,2,0)</f>
        <v>Admisiones</v>
      </c>
      <c r="E77" s="3" t="s">
        <v>55</v>
      </c>
      <c r="F77" s="3">
        <f>+AP77</f>
        <v>37</v>
      </c>
      <c r="G77" s="3">
        <f>+S77</f>
        <v>26</v>
      </c>
      <c r="H77" s="22">
        <f>+HOUR(V77)</f>
        <v>12</v>
      </c>
      <c r="I77" s="22">
        <f>IFERROR(VLOOKUP(B77,MATRICULAS!A:B,2,0),0)*1</f>
        <v>0</v>
      </c>
      <c r="J77" s="26">
        <v>20260506</v>
      </c>
      <c r="K77" s="26">
        <v>149086460</v>
      </c>
      <c r="L77" s="26" t="s">
        <v>134</v>
      </c>
      <c r="M77" s="26" t="s">
        <v>56</v>
      </c>
      <c r="N77" s="26">
        <v>0</v>
      </c>
      <c r="O77" s="26">
        <v>0</v>
      </c>
      <c r="P77" s="26" t="s">
        <v>57</v>
      </c>
      <c r="Q77" s="26">
        <v>150</v>
      </c>
      <c r="R77" s="26" t="s">
        <v>145</v>
      </c>
      <c r="S77" s="26">
        <v>26</v>
      </c>
      <c r="T77" s="26" t="s">
        <v>58</v>
      </c>
      <c r="U77" s="26" t="s">
        <v>59</v>
      </c>
      <c r="V77" s="28">
        <v>46148.506284722222</v>
      </c>
      <c r="W77" s="28">
        <v>46148.506284722222</v>
      </c>
      <c r="X77" s="28">
        <v>46148.518726851849</v>
      </c>
      <c r="Y77" s="26" t="s">
        <v>117</v>
      </c>
      <c r="Z77" s="26" t="s">
        <v>1308</v>
      </c>
      <c r="AA77" s="26" t="s">
        <v>53</v>
      </c>
      <c r="AB77" s="26" t="s">
        <v>60</v>
      </c>
      <c r="AC77" s="26" t="s">
        <v>1309</v>
      </c>
      <c r="AD77" s="26" t="s">
        <v>118</v>
      </c>
      <c r="AE77" s="26" t="s">
        <v>61</v>
      </c>
      <c r="AF77" s="26" t="s">
        <v>62</v>
      </c>
      <c r="AG77" s="26" t="s">
        <v>63</v>
      </c>
      <c r="AH77" s="26">
        <v>0</v>
      </c>
      <c r="AI77" s="26">
        <v>0</v>
      </c>
      <c r="AJ77" s="26">
        <v>0</v>
      </c>
      <c r="AK77" s="26">
        <v>0</v>
      </c>
      <c r="AL77" s="26" t="s">
        <v>64</v>
      </c>
      <c r="AM77" s="26">
        <v>3</v>
      </c>
      <c r="AN77" s="26">
        <v>1076</v>
      </c>
      <c r="AO77" s="26" t="s">
        <v>65</v>
      </c>
      <c r="AP77" s="26">
        <v>37</v>
      </c>
      <c r="AQ77" s="26">
        <v>201</v>
      </c>
      <c r="AR77" s="26">
        <v>2485623</v>
      </c>
      <c r="AS77" s="26" t="s">
        <v>118</v>
      </c>
      <c r="AT77" s="26" t="s">
        <v>1310</v>
      </c>
      <c r="AU77" s="29" t="s">
        <v>118</v>
      </c>
    </row>
    <row r="78" spans="1:47" x14ac:dyDescent="0.25">
      <c r="A78" s="7">
        <f>+CONCATENATE(DAY(V78),"/",MONTH(V78),"/",YEAR(V78),"")*1</f>
        <v>46148</v>
      </c>
      <c r="B78" s="23">
        <f>+Z78*1</f>
        <v>3755567045</v>
      </c>
      <c r="C78" s="21" t="str">
        <f>+AA78</f>
        <v>ENTRANTE</v>
      </c>
      <c r="D78" s="3" t="str">
        <f>VLOOKUP(Q78,Code!E:F,2,0)</f>
        <v>Admisiones</v>
      </c>
      <c r="E78" s="3" t="s">
        <v>55</v>
      </c>
      <c r="F78" s="3">
        <f>+AP78</f>
        <v>37</v>
      </c>
      <c r="G78" s="3">
        <f>+S78</f>
        <v>26</v>
      </c>
      <c r="H78" s="22">
        <f>+HOUR(V78)</f>
        <v>11</v>
      </c>
      <c r="I78" s="22">
        <f>IFERROR(VLOOKUP(B78,MATRICULAS!A:B,2,0),0)*1</f>
        <v>0</v>
      </c>
      <c r="J78" s="27">
        <v>20260506</v>
      </c>
      <c r="K78" s="27">
        <v>149084856</v>
      </c>
      <c r="L78" s="27" t="s">
        <v>134</v>
      </c>
      <c r="M78" s="27" t="s">
        <v>56</v>
      </c>
      <c r="N78" s="27">
        <v>0</v>
      </c>
      <c r="O78" s="27">
        <v>0</v>
      </c>
      <c r="P78" s="27" t="s">
        <v>57</v>
      </c>
      <c r="Q78" s="27">
        <v>150</v>
      </c>
      <c r="R78" s="27" t="s">
        <v>145</v>
      </c>
      <c r="S78" s="27">
        <v>26</v>
      </c>
      <c r="T78" s="27" t="s">
        <v>58</v>
      </c>
      <c r="U78" s="27" t="s">
        <v>59</v>
      </c>
      <c r="V78" s="30">
        <v>46148.480104166665</v>
      </c>
      <c r="W78" s="30">
        <v>46148.480104166665</v>
      </c>
      <c r="X78" s="30">
        <v>46148.488703703704</v>
      </c>
      <c r="Y78" s="27" t="s">
        <v>117</v>
      </c>
      <c r="Z78" s="27" t="s">
        <v>1311</v>
      </c>
      <c r="AA78" s="27" t="s">
        <v>53</v>
      </c>
      <c r="AB78" s="27" t="s">
        <v>60</v>
      </c>
      <c r="AC78" s="27" t="s">
        <v>1312</v>
      </c>
      <c r="AD78" s="27" t="s">
        <v>118</v>
      </c>
      <c r="AE78" s="27" t="s">
        <v>61</v>
      </c>
      <c r="AF78" s="27" t="s">
        <v>62</v>
      </c>
      <c r="AG78" s="27" t="s">
        <v>63</v>
      </c>
      <c r="AH78" s="27">
        <v>0</v>
      </c>
      <c r="AI78" s="27">
        <v>0</v>
      </c>
      <c r="AJ78" s="27">
        <v>0</v>
      </c>
      <c r="AK78" s="27">
        <v>0</v>
      </c>
      <c r="AL78" s="27" t="s">
        <v>64</v>
      </c>
      <c r="AM78" s="27">
        <v>3</v>
      </c>
      <c r="AN78" s="27">
        <v>744</v>
      </c>
      <c r="AO78" s="27" t="s">
        <v>65</v>
      </c>
      <c r="AP78" s="27">
        <v>37</v>
      </c>
      <c r="AQ78" s="27">
        <v>1</v>
      </c>
      <c r="AR78" s="27">
        <v>2489359</v>
      </c>
      <c r="AS78" s="27" t="s">
        <v>118</v>
      </c>
      <c r="AT78" s="27" t="s">
        <v>1313</v>
      </c>
      <c r="AU78" s="31" t="s">
        <v>118</v>
      </c>
    </row>
    <row r="79" spans="1:47" x14ac:dyDescent="0.25">
      <c r="A79" s="7">
        <f>+CONCATENATE(DAY(V79),"/",MONTH(V79),"/",YEAR(V79),"")*1</f>
        <v>46148</v>
      </c>
      <c r="B79" s="23">
        <f>+Z79*1</f>
        <v>2213175572</v>
      </c>
      <c r="C79" s="21" t="str">
        <f>+AA79</f>
        <v>ENTRANTE</v>
      </c>
      <c r="D79" s="3" t="str">
        <f>VLOOKUP(Q79,Code!E:F,2,0)</f>
        <v>Admisiones</v>
      </c>
      <c r="E79" s="3" t="s">
        <v>55</v>
      </c>
      <c r="F79" s="3">
        <f>+AP79</f>
        <v>37</v>
      </c>
      <c r="G79" s="3">
        <f>+S79</f>
        <v>26</v>
      </c>
      <c r="H79" s="22">
        <f>+HOUR(V79)</f>
        <v>10</v>
      </c>
      <c r="I79" s="22">
        <f>IFERROR(VLOOKUP(B79,MATRICULAS!A:B,2,0),0)*1</f>
        <v>0</v>
      </c>
      <c r="J79" s="26">
        <v>20260506</v>
      </c>
      <c r="K79" s="26">
        <v>149083704</v>
      </c>
      <c r="L79" s="26" t="s">
        <v>134</v>
      </c>
      <c r="M79" s="26" t="s">
        <v>56</v>
      </c>
      <c r="N79" s="26">
        <v>0</v>
      </c>
      <c r="O79" s="26">
        <v>0</v>
      </c>
      <c r="P79" s="26" t="s">
        <v>57</v>
      </c>
      <c r="Q79" s="26">
        <v>150</v>
      </c>
      <c r="R79" s="26" t="s">
        <v>153</v>
      </c>
      <c r="S79" s="26">
        <v>26</v>
      </c>
      <c r="T79" s="26" t="s">
        <v>58</v>
      </c>
      <c r="U79" s="26" t="s">
        <v>59</v>
      </c>
      <c r="V79" s="28">
        <v>46148.45040509259</v>
      </c>
      <c r="W79" s="28">
        <v>46148.45040509259</v>
      </c>
      <c r="X79" s="28">
        <v>46148.457013888888</v>
      </c>
      <c r="Y79" s="26" t="s">
        <v>117</v>
      </c>
      <c r="Z79" s="26" t="s">
        <v>1314</v>
      </c>
      <c r="AA79" s="26" t="s">
        <v>53</v>
      </c>
      <c r="AB79" s="26" t="s">
        <v>60</v>
      </c>
      <c r="AC79" s="26" t="s">
        <v>1315</v>
      </c>
      <c r="AD79" s="26" t="s">
        <v>118</v>
      </c>
      <c r="AE79" s="26" t="s">
        <v>70</v>
      </c>
      <c r="AF79" s="26" t="s">
        <v>126</v>
      </c>
      <c r="AG79" s="26" t="s">
        <v>129</v>
      </c>
      <c r="AH79" s="26">
        <v>0</v>
      </c>
      <c r="AI79" s="26">
        <v>0</v>
      </c>
      <c r="AJ79" s="26">
        <v>0</v>
      </c>
      <c r="AK79" s="26">
        <v>0</v>
      </c>
      <c r="AL79" s="26" t="s">
        <v>64</v>
      </c>
      <c r="AM79" s="26">
        <v>3</v>
      </c>
      <c r="AN79" s="26">
        <v>572</v>
      </c>
      <c r="AO79" s="26" t="s">
        <v>65</v>
      </c>
      <c r="AP79" s="26">
        <v>37</v>
      </c>
      <c r="AQ79" s="26">
        <v>201</v>
      </c>
      <c r="AR79" s="26">
        <v>2489276</v>
      </c>
      <c r="AS79" s="26" t="s">
        <v>118</v>
      </c>
      <c r="AT79" s="26" t="s">
        <v>1316</v>
      </c>
      <c r="AU79" s="29" t="s">
        <v>118</v>
      </c>
    </row>
    <row r="80" spans="1:47" x14ac:dyDescent="0.25">
      <c r="A80" s="7">
        <f>+CONCATENATE(DAY(V80),"/",MONTH(V80),"/",YEAR(V80),"")*1</f>
        <v>46148</v>
      </c>
      <c r="B80" s="23">
        <f>+Z80*1</f>
        <v>3757513222</v>
      </c>
      <c r="C80" s="21" t="str">
        <f>+AA80</f>
        <v>ENTRANTE</v>
      </c>
      <c r="D80" s="3" t="str">
        <f>VLOOKUP(Q80,Code!E:F,2,0)</f>
        <v>Admisiones</v>
      </c>
      <c r="E80" s="3" t="s">
        <v>55</v>
      </c>
      <c r="F80" s="3">
        <f>+AP80</f>
        <v>37</v>
      </c>
      <c r="G80" s="3">
        <f>+S80</f>
        <v>5</v>
      </c>
      <c r="H80" s="22">
        <f>+HOUR(V80)</f>
        <v>10</v>
      </c>
      <c r="I80" s="22">
        <f>IFERROR(VLOOKUP(B80,MATRICULAS!A:B,2,0),0)*1</f>
        <v>1</v>
      </c>
      <c r="J80" s="27">
        <v>20260506</v>
      </c>
      <c r="K80" s="27">
        <v>149083577</v>
      </c>
      <c r="L80" s="27" t="s">
        <v>134</v>
      </c>
      <c r="M80" s="27" t="s">
        <v>56</v>
      </c>
      <c r="N80" s="27">
        <v>0</v>
      </c>
      <c r="O80" s="27">
        <v>0</v>
      </c>
      <c r="P80" s="27" t="s">
        <v>57</v>
      </c>
      <c r="Q80" s="27">
        <v>150</v>
      </c>
      <c r="R80" s="27" t="s">
        <v>127</v>
      </c>
      <c r="S80" s="27">
        <v>5</v>
      </c>
      <c r="T80" s="27" t="s">
        <v>58</v>
      </c>
      <c r="U80" s="27" t="s">
        <v>59</v>
      </c>
      <c r="V80" s="30">
        <v>46148.448229166665</v>
      </c>
      <c r="W80" s="30">
        <v>46148.448229166665</v>
      </c>
      <c r="X80" s="30">
        <v>46148.457662037035</v>
      </c>
      <c r="Y80" s="27" t="s">
        <v>117</v>
      </c>
      <c r="Z80" s="27" t="s">
        <v>1177</v>
      </c>
      <c r="AA80" s="27" t="s">
        <v>53</v>
      </c>
      <c r="AB80" s="27" t="s">
        <v>60</v>
      </c>
      <c r="AC80" s="27" t="s">
        <v>1317</v>
      </c>
      <c r="AD80" s="27" t="s">
        <v>118</v>
      </c>
      <c r="AE80" s="27" t="s">
        <v>70</v>
      </c>
      <c r="AF80" s="27" t="s">
        <v>146</v>
      </c>
      <c r="AG80" s="27" t="s">
        <v>182</v>
      </c>
      <c r="AH80" s="27">
        <v>0</v>
      </c>
      <c r="AI80" s="27">
        <v>0</v>
      </c>
      <c r="AJ80" s="27">
        <v>0</v>
      </c>
      <c r="AK80" s="27">
        <v>0</v>
      </c>
      <c r="AL80" s="27" t="s">
        <v>64</v>
      </c>
      <c r="AM80" s="27">
        <v>3</v>
      </c>
      <c r="AN80" s="27">
        <v>816</v>
      </c>
      <c r="AO80" s="27" t="s">
        <v>65</v>
      </c>
      <c r="AP80" s="27">
        <v>37</v>
      </c>
      <c r="AQ80" s="27">
        <v>202</v>
      </c>
      <c r="AR80" s="27">
        <v>2487870</v>
      </c>
      <c r="AS80" s="27" t="s">
        <v>118</v>
      </c>
      <c r="AT80" s="27" t="s">
        <v>1318</v>
      </c>
      <c r="AU80" s="31" t="s">
        <v>118</v>
      </c>
    </row>
    <row r="81" spans="1:47" x14ac:dyDescent="0.25">
      <c r="A81" s="7">
        <f>+CONCATENATE(DAY(V81),"/",MONTH(V81),"/",YEAR(V81),"")*1</f>
        <v>46148</v>
      </c>
      <c r="B81" s="23">
        <f>+Z81*1</f>
        <v>1134622505</v>
      </c>
      <c r="C81" s="21" t="str">
        <f>+AA81</f>
        <v>ENTRANTE</v>
      </c>
      <c r="D81" s="3" t="str">
        <f>VLOOKUP(Q81,Code!E:F,2,0)</f>
        <v>Admisiones</v>
      </c>
      <c r="E81" s="3" t="s">
        <v>55</v>
      </c>
      <c r="F81" s="3">
        <f>+AP81</f>
        <v>37</v>
      </c>
      <c r="G81" s="3">
        <f>+S81</f>
        <v>26</v>
      </c>
      <c r="H81" s="22">
        <f>+HOUR(V81)</f>
        <v>10</v>
      </c>
      <c r="I81" s="22">
        <f>IFERROR(VLOOKUP(B81,MATRICULAS!A:B,2,0),0)*1</f>
        <v>0</v>
      </c>
      <c r="J81" s="26">
        <v>20260506</v>
      </c>
      <c r="K81" s="26">
        <v>149083569</v>
      </c>
      <c r="L81" s="26" t="s">
        <v>134</v>
      </c>
      <c r="M81" s="26" t="s">
        <v>56</v>
      </c>
      <c r="N81" s="26">
        <v>0</v>
      </c>
      <c r="O81" s="26">
        <v>0</v>
      </c>
      <c r="P81" s="26" t="s">
        <v>57</v>
      </c>
      <c r="Q81" s="26">
        <v>150</v>
      </c>
      <c r="R81" s="26" t="s">
        <v>145</v>
      </c>
      <c r="S81" s="26">
        <v>26</v>
      </c>
      <c r="T81" s="26" t="s">
        <v>58</v>
      </c>
      <c r="U81" s="26" t="s">
        <v>59</v>
      </c>
      <c r="V81" s="28">
        <v>46148.448113425926</v>
      </c>
      <c r="W81" s="28">
        <v>46148.448113425926</v>
      </c>
      <c r="X81" s="28">
        <v>46148.453240740739</v>
      </c>
      <c r="Y81" s="26" t="s">
        <v>117</v>
      </c>
      <c r="Z81" s="26" t="s">
        <v>1319</v>
      </c>
      <c r="AA81" s="26" t="s">
        <v>53</v>
      </c>
      <c r="AB81" s="26" t="s">
        <v>60</v>
      </c>
      <c r="AC81" s="26" t="s">
        <v>1320</v>
      </c>
      <c r="AD81" s="26" t="s">
        <v>118</v>
      </c>
      <c r="AE81" s="26" t="s">
        <v>66</v>
      </c>
      <c r="AF81" s="26" t="s">
        <v>67</v>
      </c>
      <c r="AG81" s="26" t="s">
        <v>67</v>
      </c>
      <c r="AH81" s="26">
        <v>0</v>
      </c>
      <c r="AI81" s="26">
        <v>0</v>
      </c>
      <c r="AJ81" s="26">
        <v>0</v>
      </c>
      <c r="AK81" s="26">
        <v>0</v>
      </c>
      <c r="AL81" s="26" t="s">
        <v>64</v>
      </c>
      <c r="AM81" s="26">
        <v>3</v>
      </c>
      <c r="AN81" s="26">
        <v>443</v>
      </c>
      <c r="AO81" s="26" t="s">
        <v>65</v>
      </c>
      <c r="AP81" s="26">
        <v>37</v>
      </c>
      <c r="AQ81" s="26">
        <v>1</v>
      </c>
      <c r="AR81" s="26">
        <v>2489292</v>
      </c>
      <c r="AS81" s="26" t="s">
        <v>118</v>
      </c>
      <c r="AT81" s="26" t="s">
        <v>1321</v>
      </c>
      <c r="AU81" s="29" t="s">
        <v>118</v>
      </c>
    </row>
    <row r="82" spans="1:47" x14ac:dyDescent="0.25">
      <c r="A82" s="7">
        <f>+CONCATENATE(DAY(V82),"/",MONTH(V82),"/",YEAR(V82),"")*1</f>
        <v>46148</v>
      </c>
      <c r="B82" s="23">
        <f>+Z82*1</f>
        <v>3865860842</v>
      </c>
      <c r="C82" s="21" t="str">
        <f>+AA82</f>
        <v>ENTRANTE</v>
      </c>
      <c r="D82" s="3" t="str">
        <f>VLOOKUP(Q82,Code!E:F,2,0)</f>
        <v>Admisiones</v>
      </c>
      <c r="E82" s="3" t="s">
        <v>55</v>
      </c>
      <c r="F82" s="3">
        <f>+AP82</f>
        <v>37</v>
      </c>
      <c r="G82" s="3">
        <f>+S82</f>
        <v>26</v>
      </c>
      <c r="H82" s="22">
        <f>+HOUR(V82)</f>
        <v>9</v>
      </c>
      <c r="I82" s="22">
        <f>IFERROR(VLOOKUP(B82,MATRICULAS!A:B,2,0),0)*1</f>
        <v>0</v>
      </c>
      <c r="J82" s="26">
        <v>20260506</v>
      </c>
      <c r="K82" s="26">
        <v>149081932</v>
      </c>
      <c r="L82" s="26" t="s">
        <v>134</v>
      </c>
      <c r="M82" s="26" t="s">
        <v>56</v>
      </c>
      <c r="N82" s="26">
        <v>0</v>
      </c>
      <c r="O82" s="26">
        <v>0</v>
      </c>
      <c r="P82" s="26" t="s">
        <v>57</v>
      </c>
      <c r="Q82" s="26">
        <v>150</v>
      </c>
      <c r="R82" s="26" t="s">
        <v>145</v>
      </c>
      <c r="S82" s="26">
        <v>26</v>
      </c>
      <c r="T82" s="26" t="s">
        <v>58</v>
      </c>
      <c r="U82" s="26" t="s">
        <v>59</v>
      </c>
      <c r="V82" s="28">
        <v>46148.409016203703</v>
      </c>
      <c r="W82" s="28">
        <v>46148.409016203703</v>
      </c>
      <c r="X82" s="28">
        <v>46148.409895833334</v>
      </c>
      <c r="Y82" s="26" t="s">
        <v>117</v>
      </c>
      <c r="Z82" s="26" t="s">
        <v>1322</v>
      </c>
      <c r="AA82" s="26" t="s">
        <v>53</v>
      </c>
      <c r="AB82" s="26" t="s">
        <v>60</v>
      </c>
      <c r="AC82" s="26" t="s">
        <v>1323</v>
      </c>
      <c r="AD82" s="26" t="s">
        <v>118</v>
      </c>
      <c r="AE82" s="26" t="s">
        <v>70</v>
      </c>
      <c r="AF82" s="26" t="s">
        <v>138</v>
      </c>
      <c r="AG82" s="26" t="s">
        <v>1324</v>
      </c>
      <c r="AH82" s="26">
        <v>0</v>
      </c>
      <c r="AI82" s="26">
        <v>0</v>
      </c>
      <c r="AJ82" s="26">
        <v>0</v>
      </c>
      <c r="AK82" s="26">
        <v>0</v>
      </c>
      <c r="AL82" s="26" t="s">
        <v>64</v>
      </c>
      <c r="AM82" s="26">
        <v>3</v>
      </c>
      <c r="AN82" s="26">
        <v>77</v>
      </c>
      <c r="AO82" s="26" t="s">
        <v>65</v>
      </c>
      <c r="AP82" s="26">
        <v>37</v>
      </c>
      <c r="AQ82" s="26">
        <v>0</v>
      </c>
      <c r="AR82" s="26">
        <v>0</v>
      </c>
      <c r="AS82" s="26" t="s">
        <v>118</v>
      </c>
      <c r="AT82" s="26" t="s">
        <v>1325</v>
      </c>
      <c r="AU82" s="29" t="s">
        <v>118</v>
      </c>
    </row>
    <row r="83" spans="1:47" x14ac:dyDescent="0.25">
      <c r="A83" s="7">
        <f>+CONCATENATE(DAY(V83),"/",MONTH(V83),"/",YEAR(V83),"")*1</f>
        <v>46148</v>
      </c>
      <c r="B83" s="23">
        <f>+Z83*1</f>
        <v>1130819688</v>
      </c>
      <c r="C83" s="21" t="str">
        <f>+AA83</f>
        <v>ENTRANTE</v>
      </c>
      <c r="D83" s="3" t="str">
        <f>VLOOKUP(Q83,Code!E:F,2,0)</f>
        <v>Admisiones</v>
      </c>
      <c r="E83" s="3" t="s">
        <v>55</v>
      </c>
      <c r="F83" s="3">
        <f>+AP83</f>
        <v>37</v>
      </c>
      <c r="G83" s="3">
        <f>+S83</f>
        <v>26</v>
      </c>
      <c r="H83" s="22">
        <f>+HOUR(V83)</f>
        <v>9</v>
      </c>
      <c r="I83" s="22">
        <f>IFERROR(VLOOKUP(B83,MATRICULAS!A:B,2,0),0)*1</f>
        <v>0</v>
      </c>
      <c r="J83" s="27">
        <v>20260506</v>
      </c>
      <c r="K83" s="27">
        <v>149081393</v>
      </c>
      <c r="L83" s="27" t="s">
        <v>134</v>
      </c>
      <c r="M83" s="27" t="s">
        <v>56</v>
      </c>
      <c r="N83" s="27">
        <v>0</v>
      </c>
      <c r="O83" s="27">
        <v>0</v>
      </c>
      <c r="P83" s="27" t="s">
        <v>57</v>
      </c>
      <c r="Q83" s="27">
        <v>150</v>
      </c>
      <c r="R83" s="27" t="s">
        <v>128</v>
      </c>
      <c r="S83" s="27">
        <v>26</v>
      </c>
      <c r="T83" s="27" t="s">
        <v>58</v>
      </c>
      <c r="U83" s="27" t="s">
        <v>59</v>
      </c>
      <c r="V83" s="30">
        <v>46148.395127314812</v>
      </c>
      <c r="W83" s="30">
        <v>46148.395127314812</v>
      </c>
      <c r="X83" s="30">
        <v>46148.400451388887</v>
      </c>
      <c r="Y83" s="27" t="s">
        <v>117</v>
      </c>
      <c r="Z83" s="27" t="s">
        <v>1326</v>
      </c>
      <c r="AA83" s="27" t="s">
        <v>53</v>
      </c>
      <c r="AB83" s="27" t="s">
        <v>60</v>
      </c>
      <c r="AC83" s="27" t="s">
        <v>1327</v>
      </c>
      <c r="AD83" s="27" t="s">
        <v>118</v>
      </c>
      <c r="AE83" s="27" t="s">
        <v>61</v>
      </c>
      <c r="AF83" s="27" t="s">
        <v>62</v>
      </c>
      <c r="AG83" s="27" t="s">
        <v>63</v>
      </c>
      <c r="AH83" s="27">
        <v>0</v>
      </c>
      <c r="AI83" s="27">
        <v>0</v>
      </c>
      <c r="AJ83" s="27">
        <v>0</v>
      </c>
      <c r="AK83" s="27">
        <v>0</v>
      </c>
      <c r="AL83" s="27" t="s">
        <v>64</v>
      </c>
      <c r="AM83" s="27">
        <v>3</v>
      </c>
      <c r="AN83" s="27">
        <v>460</v>
      </c>
      <c r="AO83" s="27" t="s">
        <v>65</v>
      </c>
      <c r="AP83" s="27">
        <v>37</v>
      </c>
      <c r="AQ83" s="27">
        <v>175</v>
      </c>
      <c r="AR83" s="27">
        <v>2105194</v>
      </c>
      <c r="AS83" s="27" t="s">
        <v>118</v>
      </c>
      <c r="AT83" s="27" t="s">
        <v>1328</v>
      </c>
      <c r="AU83" s="31" t="s">
        <v>118</v>
      </c>
    </row>
    <row r="84" spans="1:47" x14ac:dyDescent="0.25">
      <c r="A84" s="7">
        <f>+CONCATENATE(DAY(V84),"/",MONTH(V84),"/",YEAR(V84),"")*1</f>
        <v>46149</v>
      </c>
      <c r="B84" s="23">
        <f>+Z84*1</f>
        <v>1177082587</v>
      </c>
      <c r="C84" s="21" t="str">
        <f>+AA84</f>
        <v>ENTRANTE</v>
      </c>
      <c r="D84" s="3" t="str">
        <f>VLOOKUP(Q84,Code!E:F,2,0)</f>
        <v>Admisiones</v>
      </c>
      <c r="E84" s="3" t="s">
        <v>55</v>
      </c>
      <c r="F84" s="3">
        <f>+AP84</f>
        <v>37</v>
      </c>
      <c r="G84" s="3">
        <f>+S84</f>
        <v>27</v>
      </c>
      <c r="H84" s="22">
        <f>+HOUR(V84)</f>
        <v>20</v>
      </c>
      <c r="I84" s="22">
        <f>IFERROR(VLOOKUP(B84,MATRICULAS!A:B,2,0),0)*1</f>
        <v>0</v>
      </c>
      <c r="J84" s="27">
        <v>20260507</v>
      </c>
      <c r="K84" s="27">
        <v>149117916</v>
      </c>
      <c r="L84" s="27" t="s">
        <v>134</v>
      </c>
      <c r="M84" s="27" t="s">
        <v>56</v>
      </c>
      <c r="N84" s="27">
        <v>0</v>
      </c>
      <c r="O84" s="27">
        <v>0</v>
      </c>
      <c r="P84" s="27" t="s">
        <v>57</v>
      </c>
      <c r="Q84" s="27">
        <v>150</v>
      </c>
      <c r="R84" s="27" t="s">
        <v>161</v>
      </c>
      <c r="S84" s="27">
        <v>27</v>
      </c>
      <c r="T84" s="27" t="s">
        <v>58</v>
      </c>
      <c r="U84" s="27" t="s">
        <v>59</v>
      </c>
      <c r="V84" s="30">
        <v>46149.866875</v>
      </c>
      <c r="W84" s="30">
        <v>46149.866875</v>
      </c>
      <c r="X84" s="30">
        <v>46149.871400462966</v>
      </c>
      <c r="Y84" s="27" t="s">
        <v>117</v>
      </c>
      <c r="Z84" s="27" t="s">
        <v>1157</v>
      </c>
      <c r="AA84" s="27" t="s">
        <v>53</v>
      </c>
      <c r="AB84" s="27" t="s">
        <v>60</v>
      </c>
      <c r="AC84" s="27" t="s">
        <v>1184</v>
      </c>
      <c r="AD84" s="27" t="s">
        <v>118</v>
      </c>
      <c r="AE84" s="27" t="s">
        <v>66</v>
      </c>
      <c r="AF84" s="27" t="s">
        <v>67</v>
      </c>
      <c r="AG84" s="27" t="s">
        <v>67</v>
      </c>
      <c r="AH84" s="27">
        <v>0</v>
      </c>
      <c r="AI84" s="27">
        <v>0</v>
      </c>
      <c r="AJ84" s="27">
        <v>0</v>
      </c>
      <c r="AK84" s="27">
        <v>0</v>
      </c>
      <c r="AL84" s="27" t="s">
        <v>64</v>
      </c>
      <c r="AM84" s="27">
        <v>3</v>
      </c>
      <c r="AN84" s="27">
        <v>391</v>
      </c>
      <c r="AO84" s="27" t="s">
        <v>65</v>
      </c>
      <c r="AP84" s="27">
        <v>37</v>
      </c>
      <c r="AQ84" s="27">
        <v>0</v>
      </c>
      <c r="AR84" s="27">
        <v>0</v>
      </c>
      <c r="AS84" s="27" t="s">
        <v>118</v>
      </c>
      <c r="AT84" s="27" t="s">
        <v>1185</v>
      </c>
      <c r="AU84" s="31" t="s">
        <v>118</v>
      </c>
    </row>
    <row r="85" spans="1:47" x14ac:dyDescent="0.25">
      <c r="A85" s="7">
        <f>+CONCATENATE(DAY(V85),"/",MONTH(V85),"/",YEAR(V85),"")*1</f>
        <v>46149</v>
      </c>
      <c r="B85" s="23">
        <f>+Z85*1</f>
        <v>2942660873</v>
      </c>
      <c r="C85" s="21" t="str">
        <f>+AA85</f>
        <v>ENTRANTE</v>
      </c>
      <c r="D85" s="3" t="str">
        <f>VLOOKUP(Q85,Code!E:F,2,0)</f>
        <v>Admisiones</v>
      </c>
      <c r="E85" s="3" t="s">
        <v>55</v>
      </c>
      <c r="F85" s="3">
        <f>+AP85</f>
        <v>37</v>
      </c>
      <c r="G85" s="3">
        <f>+S85</f>
        <v>27</v>
      </c>
      <c r="H85" s="22">
        <f>+HOUR(V85)</f>
        <v>20</v>
      </c>
      <c r="I85" s="22">
        <f>IFERROR(VLOOKUP(B85,MATRICULAS!A:B,2,0),0)*1</f>
        <v>0</v>
      </c>
      <c r="J85" s="26">
        <v>20260507</v>
      </c>
      <c r="K85" s="26">
        <v>149117074</v>
      </c>
      <c r="L85" s="26" t="s">
        <v>134</v>
      </c>
      <c r="M85" s="26" t="s">
        <v>56</v>
      </c>
      <c r="N85" s="26">
        <v>0</v>
      </c>
      <c r="O85" s="26">
        <v>0</v>
      </c>
      <c r="P85" s="26" t="s">
        <v>57</v>
      </c>
      <c r="Q85" s="26">
        <v>150</v>
      </c>
      <c r="R85" s="26" t="s">
        <v>163</v>
      </c>
      <c r="S85" s="26">
        <v>27</v>
      </c>
      <c r="T85" s="26" t="s">
        <v>58</v>
      </c>
      <c r="U85" s="26" t="s">
        <v>59</v>
      </c>
      <c r="V85" s="28">
        <v>46149.8437037037</v>
      </c>
      <c r="W85" s="28">
        <v>46149.8437037037</v>
      </c>
      <c r="X85" s="28">
        <v>46149.850104166668</v>
      </c>
      <c r="Y85" s="26" t="s">
        <v>117</v>
      </c>
      <c r="Z85" s="26" t="s">
        <v>1186</v>
      </c>
      <c r="AA85" s="26" t="s">
        <v>53</v>
      </c>
      <c r="AB85" s="26" t="s">
        <v>60</v>
      </c>
      <c r="AC85" s="26" t="s">
        <v>1187</v>
      </c>
      <c r="AD85" s="26" t="s">
        <v>118</v>
      </c>
      <c r="AE85" s="26" t="s">
        <v>61</v>
      </c>
      <c r="AF85" s="26" t="s">
        <v>62</v>
      </c>
      <c r="AG85" s="26" t="s">
        <v>63</v>
      </c>
      <c r="AH85" s="26">
        <v>0</v>
      </c>
      <c r="AI85" s="26">
        <v>0</v>
      </c>
      <c r="AJ85" s="26">
        <v>0</v>
      </c>
      <c r="AK85" s="26">
        <v>0</v>
      </c>
      <c r="AL85" s="26" t="s">
        <v>64</v>
      </c>
      <c r="AM85" s="26">
        <v>3</v>
      </c>
      <c r="AN85" s="26">
        <v>553</v>
      </c>
      <c r="AO85" s="26" t="s">
        <v>65</v>
      </c>
      <c r="AP85" s="26">
        <v>37</v>
      </c>
      <c r="AQ85" s="26">
        <v>202</v>
      </c>
      <c r="AR85" s="26">
        <v>2491168</v>
      </c>
      <c r="AS85" s="26" t="s">
        <v>118</v>
      </c>
      <c r="AT85" s="26" t="s">
        <v>1188</v>
      </c>
      <c r="AU85" s="29" t="s">
        <v>118</v>
      </c>
    </row>
    <row r="86" spans="1:47" x14ac:dyDescent="0.25">
      <c r="A86" s="7">
        <f>+CONCATENATE(DAY(V86),"/",MONTH(V86),"/",YEAR(V86),"")*1</f>
        <v>46149</v>
      </c>
      <c r="B86" s="23">
        <f>+Z86*1</f>
        <v>2995725612</v>
      </c>
      <c r="C86" s="21" t="str">
        <f>+AA86</f>
        <v>ENTRANTE</v>
      </c>
      <c r="D86" s="3" t="str">
        <f>VLOOKUP(Q86,Code!E:F,2,0)</f>
        <v>Admisiones</v>
      </c>
      <c r="E86" s="3" t="s">
        <v>55</v>
      </c>
      <c r="F86" s="3">
        <f>+AP86</f>
        <v>37</v>
      </c>
      <c r="G86" s="3">
        <f>+S86</f>
        <v>27</v>
      </c>
      <c r="H86" s="22">
        <f>+HOUR(V86)</f>
        <v>20</v>
      </c>
      <c r="I86" s="22">
        <f>IFERROR(VLOOKUP(B86,MATRICULAS!A:B,2,0),0)*1</f>
        <v>1</v>
      </c>
      <c r="J86" s="27">
        <v>20260507</v>
      </c>
      <c r="K86" s="27">
        <v>149117019</v>
      </c>
      <c r="L86" s="27" t="s">
        <v>134</v>
      </c>
      <c r="M86" s="27" t="s">
        <v>56</v>
      </c>
      <c r="N86" s="27">
        <v>0</v>
      </c>
      <c r="O86" s="27">
        <v>0</v>
      </c>
      <c r="P86" s="27" t="s">
        <v>57</v>
      </c>
      <c r="Q86" s="27">
        <v>150</v>
      </c>
      <c r="R86" s="27" t="s">
        <v>174</v>
      </c>
      <c r="S86" s="27">
        <v>27</v>
      </c>
      <c r="T86" s="27" t="s">
        <v>58</v>
      </c>
      <c r="U86" s="27" t="s">
        <v>59</v>
      </c>
      <c r="V86" s="30">
        <v>46149.84207175926</v>
      </c>
      <c r="W86" s="30">
        <v>46149.84207175926</v>
      </c>
      <c r="X86" s="30">
        <v>46149.856932870367</v>
      </c>
      <c r="Y86" s="27" t="s">
        <v>117</v>
      </c>
      <c r="Z86" s="27" t="s">
        <v>1189</v>
      </c>
      <c r="AA86" s="27" t="s">
        <v>53</v>
      </c>
      <c r="AB86" s="27" t="s">
        <v>60</v>
      </c>
      <c r="AC86" s="27" t="s">
        <v>1190</v>
      </c>
      <c r="AD86" s="27" t="s">
        <v>118</v>
      </c>
      <c r="AE86" s="27" t="s">
        <v>61</v>
      </c>
      <c r="AF86" s="27" t="s">
        <v>62</v>
      </c>
      <c r="AG86" s="27" t="s">
        <v>63</v>
      </c>
      <c r="AH86" s="27">
        <v>0</v>
      </c>
      <c r="AI86" s="27">
        <v>0</v>
      </c>
      <c r="AJ86" s="27">
        <v>0</v>
      </c>
      <c r="AK86" s="27">
        <v>0</v>
      </c>
      <c r="AL86" s="27" t="s">
        <v>64</v>
      </c>
      <c r="AM86" s="27">
        <v>3</v>
      </c>
      <c r="AN86" s="27">
        <v>1285</v>
      </c>
      <c r="AO86" s="27" t="s">
        <v>65</v>
      </c>
      <c r="AP86" s="27">
        <v>37</v>
      </c>
      <c r="AQ86" s="27">
        <v>201</v>
      </c>
      <c r="AR86" s="27">
        <v>2485777</v>
      </c>
      <c r="AS86" s="27" t="s">
        <v>118</v>
      </c>
      <c r="AT86" s="27" t="s">
        <v>1191</v>
      </c>
      <c r="AU86" s="31" t="s">
        <v>118</v>
      </c>
    </row>
    <row r="87" spans="1:47" x14ac:dyDescent="0.25">
      <c r="A87" s="7">
        <f>+CONCATENATE(DAY(V87),"/",MONTH(V87),"/",YEAR(V87),"")*1</f>
        <v>46149</v>
      </c>
      <c r="B87" s="23">
        <f>+Z87*1</f>
        <v>1159593139</v>
      </c>
      <c r="C87" s="21" t="str">
        <f>+AA87</f>
        <v>ENTRANTE</v>
      </c>
      <c r="D87" s="3" t="str">
        <f>VLOOKUP(Q87,Code!E:F,2,0)</f>
        <v>Admisiones</v>
      </c>
      <c r="E87" s="3" t="s">
        <v>55</v>
      </c>
      <c r="F87" s="3">
        <f>+AP87</f>
        <v>37</v>
      </c>
      <c r="G87" s="3">
        <f>+S87</f>
        <v>27</v>
      </c>
      <c r="H87" s="22">
        <f>+HOUR(V87)</f>
        <v>18</v>
      </c>
      <c r="I87" s="22">
        <f>IFERROR(VLOOKUP(B87,MATRICULAS!A:B,2,0),0)*1</f>
        <v>1</v>
      </c>
      <c r="J87" s="26">
        <v>20260507</v>
      </c>
      <c r="K87" s="26">
        <v>149114603</v>
      </c>
      <c r="L87" s="26" t="s">
        <v>134</v>
      </c>
      <c r="M87" s="26" t="s">
        <v>56</v>
      </c>
      <c r="N87" s="26">
        <v>0</v>
      </c>
      <c r="O87" s="26">
        <v>0</v>
      </c>
      <c r="P87" s="26" t="s">
        <v>57</v>
      </c>
      <c r="Q87" s="26">
        <v>150</v>
      </c>
      <c r="R87" s="26" t="s">
        <v>162</v>
      </c>
      <c r="S87" s="26">
        <v>27</v>
      </c>
      <c r="T87" s="26" t="s">
        <v>58</v>
      </c>
      <c r="U87" s="26" t="s">
        <v>59</v>
      </c>
      <c r="V87" s="28">
        <v>46149.77238425926</v>
      </c>
      <c r="W87" s="28">
        <v>46149.77238425926</v>
      </c>
      <c r="X87" s="28">
        <v>46149.776921296296</v>
      </c>
      <c r="Y87" s="26" t="s">
        <v>117</v>
      </c>
      <c r="Z87" s="26" t="s">
        <v>1192</v>
      </c>
      <c r="AA87" s="26" t="s">
        <v>53</v>
      </c>
      <c r="AB87" s="26" t="s">
        <v>60</v>
      </c>
      <c r="AC87" s="26" t="s">
        <v>1193</v>
      </c>
      <c r="AD87" s="26" t="s">
        <v>118</v>
      </c>
      <c r="AE87" s="26" t="s">
        <v>61</v>
      </c>
      <c r="AF87" s="26" t="s">
        <v>62</v>
      </c>
      <c r="AG87" s="26" t="s">
        <v>63</v>
      </c>
      <c r="AH87" s="26">
        <v>0</v>
      </c>
      <c r="AI87" s="26">
        <v>0</v>
      </c>
      <c r="AJ87" s="26">
        <v>0</v>
      </c>
      <c r="AK87" s="26">
        <v>0</v>
      </c>
      <c r="AL87" s="26" t="s">
        <v>64</v>
      </c>
      <c r="AM87" s="26">
        <v>3</v>
      </c>
      <c r="AN87" s="26">
        <v>392</v>
      </c>
      <c r="AO87" s="26" t="s">
        <v>65</v>
      </c>
      <c r="AP87" s="26">
        <v>37</v>
      </c>
      <c r="AQ87" s="26">
        <v>199</v>
      </c>
      <c r="AR87" s="26">
        <v>2475588</v>
      </c>
      <c r="AS87" s="26" t="s">
        <v>118</v>
      </c>
      <c r="AT87" s="26" t="s">
        <v>1194</v>
      </c>
      <c r="AU87" s="29" t="s">
        <v>118</v>
      </c>
    </row>
    <row r="88" spans="1:47" x14ac:dyDescent="0.25">
      <c r="A88" s="7">
        <f>+CONCATENATE(DAY(V88),"/",MONTH(V88),"/",YEAR(V88),"")*1</f>
        <v>46149</v>
      </c>
      <c r="B88" s="23">
        <f>+Z88*1</f>
        <v>2314536657</v>
      </c>
      <c r="C88" s="21" t="str">
        <f>+AA88</f>
        <v>ENTRANTE</v>
      </c>
      <c r="D88" s="3" t="str">
        <f>VLOOKUP(Q88,Code!E:F,2,0)</f>
        <v>Admisiones</v>
      </c>
      <c r="E88" s="3" t="s">
        <v>55</v>
      </c>
      <c r="F88" s="3">
        <f>+AP88</f>
        <v>37</v>
      </c>
      <c r="G88" s="3">
        <f>+S88</f>
        <v>27</v>
      </c>
      <c r="H88" s="22">
        <f>+HOUR(V88)</f>
        <v>17</v>
      </c>
      <c r="I88" s="22">
        <f>IFERROR(VLOOKUP(B88,MATRICULAS!A:B,2,0),0)*1</f>
        <v>1</v>
      </c>
      <c r="J88" s="27">
        <v>20260507</v>
      </c>
      <c r="K88" s="27">
        <v>149113140</v>
      </c>
      <c r="L88" s="27" t="s">
        <v>134</v>
      </c>
      <c r="M88" s="27" t="s">
        <v>56</v>
      </c>
      <c r="N88" s="27">
        <v>0</v>
      </c>
      <c r="O88" s="27">
        <v>0</v>
      </c>
      <c r="P88" s="27" t="s">
        <v>57</v>
      </c>
      <c r="Q88" s="27">
        <v>150</v>
      </c>
      <c r="R88" s="27" t="s">
        <v>174</v>
      </c>
      <c r="S88" s="27">
        <v>27</v>
      </c>
      <c r="T88" s="27" t="s">
        <v>58</v>
      </c>
      <c r="U88" s="27" t="s">
        <v>59</v>
      </c>
      <c r="V88" s="30">
        <v>46149.729490740741</v>
      </c>
      <c r="W88" s="30">
        <v>46149.729490740741</v>
      </c>
      <c r="X88" s="30">
        <v>46149.744340277779</v>
      </c>
      <c r="Y88" s="27" t="s">
        <v>117</v>
      </c>
      <c r="Z88" s="27" t="s">
        <v>1195</v>
      </c>
      <c r="AA88" s="27" t="s">
        <v>53</v>
      </c>
      <c r="AB88" s="27" t="s">
        <v>60</v>
      </c>
      <c r="AC88" s="27" t="s">
        <v>1196</v>
      </c>
      <c r="AD88" s="27" t="s">
        <v>118</v>
      </c>
      <c r="AE88" s="27" t="s">
        <v>61</v>
      </c>
      <c r="AF88" s="27" t="s">
        <v>62</v>
      </c>
      <c r="AG88" s="27" t="s">
        <v>63</v>
      </c>
      <c r="AH88" s="27">
        <v>0</v>
      </c>
      <c r="AI88" s="27">
        <v>0</v>
      </c>
      <c r="AJ88" s="27">
        <v>0</v>
      </c>
      <c r="AK88" s="27">
        <v>0</v>
      </c>
      <c r="AL88" s="27" t="s">
        <v>64</v>
      </c>
      <c r="AM88" s="27">
        <v>3</v>
      </c>
      <c r="AN88" s="27">
        <v>1283</v>
      </c>
      <c r="AO88" s="27" t="s">
        <v>65</v>
      </c>
      <c r="AP88" s="27">
        <v>37</v>
      </c>
      <c r="AQ88" s="27">
        <v>199</v>
      </c>
      <c r="AR88" s="27">
        <v>2468615</v>
      </c>
      <c r="AS88" s="27" t="s">
        <v>118</v>
      </c>
      <c r="AT88" s="27" t="s">
        <v>1197</v>
      </c>
      <c r="AU88" s="31" t="s">
        <v>118</v>
      </c>
    </row>
    <row r="89" spans="1:47" x14ac:dyDescent="0.25">
      <c r="A89" s="7">
        <f>+CONCATENATE(DAY(V89),"/",MONTH(V89),"/",YEAR(V89),"")*1</f>
        <v>46149</v>
      </c>
      <c r="B89" s="23">
        <f>+Z89*1</f>
        <v>3537447749</v>
      </c>
      <c r="C89" s="21" t="str">
        <f>+AA89</f>
        <v>ENTRANTE</v>
      </c>
      <c r="D89" s="3" t="str">
        <f>VLOOKUP(Q89,Code!E:F,2,0)</f>
        <v>Admisiones</v>
      </c>
      <c r="E89" s="3" t="s">
        <v>55</v>
      </c>
      <c r="F89" s="3">
        <f>+AP89</f>
        <v>37</v>
      </c>
      <c r="G89" s="3">
        <f>+S89</f>
        <v>27</v>
      </c>
      <c r="H89" s="22">
        <f>+HOUR(V89)</f>
        <v>15</v>
      </c>
      <c r="I89" s="22">
        <f>IFERROR(VLOOKUP(B89,MATRICULAS!A:B,2,0),0)*1</f>
        <v>1</v>
      </c>
      <c r="J89" s="26">
        <v>20260507</v>
      </c>
      <c r="K89" s="26">
        <v>149110561</v>
      </c>
      <c r="L89" s="26" t="s">
        <v>134</v>
      </c>
      <c r="M89" s="26" t="s">
        <v>56</v>
      </c>
      <c r="N89" s="26">
        <v>0</v>
      </c>
      <c r="O89" s="26">
        <v>0</v>
      </c>
      <c r="P89" s="26" t="s">
        <v>57</v>
      </c>
      <c r="Q89" s="26">
        <v>150</v>
      </c>
      <c r="R89" s="26" t="s">
        <v>163</v>
      </c>
      <c r="S89" s="26">
        <v>27</v>
      </c>
      <c r="T89" s="26" t="s">
        <v>58</v>
      </c>
      <c r="U89" s="26" t="s">
        <v>59</v>
      </c>
      <c r="V89" s="28">
        <v>46149.662962962961</v>
      </c>
      <c r="W89" s="28">
        <v>46149.662962962961</v>
      </c>
      <c r="X89" s="28">
        <v>46149.673692129632</v>
      </c>
      <c r="Y89" s="26" t="s">
        <v>117</v>
      </c>
      <c r="Z89" s="26" t="s">
        <v>1198</v>
      </c>
      <c r="AA89" s="26" t="s">
        <v>53</v>
      </c>
      <c r="AB89" s="26" t="s">
        <v>60</v>
      </c>
      <c r="AC89" s="26" t="s">
        <v>1199</v>
      </c>
      <c r="AD89" s="26" t="s">
        <v>118</v>
      </c>
      <c r="AE89" s="26" t="s">
        <v>61</v>
      </c>
      <c r="AF89" s="26" t="s">
        <v>62</v>
      </c>
      <c r="AG89" s="26" t="s">
        <v>63</v>
      </c>
      <c r="AH89" s="26">
        <v>0</v>
      </c>
      <c r="AI89" s="26">
        <v>0</v>
      </c>
      <c r="AJ89" s="26">
        <v>0</v>
      </c>
      <c r="AK89" s="26">
        <v>0</v>
      </c>
      <c r="AL89" s="26" t="s">
        <v>64</v>
      </c>
      <c r="AM89" s="26">
        <v>3</v>
      </c>
      <c r="AN89" s="26">
        <v>928</v>
      </c>
      <c r="AO89" s="26" t="s">
        <v>65</v>
      </c>
      <c r="AP89" s="26">
        <v>37</v>
      </c>
      <c r="AQ89" s="26">
        <v>201</v>
      </c>
      <c r="AR89" s="26">
        <v>2490786</v>
      </c>
      <c r="AS89" s="26" t="s">
        <v>118</v>
      </c>
      <c r="AT89" s="26" t="s">
        <v>1200</v>
      </c>
      <c r="AU89" s="29" t="s">
        <v>118</v>
      </c>
    </row>
    <row r="90" spans="1:47" x14ac:dyDescent="0.25">
      <c r="A90" s="7">
        <f>+CONCATENATE(DAY(V90),"/",MONTH(V90),"/",YEAR(V90),"")*1</f>
        <v>46149</v>
      </c>
      <c r="B90" s="23">
        <f>+Z90*1</f>
        <v>2914298801</v>
      </c>
      <c r="C90" s="21" t="str">
        <f>+AA90</f>
        <v>ENTRANTE</v>
      </c>
      <c r="D90" s="3" t="str">
        <f>VLOOKUP(Q90,Code!E:F,2,0)</f>
        <v>Admisiones</v>
      </c>
      <c r="E90" s="3" t="s">
        <v>55</v>
      </c>
      <c r="F90" s="3">
        <f>+AP90</f>
        <v>37</v>
      </c>
      <c r="G90" s="3">
        <f>+S90</f>
        <v>27</v>
      </c>
      <c r="H90" s="22">
        <f>+HOUR(V90)</f>
        <v>15</v>
      </c>
      <c r="I90" s="22">
        <f>IFERROR(VLOOKUP(B90,MATRICULAS!A:B,2,0),0)*1</f>
        <v>1</v>
      </c>
      <c r="J90" s="26">
        <v>20260507</v>
      </c>
      <c r="K90" s="26">
        <v>149110396</v>
      </c>
      <c r="L90" s="26" t="s">
        <v>134</v>
      </c>
      <c r="M90" s="26" t="s">
        <v>56</v>
      </c>
      <c r="N90" s="26">
        <v>0</v>
      </c>
      <c r="O90" s="26">
        <v>0</v>
      </c>
      <c r="P90" s="26" t="s">
        <v>57</v>
      </c>
      <c r="Q90" s="26">
        <v>150</v>
      </c>
      <c r="R90" s="26" t="s">
        <v>174</v>
      </c>
      <c r="S90" s="26">
        <v>27</v>
      </c>
      <c r="T90" s="26" t="s">
        <v>58</v>
      </c>
      <c r="U90" s="26" t="s">
        <v>59</v>
      </c>
      <c r="V90" s="28">
        <v>46149.659918981481</v>
      </c>
      <c r="W90" s="28">
        <v>46149.659918981481</v>
      </c>
      <c r="X90" s="28">
        <v>46149.675439814811</v>
      </c>
      <c r="Y90" s="26" t="s">
        <v>117</v>
      </c>
      <c r="Z90" s="26" t="s">
        <v>1201</v>
      </c>
      <c r="AA90" s="26" t="s">
        <v>53</v>
      </c>
      <c r="AB90" s="26" t="s">
        <v>60</v>
      </c>
      <c r="AC90" s="26" t="s">
        <v>1202</v>
      </c>
      <c r="AD90" s="26" t="s">
        <v>118</v>
      </c>
      <c r="AE90" s="26" t="s">
        <v>61</v>
      </c>
      <c r="AF90" s="26" t="s">
        <v>62</v>
      </c>
      <c r="AG90" s="26" t="s">
        <v>63</v>
      </c>
      <c r="AH90" s="26">
        <v>0</v>
      </c>
      <c r="AI90" s="26">
        <v>0</v>
      </c>
      <c r="AJ90" s="26">
        <v>0</v>
      </c>
      <c r="AK90" s="26">
        <v>0</v>
      </c>
      <c r="AL90" s="26" t="s">
        <v>64</v>
      </c>
      <c r="AM90" s="26">
        <v>3</v>
      </c>
      <c r="AN90" s="26">
        <v>1341</v>
      </c>
      <c r="AO90" s="26" t="s">
        <v>65</v>
      </c>
      <c r="AP90" s="26">
        <v>37</v>
      </c>
      <c r="AQ90" s="26">
        <v>201</v>
      </c>
      <c r="AR90" s="26">
        <v>2489725</v>
      </c>
      <c r="AS90" s="26" t="s">
        <v>118</v>
      </c>
      <c r="AT90" s="26" t="s">
        <v>1203</v>
      </c>
      <c r="AU90" s="29" t="s">
        <v>118</v>
      </c>
    </row>
    <row r="91" spans="1:47" x14ac:dyDescent="0.25">
      <c r="A91" s="7">
        <f>+CONCATENATE(DAY(V91),"/",MONTH(V91),"/",YEAR(V91),"")*1</f>
        <v>46149</v>
      </c>
      <c r="B91" s="23">
        <f>+Z91*1</f>
        <v>1168574429</v>
      </c>
      <c r="C91" s="21" t="str">
        <f>+AA91</f>
        <v>ENTRANTE</v>
      </c>
      <c r="D91" s="3" t="str">
        <f>VLOOKUP(Q91,Code!E:F,2,0)</f>
        <v>Admisiones</v>
      </c>
      <c r="E91" s="3" t="s">
        <v>55</v>
      </c>
      <c r="F91" s="3">
        <f>+AP91</f>
        <v>37</v>
      </c>
      <c r="G91" s="3">
        <f>+S91</f>
        <v>26</v>
      </c>
      <c r="H91" s="22">
        <f>+HOUR(V91)</f>
        <v>14</v>
      </c>
      <c r="I91" s="22">
        <f>IFERROR(VLOOKUP(B91,MATRICULAS!A:B,2,0),0)*1</f>
        <v>0</v>
      </c>
      <c r="J91" s="27">
        <v>20260507</v>
      </c>
      <c r="K91" s="27">
        <v>149108546</v>
      </c>
      <c r="L91" s="27" t="s">
        <v>134</v>
      </c>
      <c r="M91" s="27" t="s">
        <v>56</v>
      </c>
      <c r="N91" s="27">
        <v>0</v>
      </c>
      <c r="O91" s="27">
        <v>0</v>
      </c>
      <c r="P91" s="27" t="s">
        <v>57</v>
      </c>
      <c r="Q91" s="27">
        <v>150</v>
      </c>
      <c r="R91" s="27" t="s">
        <v>145</v>
      </c>
      <c r="S91" s="27">
        <v>26</v>
      </c>
      <c r="T91" s="27" t="s">
        <v>58</v>
      </c>
      <c r="U91" s="27" t="s">
        <v>59</v>
      </c>
      <c r="V91" s="30">
        <v>46149.612673611111</v>
      </c>
      <c r="W91" s="30">
        <v>46149.612685185188</v>
      </c>
      <c r="X91" s="30">
        <v>46149.613946759258</v>
      </c>
      <c r="Y91" s="27" t="s">
        <v>117</v>
      </c>
      <c r="Z91" s="27" t="s">
        <v>1204</v>
      </c>
      <c r="AA91" s="27" t="s">
        <v>53</v>
      </c>
      <c r="AB91" s="27" t="s">
        <v>60</v>
      </c>
      <c r="AC91" s="27" t="s">
        <v>1205</v>
      </c>
      <c r="AD91" s="27" t="s">
        <v>118</v>
      </c>
      <c r="AE91" s="27" t="s">
        <v>61</v>
      </c>
      <c r="AF91" s="27" t="s">
        <v>62</v>
      </c>
      <c r="AG91" s="27" t="s">
        <v>63</v>
      </c>
      <c r="AH91" s="27">
        <v>0</v>
      </c>
      <c r="AI91" s="27">
        <v>0</v>
      </c>
      <c r="AJ91" s="27">
        <v>0</v>
      </c>
      <c r="AK91" s="27">
        <v>0</v>
      </c>
      <c r="AL91" s="27" t="s">
        <v>64</v>
      </c>
      <c r="AM91" s="27">
        <v>3</v>
      </c>
      <c r="AN91" s="27">
        <v>110</v>
      </c>
      <c r="AO91" s="27" t="s">
        <v>65</v>
      </c>
      <c r="AP91" s="27">
        <v>37</v>
      </c>
      <c r="AQ91" s="27">
        <v>1</v>
      </c>
      <c r="AR91" s="27">
        <v>2490874</v>
      </c>
      <c r="AS91" s="27" t="s">
        <v>118</v>
      </c>
      <c r="AT91" s="27" t="s">
        <v>1206</v>
      </c>
      <c r="AU91" s="31" t="s">
        <v>118</v>
      </c>
    </row>
    <row r="92" spans="1:47" x14ac:dyDescent="0.25">
      <c r="A92" s="7">
        <f>+CONCATENATE(DAY(V92),"/",MONTH(V92),"/",YEAR(V92),"")*1</f>
        <v>46149</v>
      </c>
      <c r="B92" s="23">
        <f>+Z92*1</f>
        <v>1165511555</v>
      </c>
      <c r="C92" s="21" t="str">
        <f>+AA92</f>
        <v>ENTRANTE</v>
      </c>
      <c r="D92" s="3" t="str">
        <f>VLOOKUP(Q92,Code!E:F,2,0)</f>
        <v>Admisiones</v>
      </c>
      <c r="E92" s="3" t="s">
        <v>55</v>
      </c>
      <c r="F92" s="3">
        <f>+AP92</f>
        <v>37</v>
      </c>
      <c r="G92" s="3">
        <f>+S92</f>
        <v>26</v>
      </c>
      <c r="H92" s="22">
        <f>+HOUR(V92)</f>
        <v>12</v>
      </c>
      <c r="I92" s="22">
        <f>IFERROR(VLOOKUP(B92,MATRICULAS!A:B,2,0),0)*1</f>
        <v>0</v>
      </c>
      <c r="J92" s="26">
        <v>20260507</v>
      </c>
      <c r="K92" s="26">
        <v>149105737</v>
      </c>
      <c r="L92" s="26" t="s">
        <v>134</v>
      </c>
      <c r="M92" s="26" t="s">
        <v>56</v>
      </c>
      <c r="N92" s="26">
        <v>0</v>
      </c>
      <c r="O92" s="26">
        <v>0</v>
      </c>
      <c r="P92" s="26" t="s">
        <v>57</v>
      </c>
      <c r="Q92" s="26">
        <v>150</v>
      </c>
      <c r="R92" s="26" t="s">
        <v>127</v>
      </c>
      <c r="S92" s="26">
        <v>26</v>
      </c>
      <c r="T92" s="26" t="s">
        <v>58</v>
      </c>
      <c r="U92" s="26" t="s">
        <v>59</v>
      </c>
      <c r="V92" s="28">
        <v>46149.537812499999</v>
      </c>
      <c r="W92" s="28">
        <v>46149.537812499999</v>
      </c>
      <c r="X92" s="28">
        <v>46149.540682870371</v>
      </c>
      <c r="Y92" s="26" t="s">
        <v>117</v>
      </c>
      <c r="Z92" s="26" t="s">
        <v>1207</v>
      </c>
      <c r="AA92" s="26" t="s">
        <v>53</v>
      </c>
      <c r="AB92" s="26" t="s">
        <v>60</v>
      </c>
      <c r="AC92" s="26" t="s">
        <v>1208</v>
      </c>
      <c r="AD92" s="26" t="s">
        <v>118</v>
      </c>
      <c r="AE92" s="26" t="s">
        <v>61</v>
      </c>
      <c r="AF92" s="26" t="s">
        <v>62</v>
      </c>
      <c r="AG92" s="26" t="s">
        <v>63</v>
      </c>
      <c r="AH92" s="26">
        <v>0</v>
      </c>
      <c r="AI92" s="26">
        <v>0</v>
      </c>
      <c r="AJ92" s="26">
        <v>0</v>
      </c>
      <c r="AK92" s="26">
        <v>0</v>
      </c>
      <c r="AL92" s="26" t="s">
        <v>64</v>
      </c>
      <c r="AM92" s="26">
        <v>3</v>
      </c>
      <c r="AN92" s="26">
        <v>249</v>
      </c>
      <c r="AO92" s="26" t="s">
        <v>65</v>
      </c>
      <c r="AP92" s="26">
        <v>37</v>
      </c>
      <c r="AQ92" s="26">
        <v>116</v>
      </c>
      <c r="AR92" s="26">
        <v>1282169</v>
      </c>
      <c r="AS92" s="26" t="s">
        <v>118</v>
      </c>
      <c r="AT92" s="26" t="s">
        <v>1209</v>
      </c>
      <c r="AU92" s="29" t="s">
        <v>118</v>
      </c>
    </row>
    <row r="93" spans="1:47" x14ac:dyDescent="0.25">
      <c r="A93" s="7">
        <f>+CONCATENATE(DAY(V93),"/",MONTH(V93),"/",YEAR(V93),"")*1</f>
        <v>46149</v>
      </c>
      <c r="B93" s="23">
        <f>+Z93*1</f>
        <v>2494510024</v>
      </c>
      <c r="C93" s="21" t="str">
        <f>+AA93</f>
        <v>ENTRANTE</v>
      </c>
      <c r="D93" s="3" t="str">
        <f>VLOOKUP(Q93,Code!E:F,2,0)</f>
        <v>Admisiones</v>
      </c>
      <c r="E93" s="3" t="s">
        <v>55</v>
      </c>
      <c r="F93" s="3">
        <f>+AP93</f>
        <v>37</v>
      </c>
      <c r="G93" s="3">
        <f>+S93</f>
        <v>26</v>
      </c>
      <c r="H93" s="22">
        <f>+HOUR(V93)</f>
        <v>12</v>
      </c>
      <c r="I93" s="22">
        <f>IFERROR(VLOOKUP(B93,MATRICULAS!A:B,2,0),0)*1</f>
        <v>0</v>
      </c>
      <c r="J93" s="27">
        <v>20260507</v>
      </c>
      <c r="K93" s="27">
        <v>149105418</v>
      </c>
      <c r="L93" s="27" t="s">
        <v>134</v>
      </c>
      <c r="M93" s="27" t="s">
        <v>56</v>
      </c>
      <c r="N93" s="27">
        <v>0</v>
      </c>
      <c r="O93" s="27">
        <v>0</v>
      </c>
      <c r="P93" s="27" t="s">
        <v>57</v>
      </c>
      <c r="Q93" s="27">
        <v>150</v>
      </c>
      <c r="R93" s="27" t="s">
        <v>127</v>
      </c>
      <c r="S93" s="27">
        <v>26</v>
      </c>
      <c r="T93" s="27" t="s">
        <v>58</v>
      </c>
      <c r="U93" s="27" t="s">
        <v>59</v>
      </c>
      <c r="V93" s="30">
        <v>46149.528946759259</v>
      </c>
      <c r="W93" s="30">
        <v>46149.528946759259</v>
      </c>
      <c r="X93" s="30">
        <v>46149.537708333337</v>
      </c>
      <c r="Y93" s="27" t="s">
        <v>117</v>
      </c>
      <c r="Z93" s="27" t="s">
        <v>1210</v>
      </c>
      <c r="AA93" s="27" t="s">
        <v>53</v>
      </c>
      <c r="AB93" s="27" t="s">
        <v>60</v>
      </c>
      <c r="AC93" s="27" t="s">
        <v>1211</v>
      </c>
      <c r="AD93" s="27" t="s">
        <v>118</v>
      </c>
      <c r="AE93" s="27" t="s">
        <v>61</v>
      </c>
      <c r="AF93" s="27" t="s">
        <v>62</v>
      </c>
      <c r="AG93" s="27" t="s">
        <v>63</v>
      </c>
      <c r="AH93" s="27">
        <v>0</v>
      </c>
      <c r="AI93" s="27">
        <v>0</v>
      </c>
      <c r="AJ93" s="27">
        <v>0</v>
      </c>
      <c r="AK93" s="27">
        <v>0</v>
      </c>
      <c r="AL93" s="27" t="s">
        <v>64</v>
      </c>
      <c r="AM93" s="27">
        <v>3</v>
      </c>
      <c r="AN93" s="27">
        <v>758</v>
      </c>
      <c r="AO93" s="27" t="s">
        <v>65</v>
      </c>
      <c r="AP93" s="27">
        <v>37</v>
      </c>
      <c r="AQ93" s="27">
        <v>1</v>
      </c>
      <c r="AR93" s="27">
        <v>2490770</v>
      </c>
      <c r="AS93" s="27" t="s">
        <v>118</v>
      </c>
      <c r="AT93" s="27" t="s">
        <v>1212</v>
      </c>
      <c r="AU93" s="31" t="s">
        <v>118</v>
      </c>
    </row>
    <row r="94" spans="1:47" x14ac:dyDescent="0.25">
      <c r="A94" s="7">
        <f>+CONCATENATE(DAY(V94),"/",MONTH(V94),"/",YEAR(V94),"")*1</f>
        <v>46149</v>
      </c>
      <c r="B94" s="23">
        <f>+Z94*1</f>
        <v>3815764161</v>
      </c>
      <c r="C94" s="21" t="str">
        <f>+AA94</f>
        <v>ENTRANTE</v>
      </c>
      <c r="D94" s="3" t="str">
        <f>VLOOKUP(Q94,Code!E:F,2,0)</f>
        <v>Admisiones</v>
      </c>
      <c r="E94" s="3" t="s">
        <v>55</v>
      </c>
      <c r="F94" s="3">
        <f>+AP94</f>
        <v>37</v>
      </c>
      <c r="G94" s="3">
        <f>+S94</f>
        <v>26</v>
      </c>
      <c r="H94" s="22">
        <f>+HOUR(V94)</f>
        <v>11</v>
      </c>
      <c r="I94" s="22">
        <f>IFERROR(VLOOKUP(B94,MATRICULAS!A:B,2,0),0)*1</f>
        <v>0</v>
      </c>
      <c r="J94" s="27">
        <v>20260507</v>
      </c>
      <c r="K94" s="27">
        <v>149103634</v>
      </c>
      <c r="L94" s="27" t="s">
        <v>134</v>
      </c>
      <c r="M94" s="27" t="s">
        <v>56</v>
      </c>
      <c r="N94" s="27">
        <v>0</v>
      </c>
      <c r="O94" s="27">
        <v>0</v>
      </c>
      <c r="P94" s="27" t="s">
        <v>57</v>
      </c>
      <c r="Q94" s="27">
        <v>150</v>
      </c>
      <c r="R94" s="27" t="s">
        <v>145</v>
      </c>
      <c r="S94" s="27">
        <v>26</v>
      </c>
      <c r="T94" s="27" t="s">
        <v>58</v>
      </c>
      <c r="U94" s="27" t="s">
        <v>59</v>
      </c>
      <c r="V94" s="30">
        <v>46149.486354166664</v>
      </c>
      <c r="W94" s="30">
        <v>46149.486354166664</v>
      </c>
      <c r="X94" s="30">
        <v>46149.492048611108</v>
      </c>
      <c r="Y94" s="27" t="s">
        <v>117</v>
      </c>
      <c r="Z94" s="27" t="s">
        <v>1214</v>
      </c>
      <c r="AA94" s="27" t="s">
        <v>53</v>
      </c>
      <c r="AB94" s="27" t="s">
        <v>60</v>
      </c>
      <c r="AC94" s="27" t="s">
        <v>1215</v>
      </c>
      <c r="AD94" s="27" t="s">
        <v>118</v>
      </c>
      <c r="AE94" s="27" t="s">
        <v>61</v>
      </c>
      <c r="AF94" s="27" t="s">
        <v>62</v>
      </c>
      <c r="AG94" s="27" t="s">
        <v>63</v>
      </c>
      <c r="AH94" s="27">
        <v>0</v>
      </c>
      <c r="AI94" s="27">
        <v>0</v>
      </c>
      <c r="AJ94" s="27">
        <v>0</v>
      </c>
      <c r="AK94" s="27">
        <v>0</v>
      </c>
      <c r="AL94" s="27" t="s">
        <v>64</v>
      </c>
      <c r="AM94" s="27">
        <v>3</v>
      </c>
      <c r="AN94" s="27">
        <v>492</v>
      </c>
      <c r="AO94" s="27" t="s">
        <v>65</v>
      </c>
      <c r="AP94" s="27">
        <v>37</v>
      </c>
      <c r="AQ94" s="27">
        <v>1</v>
      </c>
      <c r="AR94" s="27">
        <v>2490707</v>
      </c>
      <c r="AS94" s="27" t="s">
        <v>118</v>
      </c>
      <c r="AT94" s="27" t="s">
        <v>1216</v>
      </c>
      <c r="AU94" s="31" t="s">
        <v>118</v>
      </c>
    </row>
    <row r="95" spans="1:47" x14ac:dyDescent="0.25">
      <c r="A95" s="7">
        <f>+CONCATENATE(DAY(V95),"/",MONTH(V95),"/",YEAR(V95),"")*1</f>
        <v>46149</v>
      </c>
      <c r="B95" s="23">
        <f>+Z95*1</f>
        <v>1159580337</v>
      </c>
      <c r="C95" s="21" t="str">
        <f>+AA95</f>
        <v>ENTRANTE</v>
      </c>
      <c r="D95" s="3" t="str">
        <f>VLOOKUP(Q95,Code!E:F,2,0)</f>
        <v>Admisiones</v>
      </c>
      <c r="E95" s="3" t="s">
        <v>55</v>
      </c>
      <c r="F95" s="3">
        <f>+AP95</f>
        <v>37</v>
      </c>
      <c r="G95" s="3">
        <f>+S95</f>
        <v>26</v>
      </c>
      <c r="H95" s="22">
        <f>+HOUR(V95)</f>
        <v>11</v>
      </c>
      <c r="I95" s="22">
        <f>IFERROR(VLOOKUP(B95,MATRICULAS!A:B,2,0),0)*1</f>
        <v>0</v>
      </c>
      <c r="J95" s="26">
        <v>20260507</v>
      </c>
      <c r="K95" s="26">
        <v>149102553</v>
      </c>
      <c r="L95" s="26" t="s">
        <v>134</v>
      </c>
      <c r="M95" s="26" t="s">
        <v>56</v>
      </c>
      <c r="N95" s="26">
        <v>0</v>
      </c>
      <c r="O95" s="26">
        <v>0</v>
      </c>
      <c r="P95" s="26" t="s">
        <v>57</v>
      </c>
      <c r="Q95" s="26">
        <v>150</v>
      </c>
      <c r="R95" s="26" t="s">
        <v>145</v>
      </c>
      <c r="S95" s="26">
        <v>26</v>
      </c>
      <c r="T95" s="26" t="s">
        <v>58</v>
      </c>
      <c r="U95" s="26" t="s">
        <v>59</v>
      </c>
      <c r="V95" s="28">
        <v>46149.462743055556</v>
      </c>
      <c r="W95" s="28">
        <v>46149.462743055556</v>
      </c>
      <c r="X95" s="28">
        <v>46149.470023148147</v>
      </c>
      <c r="Y95" s="26" t="s">
        <v>117</v>
      </c>
      <c r="Z95" s="26" t="s">
        <v>1217</v>
      </c>
      <c r="AA95" s="26" t="s">
        <v>53</v>
      </c>
      <c r="AB95" s="26" t="s">
        <v>60</v>
      </c>
      <c r="AC95" s="26" t="s">
        <v>1218</v>
      </c>
      <c r="AD95" s="26" t="s">
        <v>118</v>
      </c>
      <c r="AE95" s="26" t="s">
        <v>61</v>
      </c>
      <c r="AF95" s="26" t="s">
        <v>62</v>
      </c>
      <c r="AG95" s="26" t="s">
        <v>63</v>
      </c>
      <c r="AH95" s="26">
        <v>0</v>
      </c>
      <c r="AI95" s="26">
        <v>0</v>
      </c>
      <c r="AJ95" s="26">
        <v>0</v>
      </c>
      <c r="AK95" s="26">
        <v>0</v>
      </c>
      <c r="AL95" s="26" t="s">
        <v>64</v>
      </c>
      <c r="AM95" s="26">
        <v>3</v>
      </c>
      <c r="AN95" s="26">
        <v>629</v>
      </c>
      <c r="AO95" s="26" t="s">
        <v>65</v>
      </c>
      <c r="AP95" s="26">
        <v>37</v>
      </c>
      <c r="AQ95" s="26">
        <v>198</v>
      </c>
      <c r="AR95" s="26">
        <v>2481269</v>
      </c>
      <c r="AS95" s="26" t="s">
        <v>118</v>
      </c>
      <c r="AT95" s="26" t="s">
        <v>1219</v>
      </c>
      <c r="AU95" s="29" t="s">
        <v>118</v>
      </c>
    </row>
    <row r="96" spans="1:47" x14ac:dyDescent="0.25">
      <c r="A96" s="7">
        <f>+CONCATENATE(DAY(V96),"/",MONTH(V96),"/",YEAR(V96),"")*1</f>
        <v>46149</v>
      </c>
      <c r="B96" s="23">
        <f>+Z96*1</f>
        <v>1125317015</v>
      </c>
      <c r="C96" s="21" t="str">
        <f>+AA96</f>
        <v>ENTRANTE</v>
      </c>
      <c r="D96" s="3" t="str">
        <f>VLOOKUP(Q96,Code!E:F,2,0)</f>
        <v>Admisiones</v>
      </c>
      <c r="E96" s="3" t="s">
        <v>55</v>
      </c>
      <c r="F96" s="3">
        <f>+AP96</f>
        <v>37</v>
      </c>
      <c r="G96" s="3">
        <f>+S96</f>
        <v>26</v>
      </c>
      <c r="H96" s="22">
        <f>+HOUR(V96)</f>
        <v>10</v>
      </c>
      <c r="I96" s="22">
        <f>IFERROR(VLOOKUP(B96,MATRICULAS!A:B,2,0),0)*1</f>
        <v>0</v>
      </c>
      <c r="J96" s="27">
        <v>20260507</v>
      </c>
      <c r="K96" s="27">
        <v>149102348</v>
      </c>
      <c r="L96" s="27" t="s">
        <v>134</v>
      </c>
      <c r="M96" s="27" t="s">
        <v>56</v>
      </c>
      <c r="N96" s="27">
        <v>0</v>
      </c>
      <c r="O96" s="27">
        <v>0</v>
      </c>
      <c r="P96" s="27" t="s">
        <v>57</v>
      </c>
      <c r="Q96" s="27">
        <v>150</v>
      </c>
      <c r="R96" s="27" t="s">
        <v>153</v>
      </c>
      <c r="S96" s="27">
        <v>26</v>
      </c>
      <c r="T96" s="27" t="s">
        <v>58</v>
      </c>
      <c r="U96" s="27" t="s">
        <v>59</v>
      </c>
      <c r="V96" s="30">
        <v>46149.455995370372</v>
      </c>
      <c r="W96" s="30">
        <v>46149.455995370372</v>
      </c>
      <c r="X96" s="30">
        <v>46149.457187499997</v>
      </c>
      <c r="Y96" s="27" t="s">
        <v>117</v>
      </c>
      <c r="Z96" s="27" t="s">
        <v>1220</v>
      </c>
      <c r="AA96" s="27" t="s">
        <v>53</v>
      </c>
      <c r="AB96" s="27" t="s">
        <v>60</v>
      </c>
      <c r="AC96" s="27" t="s">
        <v>1221</v>
      </c>
      <c r="AD96" s="27" t="s">
        <v>118</v>
      </c>
      <c r="AE96" s="27" t="s">
        <v>66</v>
      </c>
      <c r="AF96" s="27" t="s">
        <v>67</v>
      </c>
      <c r="AG96" s="27" t="s">
        <v>67</v>
      </c>
      <c r="AH96" s="27">
        <v>0</v>
      </c>
      <c r="AI96" s="27">
        <v>0</v>
      </c>
      <c r="AJ96" s="27">
        <v>0</v>
      </c>
      <c r="AK96" s="27">
        <v>0</v>
      </c>
      <c r="AL96" s="27" t="s">
        <v>64</v>
      </c>
      <c r="AM96" s="27">
        <v>3</v>
      </c>
      <c r="AN96" s="27">
        <v>104</v>
      </c>
      <c r="AO96" s="27" t="s">
        <v>65</v>
      </c>
      <c r="AP96" s="27">
        <v>37</v>
      </c>
      <c r="AQ96" s="27">
        <v>1</v>
      </c>
      <c r="AR96" s="27">
        <v>2490642</v>
      </c>
      <c r="AS96" s="27" t="s">
        <v>118</v>
      </c>
      <c r="AT96" s="27" t="s">
        <v>1222</v>
      </c>
      <c r="AU96" s="31" t="s">
        <v>118</v>
      </c>
    </row>
    <row r="97" spans="1:47" x14ac:dyDescent="0.25">
      <c r="A97" s="7">
        <f>+CONCATENATE(DAY(V97),"/",MONTH(V97),"/",YEAR(V97),"")*1</f>
        <v>46149</v>
      </c>
      <c r="B97" s="23">
        <f>+Z97*1</f>
        <v>3884536454</v>
      </c>
      <c r="C97" s="21" t="str">
        <f>+AA97</f>
        <v>ENTRANTE</v>
      </c>
      <c r="D97" s="3" t="str">
        <f>VLOOKUP(Q97,Code!E:F,2,0)</f>
        <v>Admisiones</v>
      </c>
      <c r="E97" s="3" t="s">
        <v>55</v>
      </c>
      <c r="F97" s="3">
        <f>+AP97</f>
        <v>37</v>
      </c>
      <c r="G97" s="3">
        <f>+S97</f>
        <v>26</v>
      </c>
      <c r="H97" s="22">
        <f>+HOUR(V97)</f>
        <v>10</v>
      </c>
      <c r="I97" s="22">
        <f>IFERROR(VLOOKUP(B97,MATRICULAS!A:B,2,0),0)*1</f>
        <v>0</v>
      </c>
      <c r="J97" s="26">
        <v>20260507</v>
      </c>
      <c r="K97" s="26">
        <v>149102088</v>
      </c>
      <c r="L97" s="26" t="s">
        <v>134</v>
      </c>
      <c r="M97" s="26" t="s">
        <v>56</v>
      </c>
      <c r="N97" s="26">
        <v>0</v>
      </c>
      <c r="O97" s="26">
        <v>0</v>
      </c>
      <c r="P97" s="26" t="s">
        <v>57</v>
      </c>
      <c r="Q97" s="26">
        <v>150</v>
      </c>
      <c r="R97" s="26" t="s">
        <v>127</v>
      </c>
      <c r="S97" s="26">
        <v>26</v>
      </c>
      <c r="T97" s="26" t="s">
        <v>58</v>
      </c>
      <c r="U97" s="26" t="s">
        <v>59</v>
      </c>
      <c r="V97" s="28">
        <v>46149.450810185182</v>
      </c>
      <c r="W97" s="28">
        <v>46149.450810185182</v>
      </c>
      <c r="X97" s="28">
        <v>46149.460868055554</v>
      </c>
      <c r="Y97" s="26" t="s">
        <v>117</v>
      </c>
      <c r="Z97" s="26" t="s">
        <v>368</v>
      </c>
      <c r="AA97" s="26" t="s">
        <v>53</v>
      </c>
      <c r="AB97" s="26" t="s">
        <v>60</v>
      </c>
      <c r="AC97" s="26" t="s">
        <v>1223</v>
      </c>
      <c r="AD97" s="26" t="s">
        <v>118</v>
      </c>
      <c r="AE97" s="26" t="s">
        <v>70</v>
      </c>
      <c r="AF97" s="26" t="s">
        <v>141</v>
      </c>
      <c r="AG97" s="26" t="s">
        <v>160</v>
      </c>
      <c r="AH97" s="26">
        <v>0</v>
      </c>
      <c r="AI97" s="26">
        <v>0</v>
      </c>
      <c r="AJ97" s="26">
        <v>0</v>
      </c>
      <c r="AK97" s="26">
        <v>0</v>
      </c>
      <c r="AL97" s="26" t="s">
        <v>64</v>
      </c>
      <c r="AM97" s="26">
        <v>3</v>
      </c>
      <c r="AN97" s="26">
        <v>870</v>
      </c>
      <c r="AO97" s="26" t="s">
        <v>65</v>
      </c>
      <c r="AP97" s="26">
        <v>37</v>
      </c>
      <c r="AQ97" s="26">
        <v>201</v>
      </c>
      <c r="AR97" s="26">
        <v>2488938</v>
      </c>
      <c r="AS97" s="26" t="s">
        <v>118</v>
      </c>
      <c r="AT97" s="26" t="s">
        <v>1224</v>
      </c>
      <c r="AU97" s="29" t="s">
        <v>118</v>
      </c>
    </row>
    <row r="98" spans="1:47" x14ac:dyDescent="0.25">
      <c r="A98" s="7">
        <f>+CONCATENATE(DAY(V98),"/",MONTH(V98),"/",YEAR(V98),"")*1</f>
        <v>46149</v>
      </c>
      <c r="B98" s="23">
        <f>+Z98*1</f>
        <v>1127475585</v>
      </c>
      <c r="C98" s="21" t="str">
        <f>+AA98</f>
        <v>ENTRANTE</v>
      </c>
      <c r="D98" s="3" t="str">
        <f>VLOOKUP(Q98,Code!E:F,2,0)</f>
        <v>Admisiones</v>
      </c>
      <c r="E98" s="3" t="s">
        <v>55</v>
      </c>
      <c r="F98" s="3">
        <f>+AP98</f>
        <v>37</v>
      </c>
      <c r="G98" s="3">
        <f>+S98</f>
        <v>26</v>
      </c>
      <c r="H98" s="22">
        <f>+HOUR(V98)</f>
        <v>10</v>
      </c>
      <c r="I98" s="22">
        <f>IFERROR(VLOOKUP(B98,MATRICULAS!A:B,2,0),0)*1</f>
        <v>0</v>
      </c>
      <c r="J98" s="27">
        <v>20260507</v>
      </c>
      <c r="K98" s="27">
        <v>149101732</v>
      </c>
      <c r="L98" s="27" t="s">
        <v>134</v>
      </c>
      <c r="M98" s="27" t="s">
        <v>56</v>
      </c>
      <c r="N98" s="27">
        <v>0</v>
      </c>
      <c r="O98" s="27">
        <v>0</v>
      </c>
      <c r="P98" s="27" t="s">
        <v>57</v>
      </c>
      <c r="Q98" s="27">
        <v>150</v>
      </c>
      <c r="R98" s="27" t="s">
        <v>145</v>
      </c>
      <c r="S98" s="27">
        <v>26</v>
      </c>
      <c r="T98" s="27" t="s">
        <v>58</v>
      </c>
      <c r="U98" s="27" t="s">
        <v>59</v>
      </c>
      <c r="V98" s="30">
        <v>46149.442557870374</v>
      </c>
      <c r="W98" s="30">
        <v>46149.442557870374</v>
      </c>
      <c r="X98" s="30">
        <v>46149.450578703705</v>
      </c>
      <c r="Y98" s="27" t="s">
        <v>117</v>
      </c>
      <c r="Z98" s="27" t="s">
        <v>205</v>
      </c>
      <c r="AA98" s="27" t="s">
        <v>53</v>
      </c>
      <c r="AB98" s="27" t="s">
        <v>60</v>
      </c>
      <c r="AC98" s="27" t="s">
        <v>1225</v>
      </c>
      <c r="AD98" s="27" t="s">
        <v>118</v>
      </c>
      <c r="AE98" s="27" t="s">
        <v>66</v>
      </c>
      <c r="AF98" s="27" t="s">
        <v>67</v>
      </c>
      <c r="AG98" s="27" t="s">
        <v>67</v>
      </c>
      <c r="AH98" s="27">
        <v>0</v>
      </c>
      <c r="AI98" s="27">
        <v>0</v>
      </c>
      <c r="AJ98" s="27">
        <v>0</v>
      </c>
      <c r="AK98" s="27">
        <v>0</v>
      </c>
      <c r="AL98" s="27" t="s">
        <v>64</v>
      </c>
      <c r="AM98" s="27">
        <v>3</v>
      </c>
      <c r="AN98" s="27">
        <v>694</v>
      </c>
      <c r="AO98" s="27" t="s">
        <v>65</v>
      </c>
      <c r="AP98" s="27">
        <v>37</v>
      </c>
      <c r="AQ98" s="27">
        <v>201</v>
      </c>
      <c r="AR98" s="27">
        <v>2490610</v>
      </c>
      <c r="AS98" s="27" t="s">
        <v>118</v>
      </c>
      <c r="AT98" s="27" t="s">
        <v>1226</v>
      </c>
      <c r="AU98" s="31" t="s">
        <v>118</v>
      </c>
    </row>
    <row r="99" spans="1:47" x14ac:dyDescent="0.25">
      <c r="A99" s="7">
        <f>+CONCATENATE(DAY(V99),"/",MONTH(V99),"/",YEAR(V99),"")*1</f>
        <v>46149</v>
      </c>
      <c r="B99" s="23">
        <f>+Z99*1</f>
        <v>2964554250</v>
      </c>
      <c r="C99" s="21" t="str">
        <f>+AA99</f>
        <v>ENTRANTE</v>
      </c>
      <c r="D99" s="3" t="str">
        <f>VLOOKUP(Q99,Code!E:F,2,0)</f>
        <v>Admisiones</v>
      </c>
      <c r="E99" s="3" t="s">
        <v>55</v>
      </c>
      <c r="F99" s="3">
        <f>+AP99</f>
        <v>37</v>
      </c>
      <c r="G99" s="3">
        <f>+S99</f>
        <v>26</v>
      </c>
      <c r="H99" s="22">
        <f>+HOUR(V99)</f>
        <v>10</v>
      </c>
      <c r="I99" s="22">
        <f>IFERROR(VLOOKUP(B99,MATRICULAS!A:B,2,0),0)*1</f>
        <v>0</v>
      </c>
      <c r="J99" s="27">
        <v>20260507</v>
      </c>
      <c r="K99" s="27">
        <v>149100942</v>
      </c>
      <c r="L99" s="27" t="s">
        <v>134</v>
      </c>
      <c r="M99" s="27" t="s">
        <v>56</v>
      </c>
      <c r="N99" s="27">
        <v>0</v>
      </c>
      <c r="O99" s="27">
        <v>0</v>
      </c>
      <c r="P99" s="27" t="s">
        <v>57</v>
      </c>
      <c r="Q99" s="27">
        <v>150</v>
      </c>
      <c r="R99" s="27" t="s">
        <v>128</v>
      </c>
      <c r="S99" s="27">
        <v>26</v>
      </c>
      <c r="T99" s="27" t="s">
        <v>58</v>
      </c>
      <c r="U99" s="27" t="s">
        <v>59</v>
      </c>
      <c r="V99" s="30">
        <v>46149.421469907407</v>
      </c>
      <c r="W99" s="30">
        <v>46149.421469907407</v>
      </c>
      <c r="X99" s="30">
        <v>46149.425949074073</v>
      </c>
      <c r="Y99" s="27" t="s">
        <v>117</v>
      </c>
      <c r="Z99" s="27" t="s">
        <v>1227</v>
      </c>
      <c r="AA99" s="27" t="s">
        <v>53</v>
      </c>
      <c r="AB99" s="27" t="s">
        <v>60</v>
      </c>
      <c r="AC99" s="27" t="s">
        <v>1228</v>
      </c>
      <c r="AD99" s="27" t="s">
        <v>118</v>
      </c>
      <c r="AE99" s="27" t="s">
        <v>61</v>
      </c>
      <c r="AF99" s="27" t="s">
        <v>62</v>
      </c>
      <c r="AG99" s="27" t="s">
        <v>63</v>
      </c>
      <c r="AH99" s="27">
        <v>0</v>
      </c>
      <c r="AI99" s="27">
        <v>0</v>
      </c>
      <c r="AJ99" s="27">
        <v>0</v>
      </c>
      <c r="AK99" s="27">
        <v>0</v>
      </c>
      <c r="AL99" s="27" t="s">
        <v>64</v>
      </c>
      <c r="AM99" s="27">
        <v>3</v>
      </c>
      <c r="AN99" s="27">
        <v>388</v>
      </c>
      <c r="AO99" s="27" t="s">
        <v>65</v>
      </c>
      <c r="AP99" s="27">
        <v>37</v>
      </c>
      <c r="AQ99" s="27">
        <v>193</v>
      </c>
      <c r="AR99" s="27">
        <v>2357211</v>
      </c>
      <c r="AS99" s="27" t="s">
        <v>118</v>
      </c>
      <c r="AT99" s="27" t="s">
        <v>1229</v>
      </c>
      <c r="AU99" s="31" t="s">
        <v>118</v>
      </c>
    </row>
    <row r="100" spans="1:47" x14ac:dyDescent="0.25">
      <c r="A100" s="7">
        <f>+CONCATENATE(DAY(V100),"/",MONTH(V100),"/",YEAR(V100),"")*1</f>
        <v>46149</v>
      </c>
      <c r="B100" s="23">
        <f>+Z100*1</f>
        <v>2966224201</v>
      </c>
      <c r="C100" s="21" t="str">
        <f>+AA100</f>
        <v>ENTRANTE</v>
      </c>
      <c r="D100" s="3" t="str">
        <f>VLOOKUP(Q100,Code!E:F,2,0)</f>
        <v>Admisiones</v>
      </c>
      <c r="E100" s="3" t="s">
        <v>55</v>
      </c>
      <c r="F100" s="3">
        <f>+AP100</f>
        <v>37</v>
      </c>
      <c r="G100" s="3">
        <f>+S100</f>
        <v>26</v>
      </c>
      <c r="H100" s="22">
        <f>+HOUR(V100)</f>
        <v>9</v>
      </c>
      <c r="I100" s="22">
        <f>IFERROR(VLOOKUP(B100,MATRICULAS!A:B,2,0),0)*1</f>
        <v>0</v>
      </c>
      <c r="J100" s="26">
        <v>20260507</v>
      </c>
      <c r="K100" s="26">
        <v>149100648</v>
      </c>
      <c r="L100" s="26" t="s">
        <v>134</v>
      </c>
      <c r="M100" s="26" t="s">
        <v>56</v>
      </c>
      <c r="N100" s="26">
        <v>0</v>
      </c>
      <c r="O100" s="26">
        <v>0</v>
      </c>
      <c r="P100" s="26" t="s">
        <v>57</v>
      </c>
      <c r="Q100" s="26">
        <v>150</v>
      </c>
      <c r="R100" s="26" t="s">
        <v>127</v>
      </c>
      <c r="S100" s="26">
        <v>26</v>
      </c>
      <c r="T100" s="26" t="s">
        <v>58</v>
      </c>
      <c r="U100" s="26" t="s">
        <v>59</v>
      </c>
      <c r="V100" s="28">
        <v>46149.412800925929</v>
      </c>
      <c r="W100" s="28">
        <v>46149.412812499999</v>
      </c>
      <c r="X100" s="28">
        <v>46149.413807870369</v>
      </c>
      <c r="Y100" s="26" t="s">
        <v>117</v>
      </c>
      <c r="Z100" s="26" t="s">
        <v>1230</v>
      </c>
      <c r="AA100" s="26" t="s">
        <v>53</v>
      </c>
      <c r="AB100" s="26" t="s">
        <v>60</v>
      </c>
      <c r="AC100" s="26" t="s">
        <v>1231</v>
      </c>
      <c r="AD100" s="26" t="s">
        <v>118</v>
      </c>
      <c r="AE100" s="26" t="s">
        <v>61</v>
      </c>
      <c r="AF100" s="26" t="s">
        <v>62</v>
      </c>
      <c r="AG100" s="26" t="s">
        <v>63</v>
      </c>
      <c r="AH100" s="26">
        <v>0</v>
      </c>
      <c r="AI100" s="26">
        <v>0</v>
      </c>
      <c r="AJ100" s="26">
        <v>0</v>
      </c>
      <c r="AK100" s="26">
        <v>0</v>
      </c>
      <c r="AL100" s="26" t="s">
        <v>64</v>
      </c>
      <c r="AM100" s="26">
        <v>3</v>
      </c>
      <c r="AN100" s="26">
        <v>87</v>
      </c>
      <c r="AO100" s="26" t="s">
        <v>65</v>
      </c>
      <c r="AP100" s="26">
        <v>37</v>
      </c>
      <c r="AQ100" s="26">
        <v>1</v>
      </c>
      <c r="AR100" s="26">
        <v>2490549</v>
      </c>
      <c r="AS100" s="26" t="s">
        <v>118</v>
      </c>
      <c r="AT100" s="26" t="s">
        <v>1232</v>
      </c>
      <c r="AU100" s="29" t="s">
        <v>118</v>
      </c>
    </row>
    <row r="101" spans="1:47" x14ac:dyDescent="0.25">
      <c r="A101" s="7">
        <f>+CONCATENATE(DAY(V101),"/",MONTH(V101),"/",YEAR(V101),"")*1</f>
        <v>46149</v>
      </c>
      <c r="B101" s="23">
        <f>+Z101*1</f>
        <v>1138761240</v>
      </c>
      <c r="C101" s="21" t="str">
        <f>+AA101</f>
        <v>ENTRANTE</v>
      </c>
      <c r="D101" s="3" t="str">
        <f>VLOOKUP(Q101,Code!E:F,2,0)</f>
        <v>Admisiones</v>
      </c>
      <c r="E101" s="3" t="s">
        <v>55</v>
      </c>
      <c r="F101" s="3">
        <f>+AP101</f>
        <v>37</v>
      </c>
      <c r="G101" s="3">
        <f>+S101</f>
        <v>26</v>
      </c>
      <c r="H101" s="22">
        <f>+HOUR(V101)</f>
        <v>9</v>
      </c>
      <c r="I101" s="22">
        <f>IFERROR(VLOOKUP(B101,MATRICULAS!A:B,2,0),0)*1</f>
        <v>1</v>
      </c>
      <c r="J101" s="27">
        <v>20260507</v>
      </c>
      <c r="K101" s="27">
        <v>149100472</v>
      </c>
      <c r="L101" s="27" t="s">
        <v>134</v>
      </c>
      <c r="M101" s="27" t="s">
        <v>56</v>
      </c>
      <c r="N101" s="27">
        <v>0</v>
      </c>
      <c r="O101" s="27">
        <v>0</v>
      </c>
      <c r="P101" s="27" t="s">
        <v>57</v>
      </c>
      <c r="Q101" s="27">
        <v>150</v>
      </c>
      <c r="R101" s="27" t="s">
        <v>145</v>
      </c>
      <c r="S101" s="27">
        <v>26</v>
      </c>
      <c r="T101" s="27" t="s">
        <v>58</v>
      </c>
      <c r="U101" s="27" t="s">
        <v>59</v>
      </c>
      <c r="V101" s="30">
        <v>46149.408460648148</v>
      </c>
      <c r="W101" s="30">
        <v>46149.408472222225</v>
      </c>
      <c r="X101" s="30">
        <v>46149.421238425923</v>
      </c>
      <c r="Y101" s="27" t="s">
        <v>117</v>
      </c>
      <c r="Z101" s="27" t="s">
        <v>1233</v>
      </c>
      <c r="AA101" s="27" t="s">
        <v>53</v>
      </c>
      <c r="AB101" s="27" t="s">
        <v>60</v>
      </c>
      <c r="AC101" s="27" t="s">
        <v>1234</v>
      </c>
      <c r="AD101" s="27" t="s">
        <v>118</v>
      </c>
      <c r="AE101" s="27" t="s">
        <v>66</v>
      </c>
      <c r="AF101" s="27" t="s">
        <v>67</v>
      </c>
      <c r="AG101" s="27" t="s">
        <v>67</v>
      </c>
      <c r="AH101" s="27">
        <v>0</v>
      </c>
      <c r="AI101" s="27">
        <v>0</v>
      </c>
      <c r="AJ101" s="27">
        <v>0</v>
      </c>
      <c r="AK101" s="27">
        <v>0</v>
      </c>
      <c r="AL101" s="27" t="s">
        <v>64</v>
      </c>
      <c r="AM101" s="27">
        <v>3</v>
      </c>
      <c r="AN101" s="27">
        <v>1104</v>
      </c>
      <c r="AO101" s="27" t="s">
        <v>65</v>
      </c>
      <c r="AP101" s="27">
        <v>37</v>
      </c>
      <c r="AQ101" s="27">
        <v>201</v>
      </c>
      <c r="AR101" s="27">
        <v>2489807</v>
      </c>
      <c r="AS101" s="27" t="s">
        <v>118</v>
      </c>
      <c r="AT101" s="27" t="s">
        <v>1235</v>
      </c>
      <c r="AU101" s="31" t="s">
        <v>118</v>
      </c>
    </row>
    <row r="102" spans="1:47" x14ac:dyDescent="0.25">
      <c r="A102" s="7">
        <f>+CONCATENATE(DAY(V102),"/",MONTH(V102),"/",YEAR(V102),"")*1</f>
        <v>46149</v>
      </c>
      <c r="B102" s="23">
        <f>+Z102*1</f>
        <v>3517389670</v>
      </c>
      <c r="C102" s="21" t="str">
        <f>+AA102</f>
        <v>ENTRANTE</v>
      </c>
      <c r="D102" s="3" t="str">
        <f>VLOOKUP(Q102,Code!E:F,2,0)</f>
        <v>Admisiones</v>
      </c>
      <c r="E102" s="3" t="s">
        <v>55</v>
      </c>
      <c r="F102" s="3">
        <f>+AP102</f>
        <v>37</v>
      </c>
      <c r="G102" s="3">
        <f>+S102</f>
        <v>26</v>
      </c>
      <c r="H102" s="22">
        <f>+HOUR(V102)</f>
        <v>9</v>
      </c>
      <c r="I102" s="22">
        <f>IFERROR(VLOOKUP(B102,MATRICULAS!A:B,2,0),0)*1</f>
        <v>0</v>
      </c>
      <c r="J102" s="26">
        <v>20260507</v>
      </c>
      <c r="K102" s="26">
        <v>149100001</v>
      </c>
      <c r="L102" s="26" t="s">
        <v>134</v>
      </c>
      <c r="M102" s="26" t="s">
        <v>56</v>
      </c>
      <c r="N102" s="26">
        <v>0</v>
      </c>
      <c r="O102" s="26">
        <v>0</v>
      </c>
      <c r="P102" s="26" t="s">
        <v>57</v>
      </c>
      <c r="Q102" s="26">
        <v>150</v>
      </c>
      <c r="R102" s="26" t="s">
        <v>145</v>
      </c>
      <c r="S102" s="26">
        <v>26</v>
      </c>
      <c r="T102" s="26" t="s">
        <v>58</v>
      </c>
      <c r="U102" s="26" t="s">
        <v>59</v>
      </c>
      <c r="V102" s="28">
        <v>46149.398645833331</v>
      </c>
      <c r="W102" s="28">
        <v>46149.398645833331</v>
      </c>
      <c r="X102" s="28">
        <v>46149.398854166669</v>
      </c>
      <c r="Y102" s="26" t="s">
        <v>117</v>
      </c>
      <c r="Z102" s="26" t="s">
        <v>173</v>
      </c>
      <c r="AA102" s="26" t="s">
        <v>53</v>
      </c>
      <c r="AB102" s="26" t="s">
        <v>60</v>
      </c>
      <c r="AC102" s="26" t="s">
        <v>1236</v>
      </c>
      <c r="AD102" s="26" t="s">
        <v>118</v>
      </c>
      <c r="AE102" s="26" t="s">
        <v>70</v>
      </c>
      <c r="AF102" s="26" t="s">
        <v>130</v>
      </c>
      <c r="AG102" s="26" t="s">
        <v>130</v>
      </c>
      <c r="AH102" s="26">
        <v>0</v>
      </c>
      <c r="AI102" s="26">
        <v>0</v>
      </c>
      <c r="AJ102" s="26">
        <v>0</v>
      </c>
      <c r="AK102" s="26">
        <v>0</v>
      </c>
      <c r="AL102" s="26" t="s">
        <v>64</v>
      </c>
      <c r="AM102" s="26">
        <v>3</v>
      </c>
      <c r="AN102" s="26">
        <v>19</v>
      </c>
      <c r="AO102" s="26" t="s">
        <v>65</v>
      </c>
      <c r="AP102" s="26">
        <v>37</v>
      </c>
      <c r="AQ102" s="26">
        <v>0</v>
      </c>
      <c r="AR102" s="26">
        <v>0</v>
      </c>
      <c r="AS102" s="26" t="s">
        <v>118</v>
      </c>
      <c r="AT102" s="26" t="s">
        <v>1237</v>
      </c>
      <c r="AU102" s="29" t="s">
        <v>118</v>
      </c>
    </row>
    <row r="103" spans="1:47" x14ac:dyDescent="0.25">
      <c r="A103" s="7">
        <f>+CONCATENATE(DAY(V103),"/",MONTH(V103),"/",YEAR(V103),"")*1</f>
        <v>46150</v>
      </c>
      <c r="B103" s="23">
        <f>+Z103*1</f>
        <v>2266660929</v>
      </c>
      <c r="C103" s="21" t="str">
        <f>+AA103</f>
        <v>ENTRANTE</v>
      </c>
      <c r="D103" s="3" t="str">
        <f>VLOOKUP(Q103,Code!E:F,2,0)</f>
        <v>Admisiones</v>
      </c>
      <c r="E103" s="3" t="s">
        <v>55</v>
      </c>
      <c r="F103" s="3">
        <f>+AP103</f>
        <v>37</v>
      </c>
      <c r="G103" s="3">
        <f>+S103</f>
        <v>27</v>
      </c>
      <c r="H103" s="22">
        <f>+HOUR(V103)</f>
        <v>17</v>
      </c>
      <c r="I103" s="22">
        <f>IFERROR(VLOOKUP(B103,MATRICULAS!A:B,2,0),0)*1</f>
        <v>0</v>
      </c>
      <c r="J103" s="26">
        <v>20260508</v>
      </c>
      <c r="K103" s="26">
        <v>149134002</v>
      </c>
      <c r="L103" s="26" t="s">
        <v>134</v>
      </c>
      <c r="M103" s="26" t="s">
        <v>56</v>
      </c>
      <c r="N103" s="26">
        <v>0</v>
      </c>
      <c r="O103" s="26">
        <v>0</v>
      </c>
      <c r="P103" s="26" t="s">
        <v>57</v>
      </c>
      <c r="Q103" s="26">
        <v>150</v>
      </c>
      <c r="R103" s="26" t="s">
        <v>174</v>
      </c>
      <c r="S103" s="26">
        <v>27</v>
      </c>
      <c r="T103" s="26" t="s">
        <v>58</v>
      </c>
      <c r="U103" s="26" t="s">
        <v>59</v>
      </c>
      <c r="V103" s="28">
        <v>46150.724988425929</v>
      </c>
      <c r="W103" s="28">
        <v>46150.724988425929</v>
      </c>
      <c r="X103" s="28">
        <v>46150.72861111111</v>
      </c>
      <c r="Y103" s="26" t="s">
        <v>117</v>
      </c>
      <c r="Z103" s="26" t="s">
        <v>1128</v>
      </c>
      <c r="AA103" s="26" t="s">
        <v>53</v>
      </c>
      <c r="AB103" s="26" t="s">
        <v>60</v>
      </c>
      <c r="AC103" s="26" t="s">
        <v>1129</v>
      </c>
      <c r="AD103" s="26" t="s">
        <v>118</v>
      </c>
      <c r="AE103" s="26" t="s">
        <v>61</v>
      </c>
      <c r="AF103" s="26" t="s">
        <v>62</v>
      </c>
      <c r="AG103" s="26" t="s">
        <v>63</v>
      </c>
      <c r="AH103" s="26">
        <v>0</v>
      </c>
      <c r="AI103" s="26">
        <v>0</v>
      </c>
      <c r="AJ103" s="26">
        <v>0</v>
      </c>
      <c r="AK103" s="26">
        <v>0</v>
      </c>
      <c r="AL103" s="26" t="s">
        <v>64</v>
      </c>
      <c r="AM103" s="26">
        <v>3</v>
      </c>
      <c r="AN103" s="26">
        <v>314</v>
      </c>
      <c r="AO103" s="26" t="s">
        <v>65</v>
      </c>
      <c r="AP103" s="26">
        <v>37</v>
      </c>
      <c r="AQ103" s="26">
        <v>1</v>
      </c>
      <c r="AR103" s="26">
        <v>2492101</v>
      </c>
      <c r="AS103" s="26" t="s">
        <v>118</v>
      </c>
      <c r="AT103" s="26" t="s">
        <v>1130</v>
      </c>
      <c r="AU103" s="29" t="s">
        <v>118</v>
      </c>
    </row>
    <row r="104" spans="1:47" x14ac:dyDescent="0.25">
      <c r="A104" s="7">
        <f>+CONCATENATE(DAY(V104),"/",MONTH(V104),"/",YEAR(V104),"")*1</f>
        <v>46150</v>
      </c>
      <c r="B104" s="23">
        <f>+Z104*1</f>
        <v>3413013160</v>
      </c>
      <c r="C104" s="21" t="str">
        <f>+AA104</f>
        <v>ENTRANTE</v>
      </c>
      <c r="D104" s="3" t="str">
        <f>VLOOKUP(Q104,Code!E:F,2,0)</f>
        <v>Admisiones</v>
      </c>
      <c r="E104" s="3" t="s">
        <v>55</v>
      </c>
      <c r="F104" s="3">
        <f>+AP104</f>
        <v>37</v>
      </c>
      <c r="G104" s="3">
        <f>+S104</f>
        <v>27</v>
      </c>
      <c r="H104" s="22">
        <f>+HOUR(V104)</f>
        <v>16</v>
      </c>
      <c r="I104" s="22">
        <f>IFERROR(VLOOKUP(B104,MATRICULAS!A:B,2,0),0)*1</f>
        <v>0</v>
      </c>
      <c r="J104" s="27">
        <v>20260508</v>
      </c>
      <c r="K104" s="27">
        <v>149132293</v>
      </c>
      <c r="L104" s="27" t="s">
        <v>134</v>
      </c>
      <c r="M104" s="27" t="s">
        <v>56</v>
      </c>
      <c r="N104" s="27">
        <v>0</v>
      </c>
      <c r="O104" s="27">
        <v>0</v>
      </c>
      <c r="P104" s="27" t="s">
        <v>57</v>
      </c>
      <c r="Q104" s="27">
        <v>150</v>
      </c>
      <c r="R104" s="27" t="s">
        <v>174</v>
      </c>
      <c r="S104" s="27">
        <v>27</v>
      </c>
      <c r="T104" s="27" t="s">
        <v>58</v>
      </c>
      <c r="U104" s="27" t="s">
        <v>59</v>
      </c>
      <c r="V104" s="30">
        <v>46150.678657407407</v>
      </c>
      <c r="W104" s="30">
        <v>46150.678668981483</v>
      </c>
      <c r="X104" s="30">
        <v>46150.681585648148</v>
      </c>
      <c r="Y104" s="27" t="s">
        <v>117</v>
      </c>
      <c r="Z104" s="27" t="s">
        <v>1131</v>
      </c>
      <c r="AA104" s="27" t="s">
        <v>53</v>
      </c>
      <c r="AB104" s="27" t="s">
        <v>60</v>
      </c>
      <c r="AC104" s="27" t="s">
        <v>1132</v>
      </c>
      <c r="AD104" s="27" t="s">
        <v>118</v>
      </c>
      <c r="AE104" s="27" t="s">
        <v>61</v>
      </c>
      <c r="AF104" s="27" t="s">
        <v>62</v>
      </c>
      <c r="AG104" s="27" t="s">
        <v>63</v>
      </c>
      <c r="AH104" s="27">
        <v>0</v>
      </c>
      <c r="AI104" s="27">
        <v>0</v>
      </c>
      <c r="AJ104" s="27">
        <v>0</v>
      </c>
      <c r="AK104" s="27">
        <v>0</v>
      </c>
      <c r="AL104" s="27" t="s">
        <v>64</v>
      </c>
      <c r="AM104" s="27">
        <v>3</v>
      </c>
      <c r="AN104" s="27">
        <v>252</v>
      </c>
      <c r="AO104" s="27" t="s">
        <v>65</v>
      </c>
      <c r="AP104" s="27">
        <v>37</v>
      </c>
      <c r="AQ104" s="27">
        <v>201</v>
      </c>
      <c r="AR104" s="27">
        <v>2489865</v>
      </c>
      <c r="AS104" s="27" t="s">
        <v>118</v>
      </c>
      <c r="AT104" s="27" t="s">
        <v>1133</v>
      </c>
      <c r="AU104" s="31" t="s">
        <v>118</v>
      </c>
    </row>
    <row r="105" spans="1:47" x14ac:dyDescent="0.25">
      <c r="A105" s="7">
        <f>+CONCATENATE(DAY(V105),"/",MONTH(V105),"/",YEAR(V105),"")*1</f>
        <v>46150</v>
      </c>
      <c r="B105" s="23">
        <f>+Z105*1</f>
        <v>2914318340</v>
      </c>
      <c r="C105" s="21" t="str">
        <f>+AA105</f>
        <v>ENTRANTE</v>
      </c>
      <c r="D105" s="3" t="str">
        <f>VLOOKUP(Q105,Code!E:F,2,0)</f>
        <v>Admisiones</v>
      </c>
      <c r="E105" s="3" t="s">
        <v>55</v>
      </c>
      <c r="F105" s="3">
        <f>+AP105</f>
        <v>37</v>
      </c>
      <c r="G105" s="3">
        <f>+S105</f>
        <v>27</v>
      </c>
      <c r="H105" s="22">
        <f>+HOUR(V105)</f>
        <v>15</v>
      </c>
      <c r="I105" s="22">
        <f>IFERROR(VLOOKUP(B105,MATRICULAS!A:B,2,0),0)*1</f>
        <v>0</v>
      </c>
      <c r="J105" s="26">
        <v>20260508</v>
      </c>
      <c r="K105" s="26">
        <v>149131541</v>
      </c>
      <c r="L105" s="26" t="s">
        <v>134</v>
      </c>
      <c r="M105" s="26" t="s">
        <v>56</v>
      </c>
      <c r="N105" s="26">
        <v>0</v>
      </c>
      <c r="O105" s="26">
        <v>0</v>
      </c>
      <c r="P105" s="26" t="s">
        <v>57</v>
      </c>
      <c r="Q105" s="26">
        <v>150</v>
      </c>
      <c r="R105" s="26" t="s">
        <v>174</v>
      </c>
      <c r="S105" s="26">
        <v>27</v>
      </c>
      <c r="T105" s="26" t="s">
        <v>58</v>
      </c>
      <c r="U105" s="26" t="s">
        <v>59</v>
      </c>
      <c r="V105" s="28">
        <v>46150.660879629628</v>
      </c>
      <c r="W105" s="28">
        <v>46150.660879629628</v>
      </c>
      <c r="X105" s="28">
        <v>46150.665706018517</v>
      </c>
      <c r="Y105" s="26" t="s">
        <v>117</v>
      </c>
      <c r="Z105" s="26" t="s">
        <v>1134</v>
      </c>
      <c r="AA105" s="26" t="s">
        <v>53</v>
      </c>
      <c r="AB105" s="26" t="s">
        <v>60</v>
      </c>
      <c r="AC105" s="26" t="s">
        <v>1135</v>
      </c>
      <c r="AD105" s="26" t="s">
        <v>118</v>
      </c>
      <c r="AE105" s="26" t="s">
        <v>61</v>
      </c>
      <c r="AF105" s="26" t="s">
        <v>62</v>
      </c>
      <c r="AG105" s="26" t="s">
        <v>63</v>
      </c>
      <c r="AH105" s="26">
        <v>0</v>
      </c>
      <c r="AI105" s="26">
        <v>0</v>
      </c>
      <c r="AJ105" s="26">
        <v>0</v>
      </c>
      <c r="AK105" s="26">
        <v>0</v>
      </c>
      <c r="AL105" s="26" t="s">
        <v>64</v>
      </c>
      <c r="AM105" s="26">
        <v>3</v>
      </c>
      <c r="AN105" s="26">
        <v>418</v>
      </c>
      <c r="AO105" s="26" t="s">
        <v>65</v>
      </c>
      <c r="AP105" s="26">
        <v>37</v>
      </c>
      <c r="AQ105" s="26">
        <v>130</v>
      </c>
      <c r="AR105" s="26">
        <v>1091233</v>
      </c>
      <c r="AS105" s="26" t="s">
        <v>118</v>
      </c>
      <c r="AT105" s="26" t="s">
        <v>1136</v>
      </c>
      <c r="AU105" s="29" t="s">
        <v>118</v>
      </c>
    </row>
    <row r="106" spans="1:47" x14ac:dyDescent="0.25">
      <c r="A106" s="7">
        <f>+CONCATENATE(DAY(V106),"/",MONTH(V106),"/",YEAR(V106),"")*1</f>
        <v>46150</v>
      </c>
      <c r="B106" s="23">
        <f>+Z106*1</f>
        <v>3731402489</v>
      </c>
      <c r="C106" s="21" t="str">
        <f>+AA106</f>
        <v>ENTRANTE</v>
      </c>
      <c r="D106" s="3" t="str">
        <f>VLOOKUP(Q106,Code!E:F,2,0)</f>
        <v>Admisiones</v>
      </c>
      <c r="E106" s="3" t="s">
        <v>55</v>
      </c>
      <c r="F106" s="3">
        <f>+AP106</f>
        <v>37</v>
      </c>
      <c r="G106" s="3">
        <f>+S106</f>
        <v>27</v>
      </c>
      <c r="H106" s="22">
        <f>+HOUR(V106)</f>
        <v>15</v>
      </c>
      <c r="I106" s="22">
        <f>IFERROR(VLOOKUP(B106,MATRICULAS!A:B,2,0),0)*1</f>
        <v>0</v>
      </c>
      <c r="J106" s="27">
        <v>20260508</v>
      </c>
      <c r="K106" s="27">
        <v>149130681</v>
      </c>
      <c r="L106" s="27" t="s">
        <v>134</v>
      </c>
      <c r="M106" s="27" t="s">
        <v>56</v>
      </c>
      <c r="N106" s="27">
        <v>0</v>
      </c>
      <c r="O106" s="27">
        <v>0</v>
      </c>
      <c r="P106" s="27" t="s">
        <v>57</v>
      </c>
      <c r="Q106" s="27">
        <v>150</v>
      </c>
      <c r="R106" s="27" t="s">
        <v>174</v>
      </c>
      <c r="S106" s="27">
        <v>27</v>
      </c>
      <c r="T106" s="27" t="s">
        <v>58</v>
      </c>
      <c r="U106" s="27" t="s">
        <v>59</v>
      </c>
      <c r="V106" s="30">
        <v>46150.638391203705</v>
      </c>
      <c r="W106" s="30">
        <v>46150.638391203705</v>
      </c>
      <c r="X106" s="30">
        <v>46150.643182870372</v>
      </c>
      <c r="Y106" s="27" t="s">
        <v>117</v>
      </c>
      <c r="Z106" s="27" t="s">
        <v>1137</v>
      </c>
      <c r="AA106" s="27" t="s">
        <v>53</v>
      </c>
      <c r="AB106" s="27" t="s">
        <v>60</v>
      </c>
      <c r="AC106" s="27" t="s">
        <v>1138</v>
      </c>
      <c r="AD106" s="27" t="s">
        <v>118</v>
      </c>
      <c r="AE106" s="27" t="s">
        <v>61</v>
      </c>
      <c r="AF106" s="27" t="s">
        <v>62</v>
      </c>
      <c r="AG106" s="27" t="s">
        <v>63</v>
      </c>
      <c r="AH106" s="27">
        <v>0</v>
      </c>
      <c r="AI106" s="27">
        <v>0</v>
      </c>
      <c r="AJ106" s="27">
        <v>0</v>
      </c>
      <c r="AK106" s="27">
        <v>0</v>
      </c>
      <c r="AL106" s="27" t="s">
        <v>64</v>
      </c>
      <c r="AM106" s="27">
        <v>3</v>
      </c>
      <c r="AN106" s="27">
        <v>415</v>
      </c>
      <c r="AO106" s="27" t="s">
        <v>65</v>
      </c>
      <c r="AP106" s="27">
        <v>37</v>
      </c>
      <c r="AQ106" s="27">
        <v>1</v>
      </c>
      <c r="AR106" s="27">
        <v>2491980</v>
      </c>
      <c r="AS106" s="27" t="s">
        <v>118</v>
      </c>
      <c r="AT106" s="27" t="s">
        <v>1139</v>
      </c>
      <c r="AU106" s="31" t="s">
        <v>118</v>
      </c>
    </row>
    <row r="107" spans="1:47" x14ac:dyDescent="0.25">
      <c r="A107" s="7">
        <f>+CONCATENATE(DAY(V107),"/",MONTH(V107),"/",YEAR(V107),"")*1</f>
        <v>46150</v>
      </c>
      <c r="B107" s="23">
        <f>+Z107*1</f>
        <v>1147783149</v>
      </c>
      <c r="C107" s="21" t="str">
        <f>+AA107</f>
        <v>ENTRANTE</v>
      </c>
      <c r="D107" s="3" t="str">
        <f>VLOOKUP(Q107,Code!E:F,2,0)</f>
        <v>Admisiones</v>
      </c>
      <c r="E107" s="3" t="s">
        <v>55</v>
      </c>
      <c r="F107" s="3">
        <f>+AP107</f>
        <v>37</v>
      </c>
      <c r="G107" s="3">
        <f>+S107</f>
        <v>26</v>
      </c>
      <c r="H107" s="22">
        <f>+HOUR(V107)</f>
        <v>14</v>
      </c>
      <c r="I107" s="22">
        <f>IFERROR(VLOOKUP(B107,MATRICULAS!A:B,2,0),0)*1</f>
        <v>0</v>
      </c>
      <c r="J107" s="26">
        <v>20260508</v>
      </c>
      <c r="K107" s="26">
        <v>149130016</v>
      </c>
      <c r="L107" s="26" t="s">
        <v>134</v>
      </c>
      <c r="M107" s="26" t="s">
        <v>56</v>
      </c>
      <c r="N107" s="26">
        <v>0</v>
      </c>
      <c r="O107" s="26">
        <v>0</v>
      </c>
      <c r="P107" s="26" t="s">
        <v>57</v>
      </c>
      <c r="Q107" s="26">
        <v>150</v>
      </c>
      <c r="R107" s="26" t="s">
        <v>145</v>
      </c>
      <c r="S107" s="26">
        <v>26</v>
      </c>
      <c r="T107" s="26" t="s">
        <v>58</v>
      </c>
      <c r="U107" s="26" t="s">
        <v>59</v>
      </c>
      <c r="V107" s="28">
        <v>46150.614999999998</v>
      </c>
      <c r="W107" s="28">
        <v>46150.614999999998</v>
      </c>
      <c r="X107" s="28">
        <v>46150.62122685185</v>
      </c>
      <c r="Y107" s="26" t="s">
        <v>117</v>
      </c>
      <c r="Z107" s="26" t="s">
        <v>1140</v>
      </c>
      <c r="AA107" s="26" t="s">
        <v>53</v>
      </c>
      <c r="AB107" s="26" t="s">
        <v>60</v>
      </c>
      <c r="AC107" s="26" t="s">
        <v>1141</v>
      </c>
      <c r="AD107" s="26" t="s">
        <v>118</v>
      </c>
      <c r="AE107" s="26" t="s">
        <v>66</v>
      </c>
      <c r="AF107" s="26" t="s">
        <v>67</v>
      </c>
      <c r="AG107" s="26" t="s">
        <v>67</v>
      </c>
      <c r="AH107" s="26">
        <v>0</v>
      </c>
      <c r="AI107" s="26">
        <v>0</v>
      </c>
      <c r="AJ107" s="26">
        <v>0</v>
      </c>
      <c r="AK107" s="26">
        <v>0</v>
      </c>
      <c r="AL107" s="26" t="s">
        <v>64</v>
      </c>
      <c r="AM107" s="26">
        <v>3</v>
      </c>
      <c r="AN107" s="26">
        <v>538</v>
      </c>
      <c r="AO107" s="26" t="s">
        <v>65</v>
      </c>
      <c r="AP107" s="26">
        <v>37</v>
      </c>
      <c r="AQ107" s="26">
        <v>1</v>
      </c>
      <c r="AR107" s="26">
        <v>2491947</v>
      </c>
      <c r="AS107" s="26" t="s">
        <v>118</v>
      </c>
      <c r="AT107" s="26" t="s">
        <v>1142</v>
      </c>
      <c r="AU107" s="29" t="s">
        <v>118</v>
      </c>
    </row>
    <row r="108" spans="1:47" x14ac:dyDescent="0.25">
      <c r="A108" s="7">
        <f>+CONCATENATE(DAY(V108),"/",MONTH(V108),"/",YEAR(V108),"")*1</f>
        <v>46150</v>
      </c>
      <c r="B108" s="23">
        <f>+Z108*1</f>
        <v>1150992454</v>
      </c>
      <c r="C108" s="21" t="str">
        <f>+AA108</f>
        <v>ENTRANTE</v>
      </c>
      <c r="D108" s="3" t="str">
        <f>VLOOKUP(Q108,Code!E:F,2,0)</f>
        <v>Admisiones</v>
      </c>
      <c r="E108" s="3" t="s">
        <v>55</v>
      </c>
      <c r="F108" s="3">
        <f>+AP108</f>
        <v>37</v>
      </c>
      <c r="G108" s="3">
        <f>+S108</f>
        <v>26</v>
      </c>
      <c r="H108" s="22">
        <f>+HOUR(V108)</f>
        <v>14</v>
      </c>
      <c r="I108" s="22">
        <f>IFERROR(VLOOKUP(B108,MATRICULAS!A:B,2,0),0)*1</f>
        <v>0</v>
      </c>
      <c r="J108" s="27">
        <v>20260508</v>
      </c>
      <c r="K108" s="27">
        <v>149128910</v>
      </c>
      <c r="L108" s="27" t="s">
        <v>134</v>
      </c>
      <c r="M108" s="27" t="s">
        <v>56</v>
      </c>
      <c r="N108" s="27">
        <v>0</v>
      </c>
      <c r="O108" s="27">
        <v>0</v>
      </c>
      <c r="P108" s="27" t="s">
        <v>57</v>
      </c>
      <c r="Q108" s="27">
        <v>150</v>
      </c>
      <c r="R108" s="27" t="s">
        <v>127</v>
      </c>
      <c r="S108" s="27">
        <v>26</v>
      </c>
      <c r="T108" s="27" t="s">
        <v>58</v>
      </c>
      <c r="U108" s="27" t="s">
        <v>59</v>
      </c>
      <c r="V108" s="30">
        <v>46150.583993055552</v>
      </c>
      <c r="W108" s="30">
        <v>46150.583993055552</v>
      </c>
      <c r="X108" s="30">
        <v>46150.584722222222</v>
      </c>
      <c r="Y108" s="27" t="s">
        <v>117</v>
      </c>
      <c r="Z108" s="27" t="s">
        <v>198</v>
      </c>
      <c r="AA108" s="27" t="s">
        <v>53</v>
      </c>
      <c r="AB108" s="27" t="s">
        <v>60</v>
      </c>
      <c r="AC108" s="27" t="s">
        <v>1143</v>
      </c>
      <c r="AD108" s="27" t="s">
        <v>118</v>
      </c>
      <c r="AE108" s="27" t="s">
        <v>61</v>
      </c>
      <c r="AF108" s="27" t="s">
        <v>62</v>
      </c>
      <c r="AG108" s="27" t="s">
        <v>63</v>
      </c>
      <c r="AH108" s="27">
        <v>0</v>
      </c>
      <c r="AI108" s="27">
        <v>0</v>
      </c>
      <c r="AJ108" s="27">
        <v>0</v>
      </c>
      <c r="AK108" s="27">
        <v>0</v>
      </c>
      <c r="AL108" s="27" t="s">
        <v>64</v>
      </c>
      <c r="AM108" s="27">
        <v>3</v>
      </c>
      <c r="AN108" s="27">
        <v>64</v>
      </c>
      <c r="AO108" s="27" t="s">
        <v>65</v>
      </c>
      <c r="AP108" s="27">
        <v>37</v>
      </c>
      <c r="AQ108" s="27">
        <v>1</v>
      </c>
      <c r="AR108" s="27">
        <v>2483621</v>
      </c>
      <c r="AS108" s="27" t="s">
        <v>1144</v>
      </c>
      <c r="AT108" s="27" t="s">
        <v>1145</v>
      </c>
      <c r="AU108" s="31" t="s">
        <v>118</v>
      </c>
    </row>
    <row r="109" spans="1:47" x14ac:dyDescent="0.25">
      <c r="A109" s="7">
        <f>+CONCATENATE(DAY(V109),"/",MONTH(V109),"/",YEAR(V109),"")*1</f>
        <v>46150</v>
      </c>
      <c r="B109" s="23">
        <f>+Z109*1</f>
        <v>1163095554</v>
      </c>
      <c r="C109" s="21" t="str">
        <f>+AA109</f>
        <v>ENTRANTE</v>
      </c>
      <c r="D109" s="3" t="str">
        <f>VLOOKUP(Q109,Code!E:F,2,0)</f>
        <v>Admisiones</v>
      </c>
      <c r="E109" s="3" t="s">
        <v>55</v>
      </c>
      <c r="F109" s="3">
        <f>+AP109</f>
        <v>37</v>
      </c>
      <c r="G109" s="3">
        <f>+S109</f>
        <v>26</v>
      </c>
      <c r="H109" s="22">
        <f>+HOUR(V109)</f>
        <v>13</v>
      </c>
      <c r="I109" s="22">
        <f>IFERROR(VLOOKUP(B109,MATRICULAS!A:B,2,0),0)*1</f>
        <v>0</v>
      </c>
      <c r="J109" s="26">
        <v>20260508</v>
      </c>
      <c r="K109" s="26">
        <v>149128687</v>
      </c>
      <c r="L109" s="26" t="s">
        <v>134</v>
      </c>
      <c r="M109" s="26" t="s">
        <v>56</v>
      </c>
      <c r="N109" s="26">
        <v>0</v>
      </c>
      <c r="O109" s="26">
        <v>0</v>
      </c>
      <c r="P109" s="26" t="s">
        <v>57</v>
      </c>
      <c r="Q109" s="26">
        <v>150</v>
      </c>
      <c r="R109" s="26" t="s">
        <v>153</v>
      </c>
      <c r="S109" s="26">
        <v>26</v>
      </c>
      <c r="T109" s="26" t="s">
        <v>58</v>
      </c>
      <c r="U109" s="26" t="s">
        <v>59</v>
      </c>
      <c r="V109" s="28">
        <v>46150.578194444446</v>
      </c>
      <c r="W109" s="28">
        <v>46150.578194444446</v>
      </c>
      <c r="X109" s="28">
        <v>46150.578796296293</v>
      </c>
      <c r="Y109" s="26" t="s">
        <v>117</v>
      </c>
      <c r="Z109" s="26" t="s">
        <v>1146</v>
      </c>
      <c r="AA109" s="26" t="s">
        <v>53</v>
      </c>
      <c r="AB109" s="26" t="s">
        <v>60</v>
      </c>
      <c r="AC109" s="26" t="s">
        <v>1147</v>
      </c>
      <c r="AD109" s="26" t="s">
        <v>118</v>
      </c>
      <c r="AE109" s="26" t="s">
        <v>61</v>
      </c>
      <c r="AF109" s="26" t="s">
        <v>62</v>
      </c>
      <c r="AG109" s="26" t="s">
        <v>63</v>
      </c>
      <c r="AH109" s="26">
        <v>0</v>
      </c>
      <c r="AI109" s="26">
        <v>0</v>
      </c>
      <c r="AJ109" s="26">
        <v>0</v>
      </c>
      <c r="AK109" s="26">
        <v>0</v>
      </c>
      <c r="AL109" s="26" t="s">
        <v>64</v>
      </c>
      <c r="AM109" s="26">
        <v>3</v>
      </c>
      <c r="AN109" s="26">
        <v>53</v>
      </c>
      <c r="AO109" s="26" t="s">
        <v>65</v>
      </c>
      <c r="AP109" s="26">
        <v>37</v>
      </c>
      <c r="AQ109" s="26">
        <v>0</v>
      </c>
      <c r="AR109" s="26">
        <v>0</v>
      </c>
      <c r="AS109" s="26" t="s">
        <v>118</v>
      </c>
      <c r="AT109" s="26" t="s">
        <v>1148</v>
      </c>
      <c r="AU109" s="29" t="s">
        <v>118</v>
      </c>
    </row>
    <row r="110" spans="1:47" x14ac:dyDescent="0.25">
      <c r="A110" s="7">
        <f>+CONCATENATE(DAY(V110),"/",MONTH(V110),"/",YEAR(V110),"")*1</f>
        <v>46150</v>
      </c>
      <c r="B110" s="23">
        <f>+Z110*1</f>
        <v>2984508106</v>
      </c>
      <c r="C110" s="21" t="str">
        <f>+AA110</f>
        <v>ENTRANTE</v>
      </c>
      <c r="D110" s="3" t="str">
        <f>VLOOKUP(Q110,Code!E:F,2,0)</f>
        <v>Admisiones</v>
      </c>
      <c r="E110" s="3" t="s">
        <v>55</v>
      </c>
      <c r="F110" s="3">
        <f>+AP110</f>
        <v>37</v>
      </c>
      <c r="G110" s="3">
        <f>+S110</f>
        <v>26</v>
      </c>
      <c r="H110" s="22">
        <f>+HOUR(V110)</f>
        <v>13</v>
      </c>
      <c r="I110" s="22">
        <f>IFERROR(VLOOKUP(B110,MATRICULAS!A:B,2,0),0)*1</f>
        <v>1</v>
      </c>
      <c r="J110" s="27">
        <v>20260508</v>
      </c>
      <c r="K110" s="27">
        <v>149128679</v>
      </c>
      <c r="L110" s="27" t="s">
        <v>134</v>
      </c>
      <c r="M110" s="27" t="s">
        <v>56</v>
      </c>
      <c r="N110" s="27">
        <v>0</v>
      </c>
      <c r="O110" s="27">
        <v>0</v>
      </c>
      <c r="P110" s="27" t="s">
        <v>57</v>
      </c>
      <c r="Q110" s="27">
        <v>150</v>
      </c>
      <c r="R110" s="27" t="s">
        <v>127</v>
      </c>
      <c r="S110" s="27">
        <v>26</v>
      </c>
      <c r="T110" s="27" t="s">
        <v>58</v>
      </c>
      <c r="U110" s="27" t="s">
        <v>59</v>
      </c>
      <c r="V110" s="30">
        <v>46150.577905092592</v>
      </c>
      <c r="W110" s="30">
        <v>46150.577905092592</v>
      </c>
      <c r="X110" s="30">
        <v>46150.583761574075</v>
      </c>
      <c r="Y110" s="27" t="s">
        <v>117</v>
      </c>
      <c r="Z110" s="27" t="s">
        <v>1082</v>
      </c>
      <c r="AA110" s="27" t="s">
        <v>53</v>
      </c>
      <c r="AB110" s="27" t="s">
        <v>60</v>
      </c>
      <c r="AC110" s="27" t="s">
        <v>1149</v>
      </c>
      <c r="AD110" s="27" t="s">
        <v>118</v>
      </c>
      <c r="AE110" s="27" t="s">
        <v>61</v>
      </c>
      <c r="AF110" s="27" t="s">
        <v>62</v>
      </c>
      <c r="AG110" s="27" t="s">
        <v>63</v>
      </c>
      <c r="AH110" s="27">
        <v>0</v>
      </c>
      <c r="AI110" s="27">
        <v>0</v>
      </c>
      <c r="AJ110" s="27">
        <v>0</v>
      </c>
      <c r="AK110" s="27">
        <v>0</v>
      </c>
      <c r="AL110" s="27" t="s">
        <v>64</v>
      </c>
      <c r="AM110" s="27">
        <v>3</v>
      </c>
      <c r="AN110" s="27">
        <v>507</v>
      </c>
      <c r="AO110" s="27" t="s">
        <v>65</v>
      </c>
      <c r="AP110" s="27">
        <v>37</v>
      </c>
      <c r="AQ110" s="27">
        <v>1</v>
      </c>
      <c r="AR110" s="27">
        <v>2491867</v>
      </c>
      <c r="AS110" s="27" t="s">
        <v>118</v>
      </c>
      <c r="AT110" s="27" t="s">
        <v>1150</v>
      </c>
      <c r="AU110" s="31" t="s">
        <v>118</v>
      </c>
    </row>
    <row r="111" spans="1:47" x14ac:dyDescent="0.25">
      <c r="A111" s="7">
        <f>+CONCATENATE(DAY(V111),"/",MONTH(V111),"/",YEAR(V111),"")*1</f>
        <v>46150</v>
      </c>
      <c r="B111" s="23">
        <f>+Z111*1</f>
        <v>2241416864</v>
      </c>
      <c r="C111" s="21" t="str">
        <f>+AA111</f>
        <v>ENTRANTE</v>
      </c>
      <c r="D111" s="3" t="str">
        <f>VLOOKUP(Q111,Code!E:F,2,0)</f>
        <v>Admisiones</v>
      </c>
      <c r="E111" s="3" t="s">
        <v>55</v>
      </c>
      <c r="F111" s="3">
        <f>+AP111</f>
        <v>37</v>
      </c>
      <c r="G111" s="3">
        <f>+S111</f>
        <v>26</v>
      </c>
      <c r="H111" s="22">
        <f>+HOUR(V111)</f>
        <v>13</v>
      </c>
      <c r="I111" s="22">
        <f>IFERROR(VLOOKUP(B111,MATRICULAS!A:B,2,0),0)*1</f>
        <v>1</v>
      </c>
      <c r="J111" s="27">
        <v>20260508</v>
      </c>
      <c r="K111" s="27">
        <v>149128330</v>
      </c>
      <c r="L111" s="27" t="s">
        <v>134</v>
      </c>
      <c r="M111" s="27" t="s">
        <v>56</v>
      </c>
      <c r="N111" s="27">
        <v>0</v>
      </c>
      <c r="O111" s="27">
        <v>0</v>
      </c>
      <c r="P111" s="27" t="s">
        <v>57</v>
      </c>
      <c r="Q111" s="27">
        <v>150</v>
      </c>
      <c r="R111" s="27" t="s">
        <v>145</v>
      </c>
      <c r="S111" s="27">
        <v>26</v>
      </c>
      <c r="T111" s="27" t="s">
        <v>58</v>
      </c>
      <c r="U111" s="27" t="s">
        <v>59</v>
      </c>
      <c r="V111" s="30">
        <v>46150.567719907405</v>
      </c>
      <c r="W111" s="30">
        <v>46150.567719907405</v>
      </c>
      <c r="X111" s="30">
        <v>46150.572962962964</v>
      </c>
      <c r="Y111" s="27" t="s">
        <v>117</v>
      </c>
      <c r="Z111" s="27" t="s">
        <v>1154</v>
      </c>
      <c r="AA111" s="27" t="s">
        <v>53</v>
      </c>
      <c r="AB111" s="27" t="s">
        <v>60</v>
      </c>
      <c r="AC111" s="27" t="s">
        <v>1155</v>
      </c>
      <c r="AD111" s="27" t="s">
        <v>118</v>
      </c>
      <c r="AE111" s="27" t="s">
        <v>61</v>
      </c>
      <c r="AF111" s="27" t="s">
        <v>62</v>
      </c>
      <c r="AG111" s="27" t="s">
        <v>63</v>
      </c>
      <c r="AH111" s="27">
        <v>0</v>
      </c>
      <c r="AI111" s="27">
        <v>0</v>
      </c>
      <c r="AJ111" s="27">
        <v>0</v>
      </c>
      <c r="AK111" s="27">
        <v>0</v>
      </c>
      <c r="AL111" s="27" t="s">
        <v>64</v>
      </c>
      <c r="AM111" s="27">
        <v>3</v>
      </c>
      <c r="AN111" s="27">
        <v>453</v>
      </c>
      <c r="AO111" s="27" t="s">
        <v>65</v>
      </c>
      <c r="AP111" s="27">
        <v>37</v>
      </c>
      <c r="AQ111" s="27">
        <v>201</v>
      </c>
      <c r="AR111" s="27">
        <v>2491524</v>
      </c>
      <c r="AS111" s="27" t="s">
        <v>118</v>
      </c>
      <c r="AT111" s="27" t="s">
        <v>1156</v>
      </c>
      <c r="AU111" s="31" t="s">
        <v>118</v>
      </c>
    </row>
    <row r="112" spans="1:47" x14ac:dyDescent="0.25">
      <c r="A112" s="7">
        <f>+CONCATENATE(DAY(V112),"/",MONTH(V112),"/",YEAR(V112),"")*1</f>
        <v>46150</v>
      </c>
      <c r="B112" s="23">
        <f>+Z112*1</f>
        <v>3884727881</v>
      </c>
      <c r="C112" s="21" t="str">
        <f>+AA112</f>
        <v>ENTRANTE</v>
      </c>
      <c r="D112" s="3" t="str">
        <f>VLOOKUP(Q112,Code!E:F,2,0)</f>
        <v>Admisiones</v>
      </c>
      <c r="E112" s="3" t="s">
        <v>55</v>
      </c>
      <c r="F112" s="3">
        <f>+AP112</f>
        <v>37</v>
      </c>
      <c r="G112" s="3">
        <f>+S112</f>
        <v>26</v>
      </c>
      <c r="H112" s="22">
        <f>+HOUR(V112)</f>
        <v>13</v>
      </c>
      <c r="I112" s="22">
        <f>IFERROR(VLOOKUP(B112,MATRICULAS!A:B,2,0),0)*1</f>
        <v>0</v>
      </c>
      <c r="J112" s="27">
        <v>20260508</v>
      </c>
      <c r="K112" s="27">
        <v>149127416</v>
      </c>
      <c r="L112" s="27" t="s">
        <v>134</v>
      </c>
      <c r="M112" s="27" t="s">
        <v>56</v>
      </c>
      <c r="N112" s="27">
        <v>0</v>
      </c>
      <c r="O112" s="27">
        <v>0</v>
      </c>
      <c r="P112" s="27" t="s">
        <v>57</v>
      </c>
      <c r="Q112" s="27">
        <v>150</v>
      </c>
      <c r="R112" s="27" t="s">
        <v>145</v>
      </c>
      <c r="S112" s="27">
        <v>26</v>
      </c>
      <c r="T112" s="27" t="s">
        <v>58</v>
      </c>
      <c r="U112" s="27" t="s">
        <v>59</v>
      </c>
      <c r="V112" s="30">
        <v>46150.548171296294</v>
      </c>
      <c r="W112" s="30">
        <v>46150.548171296294</v>
      </c>
      <c r="X112" s="30">
        <v>46150.563587962963</v>
      </c>
      <c r="Y112" s="27" t="s">
        <v>117</v>
      </c>
      <c r="Z112" s="27" t="s">
        <v>1158</v>
      </c>
      <c r="AA112" s="27" t="s">
        <v>53</v>
      </c>
      <c r="AB112" s="27" t="s">
        <v>60</v>
      </c>
      <c r="AC112" s="27" t="s">
        <v>1159</v>
      </c>
      <c r="AD112" s="27" t="s">
        <v>118</v>
      </c>
      <c r="AE112" s="27" t="s">
        <v>61</v>
      </c>
      <c r="AF112" s="27" t="s">
        <v>62</v>
      </c>
      <c r="AG112" s="27" t="s">
        <v>63</v>
      </c>
      <c r="AH112" s="27">
        <v>0</v>
      </c>
      <c r="AI112" s="27">
        <v>0</v>
      </c>
      <c r="AJ112" s="27">
        <v>0</v>
      </c>
      <c r="AK112" s="27">
        <v>0</v>
      </c>
      <c r="AL112" s="27" t="s">
        <v>64</v>
      </c>
      <c r="AM112" s="27">
        <v>3</v>
      </c>
      <c r="AN112" s="27">
        <v>1332</v>
      </c>
      <c r="AO112" s="27" t="s">
        <v>65</v>
      </c>
      <c r="AP112" s="27">
        <v>37</v>
      </c>
      <c r="AQ112" s="27">
        <v>196</v>
      </c>
      <c r="AR112" s="27">
        <v>2405107</v>
      </c>
      <c r="AS112" s="27" t="s">
        <v>118</v>
      </c>
      <c r="AT112" s="27" t="s">
        <v>1160</v>
      </c>
      <c r="AU112" s="31" t="s">
        <v>118</v>
      </c>
    </row>
    <row r="113" spans="1:47" x14ac:dyDescent="0.25">
      <c r="A113" s="7">
        <f>+CONCATENATE(DAY(V113),"/",MONTH(V113),"/",YEAR(V113),"")*1</f>
        <v>46150</v>
      </c>
      <c r="B113" s="23">
        <f>+Z113*1</f>
        <v>1130037028</v>
      </c>
      <c r="C113" s="21" t="str">
        <f>+AA113</f>
        <v>ENTRANTE</v>
      </c>
      <c r="D113" s="3" t="str">
        <f>VLOOKUP(Q113,Code!E:F,2,0)</f>
        <v>Admisiones</v>
      </c>
      <c r="E113" s="3" t="s">
        <v>55</v>
      </c>
      <c r="F113" s="3">
        <f>+AP113</f>
        <v>37</v>
      </c>
      <c r="G113" s="3">
        <f>+S113</f>
        <v>26</v>
      </c>
      <c r="H113" s="22">
        <f>+HOUR(V113)</f>
        <v>12</v>
      </c>
      <c r="I113" s="22">
        <f>IFERROR(VLOOKUP(B113,MATRICULAS!A:B,2,0),0)*1</f>
        <v>0</v>
      </c>
      <c r="J113" s="26">
        <v>20260508</v>
      </c>
      <c r="K113" s="26">
        <v>149125470</v>
      </c>
      <c r="L113" s="26" t="s">
        <v>134</v>
      </c>
      <c r="M113" s="26" t="s">
        <v>56</v>
      </c>
      <c r="N113" s="26">
        <v>0</v>
      </c>
      <c r="O113" s="26">
        <v>0</v>
      </c>
      <c r="P113" s="26" t="s">
        <v>57</v>
      </c>
      <c r="Q113" s="26">
        <v>150</v>
      </c>
      <c r="R113" s="26" t="s">
        <v>128</v>
      </c>
      <c r="S113" s="26">
        <v>26</v>
      </c>
      <c r="T113" s="26" t="s">
        <v>58</v>
      </c>
      <c r="U113" s="26" t="s">
        <v>59</v>
      </c>
      <c r="V113" s="28">
        <v>46150.511423611111</v>
      </c>
      <c r="W113" s="28">
        <v>46150.511423611111</v>
      </c>
      <c r="X113" s="28">
        <v>46150.514131944445</v>
      </c>
      <c r="Y113" s="26" t="s">
        <v>117</v>
      </c>
      <c r="Z113" s="26" t="s">
        <v>1161</v>
      </c>
      <c r="AA113" s="26" t="s">
        <v>53</v>
      </c>
      <c r="AB113" s="26" t="s">
        <v>60</v>
      </c>
      <c r="AC113" s="26" t="s">
        <v>1162</v>
      </c>
      <c r="AD113" s="26" t="s">
        <v>118</v>
      </c>
      <c r="AE113" s="26" t="s">
        <v>61</v>
      </c>
      <c r="AF113" s="26" t="s">
        <v>62</v>
      </c>
      <c r="AG113" s="26" t="s">
        <v>63</v>
      </c>
      <c r="AH113" s="26">
        <v>0</v>
      </c>
      <c r="AI113" s="26">
        <v>0</v>
      </c>
      <c r="AJ113" s="26">
        <v>0</v>
      </c>
      <c r="AK113" s="26">
        <v>0</v>
      </c>
      <c r="AL113" s="26" t="s">
        <v>64</v>
      </c>
      <c r="AM113" s="26">
        <v>3</v>
      </c>
      <c r="AN113" s="26">
        <v>234</v>
      </c>
      <c r="AO113" s="26" t="s">
        <v>65</v>
      </c>
      <c r="AP113" s="26">
        <v>37</v>
      </c>
      <c r="AQ113" s="26">
        <v>202</v>
      </c>
      <c r="AR113" s="26">
        <v>2491321</v>
      </c>
      <c r="AS113" s="26" t="s">
        <v>118</v>
      </c>
      <c r="AT113" s="26" t="s">
        <v>1163</v>
      </c>
      <c r="AU113" s="29" t="s">
        <v>118</v>
      </c>
    </row>
    <row r="114" spans="1:47" x14ac:dyDescent="0.25">
      <c r="A114" s="7">
        <f>+CONCATENATE(DAY(V114),"/",MONTH(V114),"/",YEAR(V114),"")*1</f>
        <v>46150</v>
      </c>
      <c r="B114" s="23">
        <f>+Z114*1</f>
        <v>1165827952</v>
      </c>
      <c r="C114" s="21" t="str">
        <f>+AA114</f>
        <v>ENTRANTE</v>
      </c>
      <c r="D114" s="3" t="str">
        <f>VLOOKUP(Q114,Code!E:F,2,0)</f>
        <v>Admisiones</v>
      </c>
      <c r="E114" s="3" t="s">
        <v>55</v>
      </c>
      <c r="F114" s="3">
        <f>+AP114</f>
        <v>37</v>
      </c>
      <c r="G114" s="3">
        <f>+S114</f>
        <v>26</v>
      </c>
      <c r="H114" s="22">
        <f>+HOUR(V114)</f>
        <v>12</v>
      </c>
      <c r="I114" s="22">
        <f>IFERROR(VLOOKUP(B114,MATRICULAS!A:B,2,0),0)*1</f>
        <v>0</v>
      </c>
      <c r="J114" s="27">
        <v>20260508</v>
      </c>
      <c r="K114" s="27">
        <v>149125229</v>
      </c>
      <c r="L114" s="27" t="s">
        <v>134</v>
      </c>
      <c r="M114" s="27" t="s">
        <v>56</v>
      </c>
      <c r="N114" s="27">
        <v>0</v>
      </c>
      <c r="O114" s="27">
        <v>0</v>
      </c>
      <c r="P114" s="27" t="s">
        <v>57</v>
      </c>
      <c r="Q114" s="27">
        <v>150</v>
      </c>
      <c r="R114" s="27" t="s">
        <v>127</v>
      </c>
      <c r="S114" s="27">
        <v>26</v>
      </c>
      <c r="T114" s="27" t="s">
        <v>58</v>
      </c>
      <c r="U114" s="27" t="s">
        <v>59</v>
      </c>
      <c r="V114" s="30">
        <v>46150.506874999999</v>
      </c>
      <c r="W114" s="30">
        <v>46150.506874999999</v>
      </c>
      <c r="X114" s="30">
        <v>46150.513229166667</v>
      </c>
      <c r="Y114" s="27" t="s">
        <v>117</v>
      </c>
      <c r="Z114" s="27" t="s">
        <v>1164</v>
      </c>
      <c r="AA114" s="27" t="s">
        <v>53</v>
      </c>
      <c r="AB114" s="27" t="s">
        <v>60</v>
      </c>
      <c r="AC114" s="27" t="s">
        <v>1165</v>
      </c>
      <c r="AD114" s="27" t="s">
        <v>118</v>
      </c>
      <c r="AE114" s="27" t="s">
        <v>61</v>
      </c>
      <c r="AF114" s="27" t="s">
        <v>62</v>
      </c>
      <c r="AG114" s="27" t="s">
        <v>63</v>
      </c>
      <c r="AH114" s="27">
        <v>0</v>
      </c>
      <c r="AI114" s="27">
        <v>0</v>
      </c>
      <c r="AJ114" s="27">
        <v>0</v>
      </c>
      <c r="AK114" s="27">
        <v>0</v>
      </c>
      <c r="AL114" s="27" t="s">
        <v>64</v>
      </c>
      <c r="AM114" s="27">
        <v>3</v>
      </c>
      <c r="AN114" s="27">
        <v>550</v>
      </c>
      <c r="AO114" s="27" t="s">
        <v>65</v>
      </c>
      <c r="AP114" s="27">
        <v>37</v>
      </c>
      <c r="AQ114" s="27">
        <v>1</v>
      </c>
      <c r="AR114" s="27">
        <v>2491787</v>
      </c>
      <c r="AS114" s="27" t="s">
        <v>118</v>
      </c>
      <c r="AT114" s="27" t="s">
        <v>1166</v>
      </c>
      <c r="AU114" s="31" t="s">
        <v>118</v>
      </c>
    </row>
    <row r="115" spans="1:47" x14ac:dyDescent="0.25">
      <c r="A115" s="7">
        <f>+CONCATENATE(DAY(V115),"/",MONTH(V115),"/",YEAR(V115),"")*1</f>
        <v>46150</v>
      </c>
      <c r="B115" s="23">
        <f>+Z115*1</f>
        <v>2214348792</v>
      </c>
      <c r="C115" s="21" t="str">
        <f>+AA115</f>
        <v>ENTRANTE</v>
      </c>
      <c r="D115" s="3" t="str">
        <f>VLOOKUP(Q115,Code!E:F,2,0)</f>
        <v>Admisiones</v>
      </c>
      <c r="E115" s="3" t="s">
        <v>55</v>
      </c>
      <c r="F115" s="3">
        <f>+AP115</f>
        <v>37</v>
      </c>
      <c r="G115" s="3">
        <f>+S115</f>
        <v>26</v>
      </c>
      <c r="H115" s="22">
        <f>+HOUR(V115)</f>
        <v>12</v>
      </c>
      <c r="I115" s="22">
        <f>IFERROR(VLOOKUP(B115,MATRICULAS!A:B,2,0),0)*1</f>
        <v>0</v>
      </c>
      <c r="J115" s="26">
        <v>20260508</v>
      </c>
      <c r="K115" s="26">
        <v>149125051</v>
      </c>
      <c r="L115" s="26" t="s">
        <v>134</v>
      </c>
      <c r="M115" s="26" t="s">
        <v>56</v>
      </c>
      <c r="N115" s="26">
        <v>0</v>
      </c>
      <c r="O115" s="26">
        <v>0</v>
      </c>
      <c r="P115" s="26" t="s">
        <v>57</v>
      </c>
      <c r="Q115" s="26">
        <v>150</v>
      </c>
      <c r="R115" s="26" t="s">
        <v>127</v>
      </c>
      <c r="S115" s="26">
        <v>26</v>
      </c>
      <c r="T115" s="26" t="s">
        <v>58</v>
      </c>
      <c r="U115" s="26" t="s">
        <v>59</v>
      </c>
      <c r="V115" s="28">
        <v>46150.504282407404</v>
      </c>
      <c r="W115" s="28">
        <v>46150.504282407404</v>
      </c>
      <c r="X115" s="28">
        <v>46150.505196759259</v>
      </c>
      <c r="Y115" s="26" t="s">
        <v>117</v>
      </c>
      <c r="Z115" s="26" t="s">
        <v>1167</v>
      </c>
      <c r="AA115" s="26" t="s">
        <v>53</v>
      </c>
      <c r="AB115" s="26" t="s">
        <v>60</v>
      </c>
      <c r="AC115" s="26" t="s">
        <v>1168</v>
      </c>
      <c r="AD115" s="26" t="s">
        <v>118</v>
      </c>
      <c r="AE115" s="26" t="s">
        <v>61</v>
      </c>
      <c r="AF115" s="26" t="s">
        <v>62</v>
      </c>
      <c r="AG115" s="26" t="s">
        <v>63</v>
      </c>
      <c r="AH115" s="26">
        <v>0</v>
      </c>
      <c r="AI115" s="26">
        <v>0</v>
      </c>
      <c r="AJ115" s="26">
        <v>0</v>
      </c>
      <c r="AK115" s="26">
        <v>0</v>
      </c>
      <c r="AL115" s="26" t="s">
        <v>64</v>
      </c>
      <c r="AM115" s="26">
        <v>3</v>
      </c>
      <c r="AN115" s="26">
        <v>79</v>
      </c>
      <c r="AO115" s="26" t="s">
        <v>65</v>
      </c>
      <c r="AP115" s="26">
        <v>37</v>
      </c>
      <c r="AQ115" s="26">
        <v>201</v>
      </c>
      <c r="AR115" s="26">
        <v>2490986</v>
      </c>
      <c r="AS115" s="26" t="s">
        <v>118</v>
      </c>
      <c r="AT115" s="26" t="s">
        <v>1169</v>
      </c>
      <c r="AU115" s="29" t="s">
        <v>118</v>
      </c>
    </row>
    <row r="116" spans="1:47" x14ac:dyDescent="0.25">
      <c r="A116" s="7">
        <f>+CONCATENATE(DAY(V116),"/",MONTH(V116),"/",YEAR(V116),"")*1</f>
        <v>46150</v>
      </c>
      <c r="B116" s="23">
        <f>+Z116*1</f>
        <v>1161681790</v>
      </c>
      <c r="C116" s="21" t="str">
        <f>+AA116</f>
        <v>ENTRANTE</v>
      </c>
      <c r="D116" s="3" t="str">
        <f>VLOOKUP(Q116,Code!E:F,2,0)</f>
        <v>Admisiones</v>
      </c>
      <c r="E116" s="3" t="s">
        <v>55</v>
      </c>
      <c r="F116" s="3">
        <f>+AP116</f>
        <v>37</v>
      </c>
      <c r="G116" s="3">
        <f>+S116</f>
        <v>26</v>
      </c>
      <c r="H116" s="22">
        <f>+HOUR(V116)</f>
        <v>11</v>
      </c>
      <c r="I116" s="22">
        <f>IFERROR(VLOOKUP(B116,MATRICULAS!A:B,2,0),0)*1</f>
        <v>0</v>
      </c>
      <c r="J116" s="27">
        <v>20260508</v>
      </c>
      <c r="K116" s="27">
        <v>149124713</v>
      </c>
      <c r="L116" s="27" t="s">
        <v>134</v>
      </c>
      <c r="M116" s="27" t="s">
        <v>56</v>
      </c>
      <c r="N116" s="27">
        <v>0</v>
      </c>
      <c r="O116" s="27">
        <v>0</v>
      </c>
      <c r="P116" s="27" t="s">
        <v>57</v>
      </c>
      <c r="Q116" s="27">
        <v>150</v>
      </c>
      <c r="R116" s="27" t="s">
        <v>145</v>
      </c>
      <c r="S116" s="27">
        <v>26</v>
      </c>
      <c r="T116" s="27" t="s">
        <v>58</v>
      </c>
      <c r="U116" s="27" t="s">
        <v>59</v>
      </c>
      <c r="V116" s="30">
        <v>46150.4997337963</v>
      </c>
      <c r="W116" s="30">
        <v>46150.4997337963</v>
      </c>
      <c r="X116" s="30">
        <v>46150.505694444444</v>
      </c>
      <c r="Y116" s="27" t="s">
        <v>117</v>
      </c>
      <c r="Z116" s="27" t="s">
        <v>1170</v>
      </c>
      <c r="AA116" s="27" t="s">
        <v>53</v>
      </c>
      <c r="AB116" s="27" t="s">
        <v>60</v>
      </c>
      <c r="AC116" s="27" t="s">
        <v>1171</v>
      </c>
      <c r="AD116" s="27" t="s">
        <v>118</v>
      </c>
      <c r="AE116" s="27" t="s">
        <v>61</v>
      </c>
      <c r="AF116" s="27" t="s">
        <v>62</v>
      </c>
      <c r="AG116" s="27" t="s">
        <v>63</v>
      </c>
      <c r="AH116" s="27">
        <v>0</v>
      </c>
      <c r="AI116" s="27">
        <v>0</v>
      </c>
      <c r="AJ116" s="27">
        <v>0</v>
      </c>
      <c r="AK116" s="27">
        <v>0</v>
      </c>
      <c r="AL116" s="27" t="s">
        <v>64</v>
      </c>
      <c r="AM116" s="27">
        <v>3</v>
      </c>
      <c r="AN116" s="27">
        <v>515</v>
      </c>
      <c r="AO116" s="27" t="s">
        <v>65</v>
      </c>
      <c r="AP116" s="27">
        <v>37</v>
      </c>
      <c r="AQ116" s="27">
        <v>191</v>
      </c>
      <c r="AR116" s="27">
        <v>2324730</v>
      </c>
      <c r="AS116" s="27" t="s">
        <v>118</v>
      </c>
      <c r="AT116" s="27" t="s">
        <v>1172</v>
      </c>
      <c r="AU116" s="31" t="s">
        <v>118</v>
      </c>
    </row>
    <row r="117" spans="1:47" x14ac:dyDescent="0.25">
      <c r="A117" s="7">
        <f>+CONCATENATE(DAY(V117),"/",MONTH(V117),"/",YEAR(V117),"")*1</f>
        <v>46150</v>
      </c>
      <c r="B117" s="23">
        <f>+Z117*1</f>
        <v>1169394280</v>
      </c>
      <c r="C117" s="21" t="str">
        <f>+AA117</f>
        <v>ENTRANTE</v>
      </c>
      <c r="D117" s="3" t="str">
        <f>VLOOKUP(Q117,Code!E:F,2,0)</f>
        <v>Admisiones</v>
      </c>
      <c r="E117" s="3" t="s">
        <v>55</v>
      </c>
      <c r="F117" s="3">
        <f>+AP117</f>
        <v>37</v>
      </c>
      <c r="G117" s="3">
        <f>+S117</f>
        <v>5</v>
      </c>
      <c r="H117" s="22">
        <f>+HOUR(V117)</f>
        <v>10</v>
      </c>
      <c r="I117" s="22">
        <f>IFERROR(VLOOKUP(B117,MATRICULAS!A:B,2,0),0)*1</f>
        <v>0</v>
      </c>
      <c r="J117" s="26">
        <v>20260508</v>
      </c>
      <c r="K117" s="26">
        <v>149122342</v>
      </c>
      <c r="L117" s="26" t="s">
        <v>134</v>
      </c>
      <c r="M117" s="26" t="s">
        <v>56</v>
      </c>
      <c r="N117" s="26">
        <v>0</v>
      </c>
      <c r="O117" s="26">
        <v>0</v>
      </c>
      <c r="P117" s="26" t="s">
        <v>57</v>
      </c>
      <c r="Q117" s="26">
        <v>150</v>
      </c>
      <c r="R117" s="26" t="s">
        <v>145</v>
      </c>
      <c r="S117" s="26">
        <v>5</v>
      </c>
      <c r="T117" s="26" t="s">
        <v>58</v>
      </c>
      <c r="U117" s="26" t="s">
        <v>59</v>
      </c>
      <c r="V117" s="28">
        <v>46150.456261574072</v>
      </c>
      <c r="W117" s="28">
        <v>46150.456261574072</v>
      </c>
      <c r="X117" s="28">
        <v>46150.457858796297</v>
      </c>
      <c r="Y117" s="26" t="s">
        <v>117</v>
      </c>
      <c r="Z117" s="26" t="s">
        <v>183</v>
      </c>
      <c r="AA117" s="26" t="s">
        <v>53</v>
      </c>
      <c r="AB117" s="26" t="s">
        <v>60</v>
      </c>
      <c r="AC117" s="26" t="s">
        <v>1173</v>
      </c>
      <c r="AD117" s="26" t="s">
        <v>118</v>
      </c>
      <c r="AE117" s="26" t="s">
        <v>61</v>
      </c>
      <c r="AF117" s="26" t="s">
        <v>62</v>
      </c>
      <c r="AG117" s="26" t="s">
        <v>63</v>
      </c>
      <c r="AH117" s="26">
        <v>0</v>
      </c>
      <c r="AI117" s="26">
        <v>0</v>
      </c>
      <c r="AJ117" s="26">
        <v>0</v>
      </c>
      <c r="AK117" s="26">
        <v>0</v>
      </c>
      <c r="AL117" s="26" t="s">
        <v>64</v>
      </c>
      <c r="AM117" s="26">
        <v>3</v>
      </c>
      <c r="AN117" s="26">
        <v>139</v>
      </c>
      <c r="AO117" s="26" t="s">
        <v>65</v>
      </c>
      <c r="AP117" s="26">
        <v>37</v>
      </c>
      <c r="AQ117" s="26">
        <v>175</v>
      </c>
      <c r="AR117" s="26">
        <v>2465034</v>
      </c>
      <c r="AS117" s="26" t="s">
        <v>118</v>
      </c>
      <c r="AT117" s="26" t="s">
        <v>1174</v>
      </c>
      <c r="AU117" s="29" t="s">
        <v>118</v>
      </c>
    </row>
    <row r="118" spans="1:47" x14ac:dyDescent="0.25">
      <c r="A118" s="7">
        <f>+CONCATENATE(DAY(V118),"/",MONTH(V118),"/",YEAR(V118),"")*1</f>
        <v>46150</v>
      </c>
      <c r="B118" s="23">
        <f>+Z118*1</f>
        <v>1130795152</v>
      </c>
      <c r="C118" s="21" t="str">
        <f>+AA118</f>
        <v>ENTRANTE</v>
      </c>
      <c r="D118" s="3" t="str">
        <f>VLOOKUP(Q118,Code!E:F,2,0)</f>
        <v>Admisiones</v>
      </c>
      <c r="E118" s="3" t="s">
        <v>55</v>
      </c>
      <c r="F118" s="3">
        <f>+AP118</f>
        <v>37</v>
      </c>
      <c r="G118" s="3">
        <f>+S118</f>
        <v>26</v>
      </c>
      <c r="H118" s="22">
        <f>+HOUR(V118)</f>
        <v>10</v>
      </c>
      <c r="I118" s="22">
        <f>IFERROR(VLOOKUP(B118,MATRICULAS!A:B,2,0),0)*1</f>
        <v>0</v>
      </c>
      <c r="J118" s="27">
        <v>20260508</v>
      </c>
      <c r="K118" s="27">
        <v>149121619</v>
      </c>
      <c r="L118" s="27" t="s">
        <v>134</v>
      </c>
      <c r="M118" s="27" t="s">
        <v>56</v>
      </c>
      <c r="N118" s="27">
        <v>0</v>
      </c>
      <c r="O118" s="27">
        <v>0</v>
      </c>
      <c r="P118" s="27" t="s">
        <v>57</v>
      </c>
      <c r="Q118" s="27">
        <v>150</v>
      </c>
      <c r="R118" s="27" t="s">
        <v>145</v>
      </c>
      <c r="S118" s="27">
        <v>26</v>
      </c>
      <c r="T118" s="27" t="s">
        <v>58</v>
      </c>
      <c r="U118" s="27" t="s">
        <v>59</v>
      </c>
      <c r="V118" s="30">
        <v>46150.44866898148</v>
      </c>
      <c r="W118" s="30">
        <v>46150.44866898148</v>
      </c>
      <c r="X118" s="30">
        <v>46150.449004629627</v>
      </c>
      <c r="Y118" s="27" t="s">
        <v>117</v>
      </c>
      <c r="Z118" s="27" t="s">
        <v>189</v>
      </c>
      <c r="AA118" s="27" t="s">
        <v>53</v>
      </c>
      <c r="AB118" s="27" t="s">
        <v>60</v>
      </c>
      <c r="AC118" s="27" t="s">
        <v>1175</v>
      </c>
      <c r="AD118" s="27" t="s">
        <v>118</v>
      </c>
      <c r="AE118" s="27" t="s">
        <v>61</v>
      </c>
      <c r="AF118" s="27" t="s">
        <v>62</v>
      </c>
      <c r="AG118" s="27" t="s">
        <v>63</v>
      </c>
      <c r="AH118" s="27">
        <v>0</v>
      </c>
      <c r="AI118" s="27">
        <v>0</v>
      </c>
      <c r="AJ118" s="27">
        <v>0</v>
      </c>
      <c r="AK118" s="27">
        <v>0</v>
      </c>
      <c r="AL118" s="27" t="s">
        <v>64</v>
      </c>
      <c r="AM118" s="27">
        <v>3</v>
      </c>
      <c r="AN118" s="27">
        <v>29</v>
      </c>
      <c r="AO118" s="27" t="s">
        <v>65</v>
      </c>
      <c r="AP118" s="27">
        <v>37</v>
      </c>
      <c r="AQ118" s="27">
        <v>1</v>
      </c>
      <c r="AR118" s="27">
        <v>2463927</v>
      </c>
      <c r="AS118" s="27" t="s">
        <v>190</v>
      </c>
      <c r="AT118" s="27" t="s">
        <v>1176</v>
      </c>
      <c r="AU118" s="31" t="s">
        <v>118</v>
      </c>
    </row>
    <row r="119" spans="1:47" x14ac:dyDescent="0.25">
      <c r="A119" s="7">
        <f>+CONCATENATE(DAY(V119),"/",MONTH(V119),"/",YEAR(V119),"")*1</f>
        <v>46150</v>
      </c>
      <c r="B119" s="23">
        <f>+Z119*1</f>
        <v>1159796411</v>
      </c>
      <c r="C119" s="21" t="str">
        <f>+AA119</f>
        <v>ENTRANTE</v>
      </c>
      <c r="D119" s="3" t="str">
        <f>VLOOKUP(Q119,Code!E:F,2,0)</f>
        <v>Admisiones</v>
      </c>
      <c r="E119" s="3" t="s">
        <v>55</v>
      </c>
      <c r="F119" s="3">
        <f>+AP119</f>
        <v>37</v>
      </c>
      <c r="G119" s="3">
        <f>+S119</f>
        <v>26</v>
      </c>
      <c r="H119" s="22">
        <f>+HOUR(V119)</f>
        <v>10</v>
      </c>
      <c r="I119" s="22">
        <f>IFERROR(VLOOKUP(B119,MATRICULAS!A:B,2,0),0)*1</f>
        <v>0</v>
      </c>
      <c r="J119" s="27">
        <v>20260508</v>
      </c>
      <c r="K119" s="27">
        <v>149120491</v>
      </c>
      <c r="L119" s="27" t="s">
        <v>134</v>
      </c>
      <c r="M119" s="27" t="s">
        <v>56</v>
      </c>
      <c r="N119" s="27">
        <v>0</v>
      </c>
      <c r="O119" s="27">
        <v>0</v>
      </c>
      <c r="P119" s="27" t="s">
        <v>57</v>
      </c>
      <c r="Q119" s="27">
        <v>150</v>
      </c>
      <c r="R119" s="27" t="s">
        <v>128</v>
      </c>
      <c r="S119" s="27">
        <v>26</v>
      </c>
      <c r="T119" s="27" t="s">
        <v>58</v>
      </c>
      <c r="U119" s="27" t="s">
        <v>59</v>
      </c>
      <c r="V119" s="30">
        <v>46150.431817129633</v>
      </c>
      <c r="W119" s="30">
        <v>46150.431828703702</v>
      </c>
      <c r="X119" s="30">
        <v>46150.440439814818</v>
      </c>
      <c r="Y119" s="27" t="s">
        <v>117</v>
      </c>
      <c r="Z119" s="27" t="s">
        <v>1178</v>
      </c>
      <c r="AA119" s="27" t="s">
        <v>53</v>
      </c>
      <c r="AB119" s="27" t="s">
        <v>60</v>
      </c>
      <c r="AC119" s="27" t="s">
        <v>1179</v>
      </c>
      <c r="AD119" s="27" t="s">
        <v>118</v>
      </c>
      <c r="AE119" s="27" t="s">
        <v>61</v>
      </c>
      <c r="AF119" s="27" t="s">
        <v>62</v>
      </c>
      <c r="AG119" s="27" t="s">
        <v>63</v>
      </c>
      <c r="AH119" s="27">
        <v>0</v>
      </c>
      <c r="AI119" s="27">
        <v>0</v>
      </c>
      <c r="AJ119" s="27">
        <v>0</v>
      </c>
      <c r="AK119" s="27">
        <v>0</v>
      </c>
      <c r="AL119" s="27" t="s">
        <v>64</v>
      </c>
      <c r="AM119" s="27">
        <v>3</v>
      </c>
      <c r="AN119" s="27">
        <v>745</v>
      </c>
      <c r="AO119" s="27" t="s">
        <v>65</v>
      </c>
      <c r="AP119" s="27">
        <v>37</v>
      </c>
      <c r="AQ119" s="27">
        <v>164</v>
      </c>
      <c r="AR119" s="27">
        <v>2491671</v>
      </c>
      <c r="AS119" s="27" t="s">
        <v>118</v>
      </c>
      <c r="AT119" s="27" t="s">
        <v>1180</v>
      </c>
      <c r="AU119" s="31" t="s">
        <v>118</v>
      </c>
    </row>
    <row r="120" spans="1:47" x14ac:dyDescent="0.25">
      <c r="A120" s="7">
        <f>+CONCATENATE(DAY(V120),"/",MONTH(V120),"/",YEAR(V120),"")*1</f>
        <v>46150</v>
      </c>
      <c r="B120" s="23">
        <f>+Z120*1</f>
        <v>3498450528</v>
      </c>
      <c r="C120" s="21" t="str">
        <f>+AA120</f>
        <v>ENTRANTE</v>
      </c>
      <c r="D120" s="3" t="str">
        <f>VLOOKUP(Q120,Code!E:F,2,0)</f>
        <v>Admisiones</v>
      </c>
      <c r="E120" s="3" t="s">
        <v>55</v>
      </c>
      <c r="F120" s="3">
        <f>+AP120</f>
        <v>37</v>
      </c>
      <c r="G120" s="3">
        <f>+S120</f>
        <v>26</v>
      </c>
      <c r="H120" s="22">
        <f>+HOUR(V120)</f>
        <v>9</v>
      </c>
      <c r="I120" s="22">
        <f>IFERROR(VLOOKUP(B120,MATRICULAS!A:B,2,0),0)*1</f>
        <v>0</v>
      </c>
      <c r="J120" s="26">
        <v>20260508</v>
      </c>
      <c r="K120" s="26">
        <v>149119041</v>
      </c>
      <c r="L120" s="26" t="s">
        <v>134</v>
      </c>
      <c r="M120" s="26" t="s">
        <v>56</v>
      </c>
      <c r="N120" s="26">
        <v>0</v>
      </c>
      <c r="O120" s="26">
        <v>0</v>
      </c>
      <c r="P120" s="26" t="s">
        <v>57</v>
      </c>
      <c r="Q120" s="26">
        <v>150</v>
      </c>
      <c r="R120" s="26" t="s">
        <v>153</v>
      </c>
      <c r="S120" s="26">
        <v>26</v>
      </c>
      <c r="T120" s="26" t="s">
        <v>58</v>
      </c>
      <c r="U120" s="26" t="s">
        <v>59</v>
      </c>
      <c r="V120" s="28">
        <v>46150.399444444447</v>
      </c>
      <c r="W120" s="28">
        <v>46150.399444444447</v>
      </c>
      <c r="X120" s="28">
        <v>46150.407534722224</v>
      </c>
      <c r="Y120" s="26" t="s">
        <v>117</v>
      </c>
      <c r="Z120" s="26" t="s">
        <v>1181</v>
      </c>
      <c r="AA120" s="26" t="s">
        <v>53</v>
      </c>
      <c r="AB120" s="26" t="s">
        <v>60</v>
      </c>
      <c r="AC120" s="26" t="s">
        <v>1182</v>
      </c>
      <c r="AD120" s="26" t="s">
        <v>118</v>
      </c>
      <c r="AE120" s="26" t="s">
        <v>61</v>
      </c>
      <c r="AF120" s="26" t="s">
        <v>62</v>
      </c>
      <c r="AG120" s="26" t="s">
        <v>63</v>
      </c>
      <c r="AH120" s="26">
        <v>0</v>
      </c>
      <c r="AI120" s="26">
        <v>0</v>
      </c>
      <c r="AJ120" s="26">
        <v>0</v>
      </c>
      <c r="AK120" s="26">
        <v>0</v>
      </c>
      <c r="AL120" s="26" t="s">
        <v>64</v>
      </c>
      <c r="AM120" s="26">
        <v>3</v>
      </c>
      <c r="AN120" s="26">
        <v>699</v>
      </c>
      <c r="AO120" s="26" t="s">
        <v>65</v>
      </c>
      <c r="AP120" s="26">
        <v>37</v>
      </c>
      <c r="AQ120" s="26">
        <v>201</v>
      </c>
      <c r="AR120" s="26">
        <v>2491438</v>
      </c>
      <c r="AS120" s="26" t="s">
        <v>118</v>
      </c>
      <c r="AT120" s="26" t="s">
        <v>1183</v>
      </c>
      <c r="AU120" s="29" t="s">
        <v>118</v>
      </c>
    </row>
    <row r="121" spans="1:47" x14ac:dyDescent="0.25">
      <c r="A121" s="7">
        <f>+CONCATENATE(DAY(V121),"/",MONTH(V121),"/",YEAR(V121),"")*1</f>
        <v>46153</v>
      </c>
      <c r="B121" s="23">
        <f>+Z121*1</f>
        <v>2342533722</v>
      </c>
      <c r="C121" s="21" t="str">
        <f>+AA121</f>
        <v>ENTRANTE</v>
      </c>
      <c r="D121" s="3" t="str">
        <f>VLOOKUP(Q121,Code!E:F,2,0)</f>
        <v>Admisiones</v>
      </c>
      <c r="E121" s="3" t="s">
        <v>55</v>
      </c>
      <c r="F121" s="3">
        <f>+AP121</f>
        <v>37</v>
      </c>
      <c r="G121" s="3">
        <f>+S121</f>
        <v>27</v>
      </c>
      <c r="H121" s="22">
        <f>+HOUR(V121)</f>
        <v>20</v>
      </c>
      <c r="I121" s="22">
        <f>IFERROR(VLOOKUP(B121,MATRICULAS!A:B,2,0),0)*1</f>
        <v>0</v>
      </c>
      <c r="J121" s="27">
        <v>20260511</v>
      </c>
      <c r="K121" s="27">
        <v>149163677</v>
      </c>
      <c r="L121" s="27" t="s">
        <v>134</v>
      </c>
      <c r="M121" s="27" t="s">
        <v>56</v>
      </c>
      <c r="N121" s="27">
        <v>0</v>
      </c>
      <c r="O121" s="27">
        <v>0</v>
      </c>
      <c r="P121" s="27" t="s">
        <v>57</v>
      </c>
      <c r="Q121" s="27">
        <v>150</v>
      </c>
      <c r="R121" s="27" t="s">
        <v>163</v>
      </c>
      <c r="S121" s="27">
        <v>27</v>
      </c>
      <c r="T121" s="27" t="s">
        <v>58</v>
      </c>
      <c r="U121" s="27" t="s">
        <v>59</v>
      </c>
      <c r="V121" s="30">
        <v>46153.857245370367</v>
      </c>
      <c r="W121" s="30">
        <v>46153.857245370367</v>
      </c>
      <c r="X121" s="30">
        <v>46153.863576388889</v>
      </c>
      <c r="Y121" s="27" t="s">
        <v>117</v>
      </c>
      <c r="Z121" s="27" t="s">
        <v>1054</v>
      </c>
      <c r="AA121" s="27" t="s">
        <v>53</v>
      </c>
      <c r="AB121" s="27" t="s">
        <v>60</v>
      </c>
      <c r="AC121" s="27" t="s">
        <v>1055</v>
      </c>
      <c r="AD121" s="27" t="s">
        <v>118</v>
      </c>
      <c r="AE121" s="27" t="s">
        <v>61</v>
      </c>
      <c r="AF121" s="27" t="s">
        <v>62</v>
      </c>
      <c r="AG121" s="27" t="s">
        <v>63</v>
      </c>
      <c r="AH121" s="27">
        <v>0</v>
      </c>
      <c r="AI121" s="27">
        <v>0</v>
      </c>
      <c r="AJ121" s="27">
        <v>0</v>
      </c>
      <c r="AK121" s="27">
        <v>0</v>
      </c>
      <c r="AL121" s="27" t="s">
        <v>64</v>
      </c>
      <c r="AM121" s="27">
        <v>3</v>
      </c>
      <c r="AN121" s="27">
        <v>548</v>
      </c>
      <c r="AO121" s="27" t="s">
        <v>65</v>
      </c>
      <c r="AP121" s="27">
        <v>37</v>
      </c>
      <c r="AQ121" s="27">
        <v>191</v>
      </c>
      <c r="AR121" s="27">
        <v>2339079</v>
      </c>
      <c r="AS121" s="27" t="s">
        <v>118</v>
      </c>
      <c r="AT121" s="27" t="s">
        <v>1056</v>
      </c>
      <c r="AU121" s="31" t="s">
        <v>118</v>
      </c>
    </row>
    <row r="122" spans="1:47" x14ac:dyDescent="0.25">
      <c r="A122" s="7">
        <f>+CONCATENATE(DAY(V122),"/",MONTH(V122),"/",YEAR(V122),"")*1</f>
        <v>46153</v>
      </c>
      <c r="B122" s="23">
        <f>+Z122*1</f>
        <v>3446368330</v>
      </c>
      <c r="C122" s="21" t="str">
        <f>+AA122</f>
        <v>ENTRANTE</v>
      </c>
      <c r="D122" s="3" t="str">
        <f>VLOOKUP(Q122,Code!E:F,2,0)</f>
        <v>Admisiones</v>
      </c>
      <c r="E122" s="3" t="s">
        <v>55</v>
      </c>
      <c r="F122" s="3">
        <f>+AP122</f>
        <v>37</v>
      </c>
      <c r="G122" s="3">
        <f>+S122</f>
        <v>27</v>
      </c>
      <c r="H122" s="22">
        <f>+HOUR(V122)</f>
        <v>20</v>
      </c>
      <c r="I122" s="22">
        <f>IFERROR(VLOOKUP(B122,MATRICULAS!A:B,2,0),0)*1</f>
        <v>0</v>
      </c>
      <c r="J122" s="26">
        <v>20260511</v>
      </c>
      <c r="K122" s="26">
        <v>149163017</v>
      </c>
      <c r="L122" s="26" t="s">
        <v>134</v>
      </c>
      <c r="M122" s="26" t="s">
        <v>56</v>
      </c>
      <c r="N122" s="26">
        <v>0</v>
      </c>
      <c r="O122" s="26">
        <v>0</v>
      </c>
      <c r="P122" s="26" t="s">
        <v>57</v>
      </c>
      <c r="Q122" s="26">
        <v>150</v>
      </c>
      <c r="R122" s="26" t="s">
        <v>161</v>
      </c>
      <c r="S122" s="26">
        <v>27</v>
      </c>
      <c r="T122" s="26" t="s">
        <v>58</v>
      </c>
      <c r="U122" s="26" t="s">
        <v>59</v>
      </c>
      <c r="V122" s="28">
        <v>46153.834548611114</v>
      </c>
      <c r="W122" s="28">
        <v>46153.834548611114</v>
      </c>
      <c r="X122" s="28">
        <v>46153.845393518517</v>
      </c>
      <c r="Y122" s="26" t="s">
        <v>117</v>
      </c>
      <c r="Z122" s="26" t="s">
        <v>1057</v>
      </c>
      <c r="AA122" s="26" t="s">
        <v>53</v>
      </c>
      <c r="AB122" s="26" t="s">
        <v>60</v>
      </c>
      <c r="AC122" s="26" t="s">
        <v>1058</v>
      </c>
      <c r="AD122" s="26" t="s">
        <v>118</v>
      </c>
      <c r="AE122" s="26" t="s">
        <v>70</v>
      </c>
      <c r="AF122" s="26" t="s">
        <v>157</v>
      </c>
      <c r="AG122" s="26" t="s">
        <v>1059</v>
      </c>
      <c r="AH122" s="26">
        <v>0</v>
      </c>
      <c r="AI122" s="26">
        <v>0</v>
      </c>
      <c r="AJ122" s="26">
        <v>0</v>
      </c>
      <c r="AK122" s="26">
        <v>0</v>
      </c>
      <c r="AL122" s="26" t="s">
        <v>64</v>
      </c>
      <c r="AM122" s="26">
        <v>3</v>
      </c>
      <c r="AN122" s="26">
        <v>938</v>
      </c>
      <c r="AO122" s="26" t="s">
        <v>65</v>
      </c>
      <c r="AP122" s="26">
        <v>37</v>
      </c>
      <c r="AQ122" s="26">
        <v>201</v>
      </c>
      <c r="AR122" s="26">
        <v>2494367</v>
      </c>
      <c r="AS122" s="26" t="s">
        <v>118</v>
      </c>
      <c r="AT122" s="26" t="s">
        <v>1060</v>
      </c>
      <c r="AU122" s="29" t="s">
        <v>118</v>
      </c>
    </row>
    <row r="123" spans="1:47" x14ac:dyDescent="0.25">
      <c r="A123" s="7">
        <f>+CONCATENATE(DAY(V123),"/",MONTH(V123),"/",YEAR(V123),"")*1</f>
        <v>46153</v>
      </c>
      <c r="B123" s="23">
        <f>+Z123*1</f>
        <v>2804430381</v>
      </c>
      <c r="C123" s="21" t="str">
        <f>+AA123</f>
        <v>ENTRANTE</v>
      </c>
      <c r="D123" s="3" t="str">
        <f>VLOOKUP(Q123,Code!E:F,2,0)</f>
        <v>Admisiones</v>
      </c>
      <c r="E123" s="3" t="s">
        <v>55</v>
      </c>
      <c r="F123" s="3">
        <f>+AP123</f>
        <v>37</v>
      </c>
      <c r="G123" s="3">
        <f>+S123</f>
        <v>27</v>
      </c>
      <c r="H123" s="22">
        <f>+HOUR(V123)</f>
        <v>20</v>
      </c>
      <c r="I123" s="22">
        <f>IFERROR(VLOOKUP(B123,MATRICULAS!A:B,2,0),0)*1</f>
        <v>0</v>
      </c>
      <c r="J123" s="27">
        <v>20260511</v>
      </c>
      <c r="K123" s="27">
        <v>149163002</v>
      </c>
      <c r="L123" s="27" t="s">
        <v>134</v>
      </c>
      <c r="M123" s="27" t="s">
        <v>56</v>
      </c>
      <c r="N123" s="27">
        <v>0</v>
      </c>
      <c r="O123" s="27">
        <v>0</v>
      </c>
      <c r="P123" s="27" t="s">
        <v>57</v>
      </c>
      <c r="Q123" s="27">
        <v>150</v>
      </c>
      <c r="R123" s="27" t="s">
        <v>163</v>
      </c>
      <c r="S123" s="27">
        <v>27</v>
      </c>
      <c r="T123" s="27" t="s">
        <v>58</v>
      </c>
      <c r="U123" s="27" t="s">
        <v>59</v>
      </c>
      <c r="V123" s="30">
        <v>46153.834085648145</v>
      </c>
      <c r="W123" s="30">
        <v>46153.834085648145</v>
      </c>
      <c r="X123" s="30">
        <v>46153.838969907411</v>
      </c>
      <c r="Y123" s="27" t="s">
        <v>117</v>
      </c>
      <c r="Z123" s="27" t="s">
        <v>1061</v>
      </c>
      <c r="AA123" s="27" t="s">
        <v>53</v>
      </c>
      <c r="AB123" s="27" t="s">
        <v>60</v>
      </c>
      <c r="AC123" s="27" t="s">
        <v>1062</v>
      </c>
      <c r="AD123" s="27" t="s">
        <v>118</v>
      </c>
      <c r="AE123" s="27" t="s">
        <v>70</v>
      </c>
      <c r="AF123" s="27" t="s">
        <v>147</v>
      </c>
      <c r="AG123" s="27" t="s">
        <v>149</v>
      </c>
      <c r="AH123" s="27">
        <v>0</v>
      </c>
      <c r="AI123" s="27">
        <v>0</v>
      </c>
      <c r="AJ123" s="27">
        <v>0</v>
      </c>
      <c r="AK123" s="27">
        <v>0</v>
      </c>
      <c r="AL123" s="27" t="s">
        <v>64</v>
      </c>
      <c r="AM123" s="27">
        <v>3</v>
      </c>
      <c r="AN123" s="27">
        <v>423</v>
      </c>
      <c r="AO123" s="27" t="s">
        <v>65</v>
      </c>
      <c r="AP123" s="27">
        <v>37</v>
      </c>
      <c r="AQ123" s="27">
        <v>1</v>
      </c>
      <c r="AR123" s="27">
        <v>2494375</v>
      </c>
      <c r="AS123" s="27" t="s">
        <v>118</v>
      </c>
      <c r="AT123" s="27" t="s">
        <v>1063</v>
      </c>
      <c r="AU123" s="31" t="s">
        <v>118</v>
      </c>
    </row>
    <row r="124" spans="1:47" x14ac:dyDescent="0.25">
      <c r="A124" s="7">
        <f>+CONCATENATE(DAY(V124),"/",MONTH(V124),"/",YEAR(V124),"")*1</f>
        <v>46153</v>
      </c>
      <c r="B124" s="23">
        <f>+Z124*1</f>
        <v>1157232277</v>
      </c>
      <c r="C124" s="21" t="str">
        <f>+AA124</f>
        <v>ENTRANTE</v>
      </c>
      <c r="D124" s="3" t="str">
        <f>VLOOKUP(Q124,Code!E:F,2,0)</f>
        <v>Admisiones</v>
      </c>
      <c r="E124" s="3" t="s">
        <v>55</v>
      </c>
      <c r="F124" s="3">
        <f>+AP124</f>
        <v>37</v>
      </c>
      <c r="G124" s="3">
        <f>+S124</f>
        <v>27</v>
      </c>
      <c r="H124" s="22">
        <f>+HOUR(V124)</f>
        <v>19</v>
      </c>
      <c r="I124" s="22">
        <f>IFERROR(VLOOKUP(B124,MATRICULAS!A:B,2,0),0)*1</f>
        <v>0</v>
      </c>
      <c r="J124" s="26">
        <v>20260511</v>
      </c>
      <c r="K124" s="26">
        <v>149162116</v>
      </c>
      <c r="L124" s="26" t="s">
        <v>134</v>
      </c>
      <c r="M124" s="26" t="s">
        <v>56</v>
      </c>
      <c r="N124" s="26">
        <v>0</v>
      </c>
      <c r="O124" s="26">
        <v>0</v>
      </c>
      <c r="P124" s="26" t="s">
        <v>57</v>
      </c>
      <c r="Q124" s="26">
        <v>150</v>
      </c>
      <c r="R124" s="26" t="s">
        <v>163</v>
      </c>
      <c r="S124" s="26">
        <v>27</v>
      </c>
      <c r="T124" s="26" t="s">
        <v>58</v>
      </c>
      <c r="U124" s="26" t="s">
        <v>59</v>
      </c>
      <c r="V124" s="28">
        <v>46153.807384259257</v>
      </c>
      <c r="W124" s="28">
        <v>46153.807384259257</v>
      </c>
      <c r="X124" s="28">
        <v>46153.811550925922</v>
      </c>
      <c r="Y124" s="26" t="s">
        <v>117</v>
      </c>
      <c r="Z124" s="26" t="s">
        <v>1064</v>
      </c>
      <c r="AA124" s="26" t="s">
        <v>53</v>
      </c>
      <c r="AB124" s="26" t="s">
        <v>60</v>
      </c>
      <c r="AC124" s="26" t="s">
        <v>1065</v>
      </c>
      <c r="AD124" s="26" t="s">
        <v>118</v>
      </c>
      <c r="AE124" s="26" t="s">
        <v>61</v>
      </c>
      <c r="AF124" s="26" t="s">
        <v>62</v>
      </c>
      <c r="AG124" s="26" t="s">
        <v>63</v>
      </c>
      <c r="AH124" s="26">
        <v>0</v>
      </c>
      <c r="AI124" s="26">
        <v>0</v>
      </c>
      <c r="AJ124" s="26">
        <v>0</v>
      </c>
      <c r="AK124" s="26">
        <v>0</v>
      </c>
      <c r="AL124" s="26" t="s">
        <v>64</v>
      </c>
      <c r="AM124" s="26">
        <v>3</v>
      </c>
      <c r="AN124" s="26">
        <v>360</v>
      </c>
      <c r="AO124" s="26" t="s">
        <v>65</v>
      </c>
      <c r="AP124" s="26">
        <v>37</v>
      </c>
      <c r="AQ124" s="26">
        <v>202</v>
      </c>
      <c r="AR124" s="26">
        <v>2493152</v>
      </c>
      <c r="AS124" s="26" t="s">
        <v>118</v>
      </c>
      <c r="AT124" s="26" t="s">
        <v>1066</v>
      </c>
      <c r="AU124" s="29" t="s">
        <v>118</v>
      </c>
    </row>
    <row r="125" spans="1:47" x14ac:dyDescent="0.25">
      <c r="A125" s="7">
        <f>+CONCATENATE(DAY(V125),"/",MONTH(V125),"/",YEAR(V125),"")*1</f>
        <v>46153</v>
      </c>
      <c r="B125" s="23">
        <f>+Z125*1</f>
        <v>1150228051</v>
      </c>
      <c r="C125" s="21" t="str">
        <f>+AA125</f>
        <v>ENTRANTE</v>
      </c>
      <c r="D125" s="3" t="str">
        <f>VLOOKUP(Q125,Code!E:F,2,0)</f>
        <v>Admisiones</v>
      </c>
      <c r="E125" s="3" t="s">
        <v>55</v>
      </c>
      <c r="F125" s="3">
        <f>+AP125</f>
        <v>37</v>
      </c>
      <c r="G125" s="3">
        <f>+S125</f>
        <v>27</v>
      </c>
      <c r="H125" s="22">
        <f>+HOUR(V125)</f>
        <v>16</v>
      </c>
      <c r="I125" s="22">
        <f>IFERROR(VLOOKUP(B125,MATRICULAS!A:B,2,0),0)*1</f>
        <v>0</v>
      </c>
      <c r="J125" s="27">
        <v>20260511</v>
      </c>
      <c r="K125" s="27">
        <v>149158479</v>
      </c>
      <c r="L125" s="27" t="s">
        <v>134</v>
      </c>
      <c r="M125" s="27" t="s">
        <v>56</v>
      </c>
      <c r="N125" s="27">
        <v>0</v>
      </c>
      <c r="O125" s="27">
        <v>0</v>
      </c>
      <c r="P125" s="27" t="s">
        <v>57</v>
      </c>
      <c r="Q125" s="27">
        <v>150</v>
      </c>
      <c r="R125" s="27" t="s">
        <v>163</v>
      </c>
      <c r="S125" s="27">
        <v>27</v>
      </c>
      <c r="T125" s="27" t="s">
        <v>58</v>
      </c>
      <c r="U125" s="27" t="s">
        <v>59</v>
      </c>
      <c r="V125" s="30">
        <v>46153.690115740741</v>
      </c>
      <c r="W125" s="30">
        <v>46153.690115740741</v>
      </c>
      <c r="X125" s="30">
        <v>46153.698252314818</v>
      </c>
      <c r="Y125" s="27" t="s">
        <v>117</v>
      </c>
      <c r="Z125" s="27" t="s">
        <v>1067</v>
      </c>
      <c r="AA125" s="27" t="s">
        <v>53</v>
      </c>
      <c r="AB125" s="27" t="s">
        <v>60</v>
      </c>
      <c r="AC125" s="27" t="s">
        <v>1068</v>
      </c>
      <c r="AD125" s="27" t="s">
        <v>118</v>
      </c>
      <c r="AE125" s="27" t="s">
        <v>61</v>
      </c>
      <c r="AF125" s="27" t="s">
        <v>62</v>
      </c>
      <c r="AG125" s="27" t="s">
        <v>63</v>
      </c>
      <c r="AH125" s="27">
        <v>0</v>
      </c>
      <c r="AI125" s="27">
        <v>0</v>
      </c>
      <c r="AJ125" s="27">
        <v>0</v>
      </c>
      <c r="AK125" s="27">
        <v>0</v>
      </c>
      <c r="AL125" s="27" t="s">
        <v>64</v>
      </c>
      <c r="AM125" s="27">
        <v>3</v>
      </c>
      <c r="AN125" s="27">
        <v>704</v>
      </c>
      <c r="AO125" s="27" t="s">
        <v>65</v>
      </c>
      <c r="AP125" s="27">
        <v>37</v>
      </c>
      <c r="AQ125" s="27">
        <v>201</v>
      </c>
      <c r="AR125" s="27">
        <v>2492782</v>
      </c>
      <c r="AS125" s="27" t="s">
        <v>118</v>
      </c>
      <c r="AT125" s="27" t="s">
        <v>1069</v>
      </c>
      <c r="AU125" s="31" t="s">
        <v>118</v>
      </c>
    </row>
    <row r="126" spans="1:47" x14ac:dyDescent="0.25">
      <c r="A126" s="7">
        <f>+CONCATENATE(DAY(V126),"/",MONTH(V126),"/",YEAR(V126),"")*1</f>
        <v>46153</v>
      </c>
      <c r="B126" s="23">
        <f>+Z126*1</f>
        <v>1126860690</v>
      </c>
      <c r="C126" s="21" t="str">
        <f>+AA126</f>
        <v>ENTRANTE</v>
      </c>
      <c r="D126" s="3" t="str">
        <f>VLOOKUP(Q126,Code!E:F,2,0)</f>
        <v>Admisiones</v>
      </c>
      <c r="E126" s="3" t="s">
        <v>55</v>
      </c>
      <c r="F126" s="3">
        <f>+AP126</f>
        <v>37</v>
      </c>
      <c r="G126" s="3">
        <f>+S126</f>
        <v>27</v>
      </c>
      <c r="H126" s="22">
        <f>+HOUR(V126)</f>
        <v>16</v>
      </c>
      <c r="I126" s="22">
        <f>IFERROR(VLOOKUP(B126,MATRICULAS!A:B,2,0),0)*1</f>
        <v>1</v>
      </c>
      <c r="J126" s="26">
        <v>20260511</v>
      </c>
      <c r="K126" s="26">
        <v>149158296</v>
      </c>
      <c r="L126" s="26" t="s">
        <v>134</v>
      </c>
      <c r="M126" s="26" t="s">
        <v>56</v>
      </c>
      <c r="N126" s="26">
        <v>0</v>
      </c>
      <c r="O126" s="26">
        <v>0</v>
      </c>
      <c r="P126" s="26" t="s">
        <v>57</v>
      </c>
      <c r="Q126" s="26">
        <v>150</v>
      </c>
      <c r="R126" s="26" t="s">
        <v>152</v>
      </c>
      <c r="S126" s="26">
        <v>27</v>
      </c>
      <c r="T126" s="26" t="s">
        <v>58</v>
      </c>
      <c r="U126" s="26" t="s">
        <v>59</v>
      </c>
      <c r="V126" s="28">
        <v>46153.685081018521</v>
      </c>
      <c r="W126" s="28">
        <v>46153.685081018521</v>
      </c>
      <c r="X126" s="28">
        <v>46153.698287037034</v>
      </c>
      <c r="Y126" s="26" t="s">
        <v>117</v>
      </c>
      <c r="Z126" s="26" t="s">
        <v>992</v>
      </c>
      <c r="AA126" s="26" t="s">
        <v>53</v>
      </c>
      <c r="AB126" s="26" t="s">
        <v>60</v>
      </c>
      <c r="AC126" s="26" t="s">
        <v>1070</v>
      </c>
      <c r="AD126" s="26" t="s">
        <v>118</v>
      </c>
      <c r="AE126" s="26" t="s">
        <v>66</v>
      </c>
      <c r="AF126" s="26" t="s">
        <v>67</v>
      </c>
      <c r="AG126" s="26" t="s">
        <v>67</v>
      </c>
      <c r="AH126" s="26">
        <v>0</v>
      </c>
      <c r="AI126" s="26">
        <v>0</v>
      </c>
      <c r="AJ126" s="26">
        <v>0</v>
      </c>
      <c r="AK126" s="26">
        <v>0</v>
      </c>
      <c r="AL126" s="26" t="s">
        <v>64</v>
      </c>
      <c r="AM126" s="26">
        <v>3</v>
      </c>
      <c r="AN126" s="26">
        <v>1141</v>
      </c>
      <c r="AO126" s="26" t="s">
        <v>65</v>
      </c>
      <c r="AP126" s="26">
        <v>37</v>
      </c>
      <c r="AQ126" s="26">
        <v>183</v>
      </c>
      <c r="AR126" s="26">
        <v>2375049</v>
      </c>
      <c r="AS126" s="26" t="s">
        <v>118</v>
      </c>
      <c r="AT126" s="26" t="s">
        <v>1071</v>
      </c>
      <c r="AU126" s="29" t="s">
        <v>118</v>
      </c>
    </row>
    <row r="127" spans="1:47" x14ac:dyDescent="0.25">
      <c r="A127" s="7">
        <f>+CONCATENATE(DAY(V127),"/",MONTH(V127),"/",YEAR(V127),"")*1</f>
        <v>46153</v>
      </c>
      <c r="B127" s="23">
        <f>+Z127*1</f>
        <v>2954451000</v>
      </c>
      <c r="C127" s="21" t="str">
        <f>+AA127</f>
        <v>ENTRANTE</v>
      </c>
      <c r="D127" s="3" t="str">
        <f>VLOOKUP(Q127,Code!E:F,2,0)</f>
        <v>Admisiones</v>
      </c>
      <c r="E127" s="3" t="s">
        <v>55</v>
      </c>
      <c r="F127" s="3">
        <f>+AP127</f>
        <v>37</v>
      </c>
      <c r="G127" s="3">
        <f>+S127</f>
        <v>27</v>
      </c>
      <c r="H127" s="22">
        <f>+HOUR(V127)</f>
        <v>16</v>
      </c>
      <c r="I127" s="22">
        <f>IFERROR(VLOOKUP(B127,MATRICULAS!A:B,2,0),0)*1</f>
        <v>0</v>
      </c>
      <c r="J127" s="27">
        <v>20260511</v>
      </c>
      <c r="K127" s="27">
        <v>149158274</v>
      </c>
      <c r="L127" s="27" t="s">
        <v>134</v>
      </c>
      <c r="M127" s="27" t="s">
        <v>56</v>
      </c>
      <c r="N127" s="27">
        <v>0</v>
      </c>
      <c r="O127" s="27">
        <v>0</v>
      </c>
      <c r="P127" s="27" t="s">
        <v>57</v>
      </c>
      <c r="Q127" s="27">
        <v>150</v>
      </c>
      <c r="R127" s="27" t="s">
        <v>163</v>
      </c>
      <c r="S127" s="27">
        <v>27</v>
      </c>
      <c r="T127" s="27" t="s">
        <v>58</v>
      </c>
      <c r="U127" s="27" t="s">
        <v>59</v>
      </c>
      <c r="V127" s="30">
        <v>46153.684548611112</v>
      </c>
      <c r="W127" s="30">
        <v>46153.684548611112</v>
      </c>
      <c r="X127" s="30">
        <v>46153.685011574074</v>
      </c>
      <c r="Y127" s="27" t="s">
        <v>117</v>
      </c>
      <c r="Z127" s="27" t="s">
        <v>1072</v>
      </c>
      <c r="AA127" s="27" t="s">
        <v>53</v>
      </c>
      <c r="AB127" s="27" t="s">
        <v>60</v>
      </c>
      <c r="AC127" s="27" t="s">
        <v>1073</v>
      </c>
      <c r="AD127" s="27" t="s">
        <v>118</v>
      </c>
      <c r="AE127" s="27" t="s">
        <v>70</v>
      </c>
      <c r="AF127" s="27" t="s">
        <v>169</v>
      </c>
      <c r="AG127" s="27" t="s">
        <v>170</v>
      </c>
      <c r="AH127" s="27">
        <v>0</v>
      </c>
      <c r="AI127" s="27">
        <v>0</v>
      </c>
      <c r="AJ127" s="27">
        <v>0</v>
      </c>
      <c r="AK127" s="27">
        <v>0</v>
      </c>
      <c r="AL127" s="27" t="s">
        <v>64</v>
      </c>
      <c r="AM127" s="27">
        <v>3</v>
      </c>
      <c r="AN127" s="27">
        <v>41</v>
      </c>
      <c r="AO127" s="27" t="s">
        <v>65</v>
      </c>
      <c r="AP127" s="27">
        <v>37</v>
      </c>
      <c r="AQ127" s="27">
        <v>73</v>
      </c>
      <c r="AR127" s="27">
        <v>1087838</v>
      </c>
      <c r="AS127" s="27" t="s">
        <v>1074</v>
      </c>
      <c r="AT127" s="27" t="s">
        <v>1075</v>
      </c>
      <c r="AU127" s="31" t="s">
        <v>118</v>
      </c>
    </row>
    <row r="128" spans="1:47" x14ac:dyDescent="0.25">
      <c r="A128" s="7">
        <f>+CONCATENATE(DAY(V128),"/",MONTH(V128),"/",YEAR(V128),"")*1</f>
        <v>46153</v>
      </c>
      <c r="B128" s="23">
        <f>+Z128*1</f>
        <v>1136114285</v>
      </c>
      <c r="C128" s="21" t="str">
        <f>+AA128</f>
        <v>ENTRANTE</v>
      </c>
      <c r="D128" s="3" t="str">
        <f>VLOOKUP(Q128,Code!E:F,2,0)</f>
        <v>Admisiones</v>
      </c>
      <c r="E128" s="3" t="s">
        <v>55</v>
      </c>
      <c r="F128" s="3">
        <f>+AP128</f>
        <v>37</v>
      </c>
      <c r="G128" s="3">
        <f>+S128</f>
        <v>27</v>
      </c>
      <c r="H128" s="22">
        <f>+HOUR(V128)</f>
        <v>16</v>
      </c>
      <c r="I128" s="22">
        <f>IFERROR(VLOOKUP(B128,MATRICULAS!A:B,2,0),0)*1</f>
        <v>0</v>
      </c>
      <c r="J128" s="27">
        <v>20260511</v>
      </c>
      <c r="K128" s="27">
        <v>149157966</v>
      </c>
      <c r="L128" s="27" t="s">
        <v>134</v>
      </c>
      <c r="M128" s="27" t="s">
        <v>56</v>
      </c>
      <c r="N128" s="27">
        <v>0</v>
      </c>
      <c r="O128" s="27">
        <v>0</v>
      </c>
      <c r="P128" s="27" t="s">
        <v>57</v>
      </c>
      <c r="Q128" s="27">
        <v>150</v>
      </c>
      <c r="R128" s="27" t="s">
        <v>163</v>
      </c>
      <c r="S128" s="27">
        <v>27</v>
      </c>
      <c r="T128" s="27" t="s">
        <v>58</v>
      </c>
      <c r="U128" s="27" t="s">
        <v>59</v>
      </c>
      <c r="V128" s="30">
        <v>46153.675497685188</v>
      </c>
      <c r="W128" s="30">
        <v>46153.675497685188</v>
      </c>
      <c r="X128" s="30">
        <v>46153.676562499997</v>
      </c>
      <c r="Y128" s="27" t="s">
        <v>117</v>
      </c>
      <c r="Z128" s="27" t="s">
        <v>1076</v>
      </c>
      <c r="AA128" s="27" t="s">
        <v>53</v>
      </c>
      <c r="AB128" s="27" t="s">
        <v>60</v>
      </c>
      <c r="AC128" s="27" t="s">
        <v>1077</v>
      </c>
      <c r="AD128" s="27" t="s">
        <v>118</v>
      </c>
      <c r="AE128" s="27" t="s">
        <v>61</v>
      </c>
      <c r="AF128" s="27" t="s">
        <v>62</v>
      </c>
      <c r="AG128" s="27" t="s">
        <v>63</v>
      </c>
      <c r="AH128" s="27">
        <v>0</v>
      </c>
      <c r="AI128" s="27">
        <v>0</v>
      </c>
      <c r="AJ128" s="27">
        <v>0</v>
      </c>
      <c r="AK128" s="27">
        <v>0</v>
      </c>
      <c r="AL128" s="27" t="s">
        <v>64</v>
      </c>
      <c r="AM128" s="27">
        <v>3</v>
      </c>
      <c r="AN128" s="27">
        <v>93</v>
      </c>
      <c r="AO128" s="27" t="s">
        <v>65</v>
      </c>
      <c r="AP128" s="27">
        <v>37</v>
      </c>
      <c r="AQ128" s="27">
        <v>1</v>
      </c>
      <c r="AR128" s="27">
        <v>2494175</v>
      </c>
      <c r="AS128" s="27" t="s">
        <v>118</v>
      </c>
      <c r="AT128" s="27" t="s">
        <v>1078</v>
      </c>
      <c r="AU128" s="31" t="s">
        <v>118</v>
      </c>
    </row>
    <row r="129" spans="1:47" x14ac:dyDescent="0.25">
      <c r="A129" s="7">
        <f>+CONCATENATE(DAY(V129),"/",MONTH(V129),"/",YEAR(V129),"")*1</f>
        <v>46153</v>
      </c>
      <c r="B129" s="23">
        <f>+Z129*1</f>
        <v>1161299601</v>
      </c>
      <c r="C129" s="21" t="str">
        <f>+AA129</f>
        <v>ENTRANTE</v>
      </c>
      <c r="D129" s="3" t="str">
        <f>VLOOKUP(Q129,Code!E:F,2,0)</f>
        <v>Admisiones</v>
      </c>
      <c r="E129" s="3" t="s">
        <v>55</v>
      </c>
      <c r="F129" s="3">
        <f>+AP129</f>
        <v>37</v>
      </c>
      <c r="G129" s="3">
        <f>+S129</f>
        <v>27</v>
      </c>
      <c r="H129" s="22">
        <f>+HOUR(V129)</f>
        <v>15</v>
      </c>
      <c r="I129" s="22">
        <f>IFERROR(VLOOKUP(B129,MATRICULAS!A:B,2,0),0)*1</f>
        <v>0</v>
      </c>
      <c r="J129" s="26">
        <v>20260511</v>
      </c>
      <c r="K129" s="26">
        <v>149157376</v>
      </c>
      <c r="L129" s="26" t="s">
        <v>134</v>
      </c>
      <c r="M129" s="26" t="s">
        <v>56</v>
      </c>
      <c r="N129" s="26">
        <v>0</v>
      </c>
      <c r="O129" s="26">
        <v>0</v>
      </c>
      <c r="P129" s="26" t="s">
        <v>57</v>
      </c>
      <c r="Q129" s="26">
        <v>150</v>
      </c>
      <c r="R129" s="26" t="s">
        <v>163</v>
      </c>
      <c r="S129" s="26">
        <v>27</v>
      </c>
      <c r="T129" s="26" t="s">
        <v>58</v>
      </c>
      <c r="U129" s="26" t="s">
        <v>59</v>
      </c>
      <c r="V129" s="28">
        <v>46153.660185185188</v>
      </c>
      <c r="W129" s="28">
        <v>46153.660185185188</v>
      </c>
      <c r="X129" s="28">
        <v>46153.661979166667</v>
      </c>
      <c r="Y129" s="26" t="s">
        <v>117</v>
      </c>
      <c r="Z129" s="26" t="s">
        <v>1079</v>
      </c>
      <c r="AA129" s="26" t="s">
        <v>53</v>
      </c>
      <c r="AB129" s="26" t="s">
        <v>60</v>
      </c>
      <c r="AC129" s="26" t="s">
        <v>1080</v>
      </c>
      <c r="AD129" s="26" t="s">
        <v>118</v>
      </c>
      <c r="AE129" s="26" t="s">
        <v>61</v>
      </c>
      <c r="AF129" s="26" t="s">
        <v>62</v>
      </c>
      <c r="AG129" s="26" t="s">
        <v>63</v>
      </c>
      <c r="AH129" s="26">
        <v>0</v>
      </c>
      <c r="AI129" s="26">
        <v>0</v>
      </c>
      <c r="AJ129" s="26">
        <v>0</v>
      </c>
      <c r="AK129" s="26">
        <v>0</v>
      </c>
      <c r="AL129" s="26" t="s">
        <v>64</v>
      </c>
      <c r="AM129" s="26">
        <v>3</v>
      </c>
      <c r="AN129" s="26">
        <v>155</v>
      </c>
      <c r="AO129" s="26" t="s">
        <v>65</v>
      </c>
      <c r="AP129" s="26">
        <v>37</v>
      </c>
      <c r="AQ129" s="26">
        <v>1</v>
      </c>
      <c r="AR129" s="26">
        <v>2494155</v>
      </c>
      <c r="AS129" s="26" t="s">
        <v>118</v>
      </c>
      <c r="AT129" s="26" t="s">
        <v>1081</v>
      </c>
      <c r="AU129" s="29" t="s">
        <v>118</v>
      </c>
    </row>
    <row r="130" spans="1:47" x14ac:dyDescent="0.25">
      <c r="A130" s="7">
        <f>+CONCATENATE(DAY(V130),"/",MONTH(V130),"/",YEAR(V130),"")*1</f>
        <v>46153</v>
      </c>
      <c r="B130" s="23">
        <f>+Z130*1</f>
        <v>1165644019</v>
      </c>
      <c r="C130" s="21" t="str">
        <f>+AA130</f>
        <v>ENTRANTE</v>
      </c>
      <c r="D130" s="3" t="str">
        <f>VLOOKUP(Q130,Code!E:F,2,0)</f>
        <v>Admisiones</v>
      </c>
      <c r="E130" s="3" t="s">
        <v>55</v>
      </c>
      <c r="F130" s="3">
        <f>+AP130</f>
        <v>37</v>
      </c>
      <c r="G130" s="3">
        <f>+S130</f>
        <v>27</v>
      </c>
      <c r="H130" s="22">
        <f>+HOUR(V130)</f>
        <v>15</v>
      </c>
      <c r="I130" s="22">
        <f>IFERROR(VLOOKUP(B130,MATRICULAS!A:B,2,0),0)*1</f>
        <v>0</v>
      </c>
      <c r="J130" s="26">
        <v>20260511</v>
      </c>
      <c r="K130" s="26">
        <v>149156995</v>
      </c>
      <c r="L130" s="26" t="s">
        <v>134</v>
      </c>
      <c r="M130" s="26" t="s">
        <v>56</v>
      </c>
      <c r="N130" s="26">
        <v>0</v>
      </c>
      <c r="O130" s="26">
        <v>0</v>
      </c>
      <c r="P130" s="26" t="s">
        <v>57</v>
      </c>
      <c r="Q130" s="26">
        <v>150</v>
      </c>
      <c r="R130" s="26" t="s">
        <v>161</v>
      </c>
      <c r="S130" s="26">
        <v>27</v>
      </c>
      <c r="T130" s="26" t="s">
        <v>58</v>
      </c>
      <c r="U130" s="26" t="s">
        <v>59</v>
      </c>
      <c r="V130" s="28">
        <v>46153.650046296294</v>
      </c>
      <c r="W130" s="28">
        <v>46153.650057870371</v>
      </c>
      <c r="X130" s="28">
        <v>46153.660185185188</v>
      </c>
      <c r="Y130" s="26" t="s">
        <v>117</v>
      </c>
      <c r="Z130" s="26" t="s">
        <v>1083</v>
      </c>
      <c r="AA130" s="26" t="s">
        <v>53</v>
      </c>
      <c r="AB130" s="26" t="s">
        <v>60</v>
      </c>
      <c r="AC130" s="26" t="s">
        <v>1084</v>
      </c>
      <c r="AD130" s="26" t="s">
        <v>118</v>
      </c>
      <c r="AE130" s="26" t="s">
        <v>61</v>
      </c>
      <c r="AF130" s="26" t="s">
        <v>62</v>
      </c>
      <c r="AG130" s="26" t="s">
        <v>63</v>
      </c>
      <c r="AH130" s="26">
        <v>0</v>
      </c>
      <c r="AI130" s="26">
        <v>0</v>
      </c>
      <c r="AJ130" s="26">
        <v>0</v>
      </c>
      <c r="AK130" s="26">
        <v>0</v>
      </c>
      <c r="AL130" s="26" t="s">
        <v>64</v>
      </c>
      <c r="AM130" s="26">
        <v>3</v>
      </c>
      <c r="AN130" s="26">
        <v>876</v>
      </c>
      <c r="AO130" s="26" t="s">
        <v>65</v>
      </c>
      <c r="AP130" s="26">
        <v>37</v>
      </c>
      <c r="AQ130" s="26">
        <v>0</v>
      </c>
      <c r="AR130" s="26">
        <v>0</v>
      </c>
      <c r="AS130" s="26" t="s">
        <v>118</v>
      </c>
      <c r="AT130" s="26" t="s">
        <v>1085</v>
      </c>
      <c r="AU130" s="29" t="s">
        <v>118</v>
      </c>
    </row>
    <row r="131" spans="1:47" x14ac:dyDescent="0.25">
      <c r="A131" s="7">
        <f>+CONCATENATE(DAY(V131),"/",MONTH(V131),"/",YEAR(V131),"")*1</f>
        <v>46153</v>
      </c>
      <c r="B131" s="23">
        <f>+Z131*1</f>
        <v>1163587662</v>
      </c>
      <c r="C131" s="21" t="str">
        <f>+AA131</f>
        <v>ENTRANTE</v>
      </c>
      <c r="D131" s="3" t="str">
        <f>VLOOKUP(Q131,Code!E:F,2,0)</f>
        <v>Admisiones</v>
      </c>
      <c r="E131" s="3" t="s">
        <v>55</v>
      </c>
      <c r="F131" s="3">
        <f>+AP131</f>
        <v>37</v>
      </c>
      <c r="G131" s="3">
        <f>+S131</f>
        <v>26</v>
      </c>
      <c r="H131" s="22">
        <f>+HOUR(V131)</f>
        <v>14</v>
      </c>
      <c r="I131" s="22">
        <f>IFERROR(VLOOKUP(B131,MATRICULAS!A:B,2,0),0)*1</f>
        <v>0</v>
      </c>
      <c r="J131" s="26">
        <v>20260511</v>
      </c>
      <c r="K131" s="26">
        <v>149154606</v>
      </c>
      <c r="L131" s="26" t="s">
        <v>134</v>
      </c>
      <c r="M131" s="26" t="s">
        <v>56</v>
      </c>
      <c r="N131" s="26">
        <v>0</v>
      </c>
      <c r="O131" s="26">
        <v>0</v>
      </c>
      <c r="P131" s="26" t="s">
        <v>57</v>
      </c>
      <c r="Q131" s="26">
        <v>150</v>
      </c>
      <c r="R131" s="26" t="s">
        <v>153</v>
      </c>
      <c r="S131" s="26">
        <v>26</v>
      </c>
      <c r="T131" s="26" t="s">
        <v>58</v>
      </c>
      <c r="U131" s="26" t="s">
        <v>59</v>
      </c>
      <c r="V131" s="28">
        <v>46153.591423611113</v>
      </c>
      <c r="W131" s="28">
        <v>46153.591423611113</v>
      </c>
      <c r="X131" s="28">
        <v>46153.59615740741</v>
      </c>
      <c r="Y131" s="26" t="s">
        <v>117</v>
      </c>
      <c r="Z131" s="26" t="s">
        <v>1086</v>
      </c>
      <c r="AA131" s="26" t="s">
        <v>53</v>
      </c>
      <c r="AB131" s="26" t="s">
        <v>60</v>
      </c>
      <c r="AC131" s="26" t="s">
        <v>1087</v>
      </c>
      <c r="AD131" s="26" t="s">
        <v>118</v>
      </c>
      <c r="AE131" s="26" t="s">
        <v>61</v>
      </c>
      <c r="AF131" s="26" t="s">
        <v>62</v>
      </c>
      <c r="AG131" s="26" t="s">
        <v>63</v>
      </c>
      <c r="AH131" s="26">
        <v>0</v>
      </c>
      <c r="AI131" s="26">
        <v>0</v>
      </c>
      <c r="AJ131" s="26">
        <v>0</v>
      </c>
      <c r="AK131" s="26">
        <v>0</v>
      </c>
      <c r="AL131" s="26" t="s">
        <v>64</v>
      </c>
      <c r="AM131" s="26">
        <v>3</v>
      </c>
      <c r="AN131" s="26">
        <v>409</v>
      </c>
      <c r="AO131" s="26" t="s">
        <v>65</v>
      </c>
      <c r="AP131" s="26">
        <v>37</v>
      </c>
      <c r="AQ131" s="26">
        <v>202</v>
      </c>
      <c r="AR131" s="26">
        <v>2494066</v>
      </c>
      <c r="AS131" s="26" t="s">
        <v>118</v>
      </c>
      <c r="AT131" s="26" t="s">
        <v>1088</v>
      </c>
      <c r="AU131" s="29" t="s">
        <v>118</v>
      </c>
    </row>
    <row r="132" spans="1:47" x14ac:dyDescent="0.25">
      <c r="A132" s="7">
        <f>+CONCATENATE(DAY(V132),"/",MONTH(V132),"/",YEAR(V132),"")*1</f>
        <v>46153</v>
      </c>
      <c r="B132" s="23">
        <f>+Z132*1</f>
        <v>1164840372</v>
      </c>
      <c r="C132" s="21" t="str">
        <f>+AA132</f>
        <v>ENTRANTE</v>
      </c>
      <c r="D132" s="3" t="str">
        <f>VLOOKUP(Q132,Code!E:F,2,0)</f>
        <v>Admisiones</v>
      </c>
      <c r="E132" s="3" t="s">
        <v>55</v>
      </c>
      <c r="F132" s="3">
        <f>+AP132</f>
        <v>37</v>
      </c>
      <c r="G132" s="3">
        <f>+S132</f>
        <v>26</v>
      </c>
      <c r="H132" s="22">
        <f>+HOUR(V132)</f>
        <v>14</v>
      </c>
      <c r="I132" s="22">
        <f>IFERROR(VLOOKUP(B132,MATRICULAS!A:B,2,0),0)*1</f>
        <v>0</v>
      </c>
      <c r="J132" s="27">
        <v>20260511</v>
      </c>
      <c r="K132" s="27">
        <v>149154302</v>
      </c>
      <c r="L132" s="27" t="s">
        <v>134</v>
      </c>
      <c r="M132" s="27" t="s">
        <v>56</v>
      </c>
      <c r="N132" s="27">
        <v>0</v>
      </c>
      <c r="O132" s="27">
        <v>0</v>
      </c>
      <c r="P132" s="27" t="s">
        <v>57</v>
      </c>
      <c r="Q132" s="27">
        <v>150</v>
      </c>
      <c r="R132" s="27" t="s">
        <v>168</v>
      </c>
      <c r="S132" s="27">
        <v>26</v>
      </c>
      <c r="T132" s="27" t="s">
        <v>58</v>
      </c>
      <c r="U132" s="27" t="s">
        <v>59</v>
      </c>
      <c r="V132" s="30">
        <v>46153.587488425925</v>
      </c>
      <c r="W132" s="30">
        <v>46153.587488425925</v>
      </c>
      <c r="X132" s="30">
        <v>46153.593946759262</v>
      </c>
      <c r="Y132" s="27" t="s">
        <v>117</v>
      </c>
      <c r="Z132" s="27" t="s">
        <v>1089</v>
      </c>
      <c r="AA132" s="27" t="s">
        <v>53</v>
      </c>
      <c r="AB132" s="27" t="s">
        <v>60</v>
      </c>
      <c r="AC132" s="27" t="s">
        <v>1090</v>
      </c>
      <c r="AD132" s="27" t="s">
        <v>118</v>
      </c>
      <c r="AE132" s="27" t="s">
        <v>61</v>
      </c>
      <c r="AF132" s="27" t="s">
        <v>62</v>
      </c>
      <c r="AG132" s="27" t="s">
        <v>63</v>
      </c>
      <c r="AH132" s="27">
        <v>0</v>
      </c>
      <c r="AI132" s="27">
        <v>0</v>
      </c>
      <c r="AJ132" s="27">
        <v>0</v>
      </c>
      <c r="AK132" s="27">
        <v>0</v>
      </c>
      <c r="AL132" s="27" t="s">
        <v>64</v>
      </c>
      <c r="AM132" s="27">
        <v>3</v>
      </c>
      <c r="AN132" s="27">
        <v>559</v>
      </c>
      <c r="AO132" s="27" t="s">
        <v>65</v>
      </c>
      <c r="AP132" s="27">
        <v>37</v>
      </c>
      <c r="AQ132" s="27">
        <v>0</v>
      </c>
      <c r="AR132" s="27">
        <v>0</v>
      </c>
      <c r="AS132" s="27" t="s">
        <v>118</v>
      </c>
      <c r="AT132" s="27" t="s">
        <v>1091</v>
      </c>
      <c r="AU132" s="31" t="s">
        <v>118</v>
      </c>
    </row>
    <row r="133" spans="1:47" x14ac:dyDescent="0.25">
      <c r="A133" s="7">
        <f>+CONCATENATE(DAY(V133),"/",MONTH(V133),"/",YEAR(V133),"")*1</f>
        <v>46153</v>
      </c>
      <c r="B133" s="23">
        <f>+Z133*1</f>
        <v>1132657276</v>
      </c>
      <c r="C133" s="21" t="str">
        <f>+AA133</f>
        <v>ENTRANTE</v>
      </c>
      <c r="D133" s="3" t="str">
        <f>VLOOKUP(Q133,Code!E:F,2,0)</f>
        <v>Admisiones</v>
      </c>
      <c r="E133" s="3" t="s">
        <v>55</v>
      </c>
      <c r="F133" s="3">
        <f>+AP133</f>
        <v>37</v>
      </c>
      <c r="G133" s="3">
        <f>+S133</f>
        <v>26</v>
      </c>
      <c r="H133" s="22">
        <f>+HOUR(V133)</f>
        <v>13</v>
      </c>
      <c r="I133" s="22">
        <f>IFERROR(VLOOKUP(B133,MATRICULAS!A:B,2,0),0)*1</f>
        <v>0</v>
      </c>
      <c r="J133" s="26">
        <v>20260511</v>
      </c>
      <c r="K133" s="26">
        <v>149153545</v>
      </c>
      <c r="L133" s="26" t="s">
        <v>134</v>
      </c>
      <c r="M133" s="26" t="s">
        <v>56</v>
      </c>
      <c r="N133" s="26">
        <v>0</v>
      </c>
      <c r="O133" s="26">
        <v>0</v>
      </c>
      <c r="P133" s="26" t="s">
        <v>57</v>
      </c>
      <c r="Q133" s="26">
        <v>150</v>
      </c>
      <c r="R133" s="26" t="s">
        <v>168</v>
      </c>
      <c r="S133" s="26">
        <v>26</v>
      </c>
      <c r="T133" s="26" t="s">
        <v>58</v>
      </c>
      <c r="U133" s="26" t="s">
        <v>59</v>
      </c>
      <c r="V133" s="28">
        <v>46153.567280092589</v>
      </c>
      <c r="W133" s="28">
        <v>46153.567280092589</v>
      </c>
      <c r="X133" s="28">
        <v>46153.575023148151</v>
      </c>
      <c r="Y133" s="26" t="s">
        <v>117</v>
      </c>
      <c r="Z133" s="26" t="s">
        <v>1092</v>
      </c>
      <c r="AA133" s="26" t="s">
        <v>53</v>
      </c>
      <c r="AB133" s="26" t="s">
        <v>60</v>
      </c>
      <c r="AC133" s="26" t="s">
        <v>1093</v>
      </c>
      <c r="AD133" s="26" t="s">
        <v>118</v>
      </c>
      <c r="AE133" s="26" t="s">
        <v>61</v>
      </c>
      <c r="AF133" s="26" t="s">
        <v>62</v>
      </c>
      <c r="AG133" s="26" t="s">
        <v>63</v>
      </c>
      <c r="AH133" s="26">
        <v>0</v>
      </c>
      <c r="AI133" s="26">
        <v>0</v>
      </c>
      <c r="AJ133" s="26">
        <v>0</v>
      </c>
      <c r="AK133" s="26">
        <v>0</v>
      </c>
      <c r="AL133" s="26" t="s">
        <v>64</v>
      </c>
      <c r="AM133" s="26">
        <v>3</v>
      </c>
      <c r="AN133" s="26">
        <v>669</v>
      </c>
      <c r="AO133" s="26" t="s">
        <v>65</v>
      </c>
      <c r="AP133" s="26">
        <v>37</v>
      </c>
      <c r="AQ133" s="26">
        <v>0</v>
      </c>
      <c r="AR133" s="26">
        <v>0</v>
      </c>
      <c r="AS133" s="26" t="s">
        <v>118</v>
      </c>
      <c r="AT133" s="26" t="s">
        <v>1094</v>
      </c>
      <c r="AU133" s="29" t="s">
        <v>118</v>
      </c>
    </row>
    <row r="134" spans="1:47" x14ac:dyDescent="0.25">
      <c r="A134" s="7">
        <f>+CONCATENATE(DAY(V134),"/",MONTH(V134),"/",YEAR(V134),"")*1</f>
        <v>46153</v>
      </c>
      <c r="B134" s="23">
        <f>+Z134*1</f>
        <v>1164917299</v>
      </c>
      <c r="C134" s="21" t="str">
        <f>+AA134</f>
        <v>ENTRANTE</v>
      </c>
      <c r="D134" s="3" t="str">
        <f>VLOOKUP(Q134,Code!E:F,2,0)</f>
        <v>Admisiones</v>
      </c>
      <c r="E134" s="3" t="s">
        <v>55</v>
      </c>
      <c r="F134" s="3">
        <f>+AP134</f>
        <v>37</v>
      </c>
      <c r="G134" s="3">
        <f>+S134</f>
        <v>26</v>
      </c>
      <c r="H134" s="22">
        <f>+HOUR(V134)</f>
        <v>13</v>
      </c>
      <c r="I134" s="22">
        <f>IFERROR(VLOOKUP(B134,MATRICULAS!A:B,2,0),0)*1</f>
        <v>0</v>
      </c>
      <c r="J134" s="27">
        <v>20260511</v>
      </c>
      <c r="K134" s="27">
        <v>149153273</v>
      </c>
      <c r="L134" s="27" t="s">
        <v>134</v>
      </c>
      <c r="M134" s="27" t="s">
        <v>56</v>
      </c>
      <c r="N134" s="27">
        <v>0</v>
      </c>
      <c r="O134" s="27">
        <v>0</v>
      </c>
      <c r="P134" s="27" t="s">
        <v>57</v>
      </c>
      <c r="Q134" s="27">
        <v>150</v>
      </c>
      <c r="R134" s="27" t="s">
        <v>168</v>
      </c>
      <c r="S134" s="27">
        <v>26</v>
      </c>
      <c r="T134" s="27" t="s">
        <v>58</v>
      </c>
      <c r="U134" s="27" t="s">
        <v>59</v>
      </c>
      <c r="V134" s="30">
        <v>46153.561608796299</v>
      </c>
      <c r="W134" s="30">
        <v>46153.561608796299</v>
      </c>
      <c r="X134" s="30">
        <v>46153.563356481478</v>
      </c>
      <c r="Y134" s="27" t="s">
        <v>117</v>
      </c>
      <c r="Z134" s="27" t="s">
        <v>1095</v>
      </c>
      <c r="AA134" s="27" t="s">
        <v>53</v>
      </c>
      <c r="AB134" s="27" t="s">
        <v>60</v>
      </c>
      <c r="AC134" s="27" t="s">
        <v>1096</v>
      </c>
      <c r="AD134" s="27" t="s">
        <v>118</v>
      </c>
      <c r="AE134" s="27" t="s">
        <v>61</v>
      </c>
      <c r="AF134" s="27" t="s">
        <v>62</v>
      </c>
      <c r="AG134" s="27" t="s">
        <v>63</v>
      </c>
      <c r="AH134" s="27">
        <v>0</v>
      </c>
      <c r="AI134" s="27">
        <v>0</v>
      </c>
      <c r="AJ134" s="27">
        <v>0</v>
      </c>
      <c r="AK134" s="27">
        <v>0</v>
      </c>
      <c r="AL134" s="27" t="s">
        <v>64</v>
      </c>
      <c r="AM134" s="27">
        <v>3</v>
      </c>
      <c r="AN134" s="27">
        <v>151</v>
      </c>
      <c r="AO134" s="27" t="s">
        <v>65</v>
      </c>
      <c r="AP134" s="27">
        <v>37</v>
      </c>
      <c r="AQ134" s="27">
        <v>201</v>
      </c>
      <c r="AR134" s="27">
        <v>2491213</v>
      </c>
      <c r="AS134" s="27" t="s">
        <v>118</v>
      </c>
      <c r="AT134" s="27" t="s">
        <v>1097</v>
      </c>
      <c r="AU134" s="31" t="s">
        <v>118</v>
      </c>
    </row>
    <row r="135" spans="1:47" x14ac:dyDescent="0.25">
      <c r="A135" s="7">
        <f>+CONCATENATE(DAY(V135),"/",MONTH(V135),"/",YEAR(V135),"")*1</f>
        <v>46153</v>
      </c>
      <c r="B135" s="23">
        <f>+Z135*1</f>
        <v>1140931107</v>
      </c>
      <c r="C135" s="21" t="str">
        <f>+AA135</f>
        <v>ENTRANTE</v>
      </c>
      <c r="D135" s="3" t="str">
        <f>VLOOKUP(Q135,Code!E:F,2,0)</f>
        <v>Admisiones</v>
      </c>
      <c r="E135" s="3" t="s">
        <v>55</v>
      </c>
      <c r="F135" s="3">
        <f>+AP135</f>
        <v>37</v>
      </c>
      <c r="G135" s="3">
        <f>+S135</f>
        <v>26</v>
      </c>
      <c r="H135" s="22">
        <f>+HOUR(V135)</f>
        <v>12</v>
      </c>
      <c r="I135" s="22">
        <f>IFERROR(VLOOKUP(B135,MATRICULAS!A:B,2,0),0)*1</f>
        <v>0</v>
      </c>
      <c r="J135" s="26">
        <v>20260511</v>
      </c>
      <c r="K135" s="26">
        <v>149152124</v>
      </c>
      <c r="L135" s="26" t="s">
        <v>134</v>
      </c>
      <c r="M135" s="26" t="s">
        <v>56</v>
      </c>
      <c r="N135" s="26">
        <v>0</v>
      </c>
      <c r="O135" s="26">
        <v>0</v>
      </c>
      <c r="P135" s="26" t="s">
        <v>57</v>
      </c>
      <c r="Q135" s="26">
        <v>150</v>
      </c>
      <c r="R135" s="26" t="s">
        <v>145</v>
      </c>
      <c r="S135" s="26">
        <v>26</v>
      </c>
      <c r="T135" s="26" t="s">
        <v>58</v>
      </c>
      <c r="U135" s="26" t="s">
        <v>59</v>
      </c>
      <c r="V135" s="28">
        <v>46153.5315162037</v>
      </c>
      <c r="W135" s="28">
        <v>46153.5315162037</v>
      </c>
      <c r="X135" s="28">
        <v>46153.538958333331</v>
      </c>
      <c r="Y135" s="26" t="s">
        <v>117</v>
      </c>
      <c r="Z135" s="26" t="s">
        <v>601</v>
      </c>
      <c r="AA135" s="26" t="s">
        <v>53</v>
      </c>
      <c r="AB135" s="26" t="s">
        <v>60</v>
      </c>
      <c r="AC135" s="26" t="s">
        <v>1098</v>
      </c>
      <c r="AD135" s="26" t="s">
        <v>118</v>
      </c>
      <c r="AE135" s="26" t="s">
        <v>61</v>
      </c>
      <c r="AF135" s="26" t="s">
        <v>62</v>
      </c>
      <c r="AG135" s="26" t="s">
        <v>63</v>
      </c>
      <c r="AH135" s="26">
        <v>0</v>
      </c>
      <c r="AI135" s="26">
        <v>0</v>
      </c>
      <c r="AJ135" s="26">
        <v>0</v>
      </c>
      <c r="AK135" s="26">
        <v>0</v>
      </c>
      <c r="AL135" s="26" t="s">
        <v>64</v>
      </c>
      <c r="AM135" s="26">
        <v>3</v>
      </c>
      <c r="AN135" s="26">
        <v>644</v>
      </c>
      <c r="AO135" s="26" t="s">
        <v>65</v>
      </c>
      <c r="AP135" s="26">
        <v>37</v>
      </c>
      <c r="AQ135" s="26">
        <v>1</v>
      </c>
      <c r="AR135" s="26">
        <v>2493958</v>
      </c>
      <c r="AS135" s="26" t="s">
        <v>602</v>
      </c>
      <c r="AT135" s="26" t="s">
        <v>1099</v>
      </c>
      <c r="AU135" s="29" t="s">
        <v>118</v>
      </c>
    </row>
    <row r="136" spans="1:47" x14ac:dyDescent="0.25">
      <c r="A136" s="7">
        <f>+CONCATENATE(DAY(V136),"/",MONTH(V136),"/",YEAR(V136),"")*1</f>
        <v>46153</v>
      </c>
      <c r="B136" s="23">
        <f>+Z136*1</f>
        <v>3547509029</v>
      </c>
      <c r="C136" s="21" t="str">
        <f>+AA136</f>
        <v>ENTRANTE</v>
      </c>
      <c r="D136" s="3" t="str">
        <f>VLOOKUP(Q136,Code!E:F,2,0)</f>
        <v>Admisiones</v>
      </c>
      <c r="E136" s="3" t="s">
        <v>55</v>
      </c>
      <c r="F136" s="3">
        <f>+AP136</f>
        <v>37</v>
      </c>
      <c r="G136" s="3">
        <f>+S136</f>
        <v>26</v>
      </c>
      <c r="H136" s="22">
        <f>+HOUR(V136)</f>
        <v>12</v>
      </c>
      <c r="I136" s="22">
        <f>IFERROR(VLOOKUP(B136,MATRICULAS!A:B,2,0),0)*1</f>
        <v>0</v>
      </c>
      <c r="J136" s="27">
        <v>20260511</v>
      </c>
      <c r="K136" s="27">
        <v>149150893</v>
      </c>
      <c r="L136" s="27" t="s">
        <v>134</v>
      </c>
      <c r="M136" s="27" t="s">
        <v>56</v>
      </c>
      <c r="N136" s="27">
        <v>0</v>
      </c>
      <c r="O136" s="27">
        <v>0</v>
      </c>
      <c r="P136" s="27" t="s">
        <v>57</v>
      </c>
      <c r="Q136" s="27">
        <v>150</v>
      </c>
      <c r="R136" s="27" t="s">
        <v>127</v>
      </c>
      <c r="S136" s="27">
        <v>26</v>
      </c>
      <c r="T136" s="27" t="s">
        <v>58</v>
      </c>
      <c r="U136" s="27" t="s">
        <v>59</v>
      </c>
      <c r="V136" s="30">
        <v>46153.509004629632</v>
      </c>
      <c r="W136" s="30">
        <v>46153.509016203701</v>
      </c>
      <c r="X136" s="30">
        <v>46153.510567129626</v>
      </c>
      <c r="Y136" s="27" t="s">
        <v>117</v>
      </c>
      <c r="Z136" s="27" t="s">
        <v>1100</v>
      </c>
      <c r="AA136" s="27" t="s">
        <v>53</v>
      </c>
      <c r="AB136" s="27" t="s">
        <v>60</v>
      </c>
      <c r="AC136" s="27" t="s">
        <v>1101</v>
      </c>
      <c r="AD136" s="27" t="s">
        <v>118</v>
      </c>
      <c r="AE136" s="27" t="s">
        <v>61</v>
      </c>
      <c r="AF136" s="27" t="s">
        <v>62</v>
      </c>
      <c r="AG136" s="27" t="s">
        <v>63</v>
      </c>
      <c r="AH136" s="27">
        <v>0</v>
      </c>
      <c r="AI136" s="27">
        <v>0</v>
      </c>
      <c r="AJ136" s="27">
        <v>0</v>
      </c>
      <c r="AK136" s="27">
        <v>0</v>
      </c>
      <c r="AL136" s="27" t="s">
        <v>64</v>
      </c>
      <c r="AM136" s="27">
        <v>3</v>
      </c>
      <c r="AN136" s="27">
        <v>135</v>
      </c>
      <c r="AO136" s="27" t="s">
        <v>65</v>
      </c>
      <c r="AP136" s="27">
        <v>37</v>
      </c>
      <c r="AQ136" s="27">
        <v>202</v>
      </c>
      <c r="AR136" s="27">
        <v>2491169</v>
      </c>
      <c r="AS136" s="27" t="s">
        <v>118</v>
      </c>
      <c r="AT136" s="27" t="s">
        <v>1102</v>
      </c>
      <c r="AU136" s="31" t="s">
        <v>118</v>
      </c>
    </row>
    <row r="137" spans="1:47" x14ac:dyDescent="0.25">
      <c r="A137" s="7">
        <f>+CONCATENATE(DAY(V137),"/",MONTH(V137),"/",YEAR(V137),"")*1</f>
        <v>46153</v>
      </c>
      <c r="B137" s="23">
        <f>+Z137*1</f>
        <v>1126083083</v>
      </c>
      <c r="C137" s="21" t="str">
        <f>+AA137</f>
        <v>ENTRANTE</v>
      </c>
      <c r="D137" s="3" t="str">
        <f>VLOOKUP(Q137,Code!E:F,2,0)</f>
        <v>Admisiones</v>
      </c>
      <c r="E137" s="3" t="s">
        <v>55</v>
      </c>
      <c r="F137" s="3">
        <f>+AP137</f>
        <v>37</v>
      </c>
      <c r="G137" s="3">
        <f>+S137</f>
        <v>26</v>
      </c>
      <c r="H137" s="22">
        <f>+HOUR(V137)</f>
        <v>11</v>
      </c>
      <c r="I137" s="22">
        <f>IFERROR(VLOOKUP(B137,MATRICULAS!A:B,2,0),0)*1</f>
        <v>0</v>
      </c>
      <c r="J137" s="26">
        <v>20260511</v>
      </c>
      <c r="K137" s="26">
        <v>149148552</v>
      </c>
      <c r="L137" s="26" t="s">
        <v>134</v>
      </c>
      <c r="M137" s="26" t="s">
        <v>56</v>
      </c>
      <c r="N137" s="26">
        <v>0</v>
      </c>
      <c r="O137" s="26">
        <v>0</v>
      </c>
      <c r="P137" s="26" t="s">
        <v>57</v>
      </c>
      <c r="Q137" s="26">
        <v>150</v>
      </c>
      <c r="R137" s="26" t="s">
        <v>145</v>
      </c>
      <c r="S137" s="26">
        <v>26</v>
      </c>
      <c r="T137" s="26" t="s">
        <v>58</v>
      </c>
      <c r="U137" s="26" t="s">
        <v>59</v>
      </c>
      <c r="V137" s="28">
        <v>46153.476631944446</v>
      </c>
      <c r="W137" s="28">
        <v>46153.476631944446</v>
      </c>
      <c r="X137" s="28">
        <v>46153.485381944447</v>
      </c>
      <c r="Y137" s="26" t="s">
        <v>117</v>
      </c>
      <c r="Z137" s="26" t="s">
        <v>1103</v>
      </c>
      <c r="AA137" s="26" t="s">
        <v>53</v>
      </c>
      <c r="AB137" s="26" t="s">
        <v>60</v>
      </c>
      <c r="AC137" s="26" t="s">
        <v>1104</v>
      </c>
      <c r="AD137" s="26" t="s">
        <v>118</v>
      </c>
      <c r="AE137" s="26" t="s">
        <v>66</v>
      </c>
      <c r="AF137" s="26" t="s">
        <v>67</v>
      </c>
      <c r="AG137" s="26" t="s">
        <v>67</v>
      </c>
      <c r="AH137" s="26">
        <v>0</v>
      </c>
      <c r="AI137" s="26">
        <v>0</v>
      </c>
      <c r="AJ137" s="26">
        <v>0</v>
      </c>
      <c r="AK137" s="26">
        <v>0</v>
      </c>
      <c r="AL137" s="26" t="s">
        <v>64</v>
      </c>
      <c r="AM137" s="26">
        <v>3</v>
      </c>
      <c r="AN137" s="26">
        <v>757</v>
      </c>
      <c r="AO137" s="26" t="s">
        <v>65</v>
      </c>
      <c r="AP137" s="26">
        <v>37</v>
      </c>
      <c r="AQ137" s="26">
        <v>202</v>
      </c>
      <c r="AR137" s="26">
        <v>2493889</v>
      </c>
      <c r="AS137" s="26" t="s">
        <v>118</v>
      </c>
      <c r="AT137" s="26" t="s">
        <v>1105</v>
      </c>
      <c r="AU137" s="29" t="s">
        <v>118</v>
      </c>
    </row>
    <row r="138" spans="1:47" x14ac:dyDescent="0.25">
      <c r="A138" s="7">
        <f>+CONCATENATE(DAY(V138),"/",MONTH(V138),"/",YEAR(V138),"")*1</f>
        <v>46153</v>
      </c>
      <c r="B138" s="23">
        <f>+Z138*1</f>
        <v>3855078661</v>
      </c>
      <c r="C138" s="21" t="str">
        <f>+AA138</f>
        <v>ENTRANTE</v>
      </c>
      <c r="D138" s="3" t="str">
        <f>VLOOKUP(Q138,Code!E:F,2,0)</f>
        <v>Admisiones</v>
      </c>
      <c r="E138" s="3" t="s">
        <v>55</v>
      </c>
      <c r="F138" s="3">
        <f>+AP138</f>
        <v>37</v>
      </c>
      <c r="G138" s="3">
        <f>+S138</f>
        <v>26</v>
      </c>
      <c r="H138" s="22">
        <f>+HOUR(V138)</f>
        <v>10</v>
      </c>
      <c r="I138" s="22">
        <f>IFERROR(VLOOKUP(B138,MATRICULAS!A:B,2,0),0)*1</f>
        <v>0</v>
      </c>
      <c r="J138" s="27">
        <v>20260511</v>
      </c>
      <c r="K138" s="27">
        <v>149147620</v>
      </c>
      <c r="L138" s="27" t="s">
        <v>134</v>
      </c>
      <c r="M138" s="27" t="s">
        <v>56</v>
      </c>
      <c r="N138" s="27">
        <v>0</v>
      </c>
      <c r="O138" s="27">
        <v>0</v>
      </c>
      <c r="P138" s="27" t="s">
        <v>57</v>
      </c>
      <c r="Q138" s="27">
        <v>150</v>
      </c>
      <c r="R138" s="27" t="s">
        <v>145</v>
      </c>
      <c r="S138" s="27">
        <v>26</v>
      </c>
      <c r="T138" s="27" t="s">
        <v>58</v>
      </c>
      <c r="U138" s="27" t="s">
        <v>59</v>
      </c>
      <c r="V138" s="30">
        <v>46153.457245370373</v>
      </c>
      <c r="W138" s="30">
        <v>46153.457245370373</v>
      </c>
      <c r="X138" s="30">
        <v>46153.462638888886</v>
      </c>
      <c r="Y138" s="27" t="s">
        <v>117</v>
      </c>
      <c r="Z138" s="27" t="s">
        <v>1106</v>
      </c>
      <c r="AA138" s="27" t="s">
        <v>53</v>
      </c>
      <c r="AB138" s="27" t="s">
        <v>60</v>
      </c>
      <c r="AC138" s="27" t="s">
        <v>1107</v>
      </c>
      <c r="AD138" s="27" t="s">
        <v>118</v>
      </c>
      <c r="AE138" s="27" t="s">
        <v>61</v>
      </c>
      <c r="AF138" s="27" t="s">
        <v>62</v>
      </c>
      <c r="AG138" s="27" t="s">
        <v>63</v>
      </c>
      <c r="AH138" s="27">
        <v>0</v>
      </c>
      <c r="AI138" s="27">
        <v>0</v>
      </c>
      <c r="AJ138" s="27">
        <v>0</v>
      </c>
      <c r="AK138" s="27">
        <v>0</v>
      </c>
      <c r="AL138" s="27" t="s">
        <v>64</v>
      </c>
      <c r="AM138" s="27">
        <v>3</v>
      </c>
      <c r="AN138" s="27">
        <v>466</v>
      </c>
      <c r="AO138" s="27" t="s">
        <v>65</v>
      </c>
      <c r="AP138" s="27">
        <v>37</v>
      </c>
      <c r="AQ138" s="27">
        <v>1</v>
      </c>
      <c r="AR138" s="27">
        <v>2493860</v>
      </c>
      <c r="AS138" s="27" t="s">
        <v>118</v>
      </c>
      <c r="AT138" s="27" t="s">
        <v>1108</v>
      </c>
      <c r="AU138" s="31" t="s">
        <v>118</v>
      </c>
    </row>
    <row r="139" spans="1:47" x14ac:dyDescent="0.25">
      <c r="A139" s="7">
        <f>+CONCATENATE(DAY(V139),"/",MONTH(V139),"/",YEAR(V139),"")*1</f>
        <v>46153</v>
      </c>
      <c r="B139" s="23">
        <f>+Z139*1</f>
        <v>1154662794</v>
      </c>
      <c r="C139" s="21" t="str">
        <f>+AA139</f>
        <v>ENTRANTE</v>
      </c>
      <c r="D139" s="3" t="str">
        <f>VLOOKUP(Q139,Code!E:F,2,0)</f>
        <v>Admisiones</v>
      </c>
      <c r="E139" s="3" t="s">
        <v>55</v>
      </c>
      <c r="F139" s="3">
        <f>+AP139</f>
        <v>37</v>
      </c>
      <c r="G139" s="3">
        <f>+S139</f>
        <v>26</v>
      </c>
      <c r="H139" s="22">
        <f>+HOUR(V139)</f>
        <v>10</v>
      </c>
      <c r="I139" s="22">
        <f>IFERROR(VLOOKUP(B139,MATRICULAS!A:B,2,0),0)*1</f>
        <v>0</v>
      </c>
      <c r="J139" s="26">
        <v>20260511</v>
      </c>
      <c r="K139" s="26">
        <v>149147487</v>
      </c>
      <c r="L139" s="26" t="s">
        <v>134</v>
      </c>
      <c r="M139" s="26" t="s">
        <v>56</v>
      </c>
      <c r="N139" s="26">
        <v>0</v>
      </c>
      <c r="O139" s="26">
        <v>0</v>
      </c>
      <c r="P139" s="26" t="s">
        <v>57</v>
      </c>
      <c r="Q139" s="26">
        <v>150</v>
      </c>
      <c r="R139" s="26" t="s">
        <v>127</v>
      </c>
      <c r="S139" s="26">
        <v>26</v>
      </c>
      <c r="T139" s="26" t="s">
        <v>58</v>
      </c>
      <c r="U139" s="26" t="s">
        <v>59</v>
      </c>
      <c r="V139" s="28">
        <v>46153.455694444441</v>
      </c>
      <c r="W139" s="28">
        <v>46153.455694444441</v>
      </c>
      <c r="X139" s="28">
        <v>46153.457627314812</v>
      </c>
      <c r="Y139" s="26" t="s">
        <v>117</v>
      </c>
      <c r="Z139" s="26" t="s">
        <v>180</v>
      </c>
      <c r="AA139" s="26" t="s">
        <v>53</v>
      </c>
      <c r="AB139" s="26" t="s">
        <v>60</v>
      </c>
      <c r="AC139" s="26" t="s">
        <v>1109</v>
      </c>
      <c r="AD139" s="26" t="s">
        <v>118</v>
      </c>
      <c r="AE139" s="26" t="s">
        <v>61</v>
      </c>
      <c r="AF139" s="26" t="s">
        <v>62</v>
      </c>
      <c r="AG139" s="26" t="s">
        <v>63</v>
      </c>
      <c r="AH139" s="26">
        <v>0</v>
      </c>
      <c r="AI139" s="26">
        <v>0</v>
      </c>
      <c r="AJ139" s="26">
        <v>0</v>
      </c>
      <c r="AK139" s="26">
        <v>0</v>
      </c>
      <c r="AL139" s="26" t="s">
        <v>64</v>
      </c>
      <c r="AM139" s="26">
        <v>3</v>
      </c>
      <c r="AN139" s="26">
        <v>168</v>
      </c>
      <c r="AO139" s="26" t="s">
        <v>65</v>
      </c>
      <c r="AP139" s="26">
        <v>37</v>
      </c>
      <c r="AQ139" s="26">
        <v>175</v>
      </c>
      <c r="AR139" s="26">
        <v>2305504</v>
      </c>
      <c r="AS139" s="26" t="s">
        <v>118</v>
      </c>
      <c r="AT139" s="26" t="s">
        <v>1110</v>
      </c>
      <c r="AU139" s="29" t="s">
        <v>118</v>
      </c>
    </row>
    <row r="140" spans="1:47" x14ac:dyDescent="0.25">
      <c r="A140" s="7">
        <f>+CONCATENATE(DAY(V140),"/",MONTH(V140),"/",YEAR(V140),"")*1</f>
        <v>46153</v>
      </c>
      <c r="B140" s="23">
        <f>+Z140*1</f>
        <v>2932533562</v>
      </c>
      <c r="C140" s="21" t="str">
        <f>+AA140</f>
        <v>ENTRANTE</v>
      </c>
      <c r="D140" s="3" t="str">
        <f>VLOOKUP(Q140,Code!E:F,2,0)</f>
        <v>Admisiones</v>
      </c>
      <c r="E140" s="3" t="s">
        <v>55</v>
      </c>
      <c r="F140" s="3">
        <f>+AP140</f>
        <v>37</v>
      </c>
      <c r="G140" s="3">
        <f>+S140</f>
        <v>26</v>
      </c>
      <c r="H140" s="22">
        <f>+HOUR(V140)</f>
        <v>10</v>
      </c>
      <c r="I140" s="22">
        <f>IFERROR(VLOOKUP(B140,MATRICULAS!A:B,2,0),0)*1</f>
        <v>0</v>
      </c>
      <c r="J140" s="27">
        <v>20260511</v>
      </c>
      <c r="K140" s="27">
        <v>149146489</v>
      </c>
      <c r="L140" s="27" t="s">
        <v>134</v>
      </c>
      <c r="M140" s="27" t="s">
        <v>56</v>
      </c>
      <c r="N140" s="27">
        <v>0</v>
      </c>
      <c r="O140" s="27">
        <v>0</v>
      </c>
      <c r="P140" s="27" t="s">
        <v>57</v>
      </c>
      <c r="Q140" s="27">
        <v>150</v>
      </c>
      <c r="R140" s="27" t="s">
        <v>145</v>
      </c>
      <c r="S140" s="27">
        <v>26</v>
      </c>
      <c r="T140" s="27" t="s">
        <v>58</v>
      </c>
      <c r="U140" s="27" t="s">
        <v>59</v>
      </c>
      <c r="V140" s="30">
        <v>46153.439212962963</v>
      </c>
      <c r="W140" s="30">
        <v>46153.439212962963</v>
      </c>
      <c r="X140" s="30">
        <v>46153.446261574078</v>
      </c>
      <c r="Y140" s="27" t="s">
        <v>117</v>
      </c>
      <c r="Z140" s="27" t="s">
        <v>1111</v>
      </c>
      <c r="AA140" s="27" t="s">
        <v>53</v>
      </c>
      <c r="AB140" s="27" t="s">
        <v>60</v>
      </c>
      <c r="AC140" s="27" t="s">
        <v>1112</v>
      </c>
      <c r="AD140" s="27" t="s">
        <v>118</v>
      </c>
      <c r="AE140" s="27" t="s">
        <v>61</v>
      </c>
      <c r="AF140" s="27" t="s">
        <v>62</v>
      </c>
      <c r="AG140" s="27" t="s">
        <v>63</v>
      </c>
      <c r="AH140" s="27">
        <v>0</v>
      </c>
      <c r="AI140" s="27">
        <v>0</v>
      </c>
      <c r="AJ140" s="27">
        <v>0</v>
      </c>
      <c r="AK140" s="27">
        <v>0</v>
      </c>
      <c r="AL140" s="27" t="s">
        <v>64</v>
      </c>
      <c r="AM140" s="27">
        <v>3</v>
      </c>
      <c r="AN140" s="27">
        <v>610</v>
      </c>
      <c r="AO140" s="27" t="s">
        <v>65</v>
      </c>
      <c r="AP140" s="27">
        <v>37</v>
      </c>
      <c r="AQ140" s="27">
        <v>1</v>
      </c>
      <c r="AR140" s="27">
        <v>1809820</v>
      </c>
      <c r="AS140" s="27" t="s">
        <v>1113</v>
      </c>
      <c r="AT140" s="27" t="s">
        <v>1114</v>
      </c>
      <c r="AU140" s="31" t="s">
        <v>118</v>
      </c>
    </row>
    <row r="141" spans="1:47" x14ac:dyDescent="0.25">
      <c r="A141" s="7">
        <f>+CONCATENATE(DAY(V141),"/",MONTH(V141),"/",YEAR(V141),"")*1</f>
        <v>46153</v>
      </c>
      <c r="B141" s="23">
        <f>+Z141*1</f>
        <v>1153405953</v>
      </c>
      <c r="C141" s="21" t="str">
        <f>+AA141</f>
        <v>ENTRANTE</v>
      </c>
      <c r="D141" s="3" t="str">
        <f>VLOOKUP(Q141,Code!E:F,2,0)</f>
        <v>Admisiones</v>
      </c>
      <c r="E141" s="3" t="s">
        <v>55</v>
      </c>
      <c r="F141" s="3">
        <f>+AP141</f>
        <v>37</v>
      </c>
      <c r="G141" s="3">
        <f>+S141</f>
        <v>26</v>
      </c>
      <c r="H141" s="22">
        <f>+HOUR(V141)</f>
        <v>10</v>
      </c>
      <c r="I141" s="22">
        <f>IFERROR(VLOOKUP(B141,MATRICULAS!A:B,2,0),0)*1</f>
        <v>0</v>
      </c>
      <c r="J141" s="26">
        <v>20260511</v>
      </c>
      <c r="K141" s="26">
        <v>149146017</v>
      </c>
      <c r="L141" s="26" t="s">
        <v>134</v>
      </c>
      <c r="M141" s="26" t="s">
        <v>56</v>
      </c>
      <c r="N141" s="26">
        <v>0</v>
      </c>
      <c r="O141" s="26">
        <v>0</v>
      </c>
      <c r="P141" s="26" t="s">
        <v>57</v>
      </c>
      <c r="Q141" s="26">
        <v>150</v>
      </c>
      <c r="R141" s="26" t="s">
        <v>145</v>
      </c>
      <c r="S141" s="26">
        <v>26</v>
      </c>
      <c r="T141" s="26" t="s">
        <v>58</v>
      </c>
      <c r="U141" s="26" t="s">
        <v>59</v>
      </c>
      <c r="V141" s="28">
        <v>46153.429282407407</v>
      </c>
      <c r="W141" s="28">
        <v>46153.429282407407</v>
      </c>
      <c r="X141" s="28">
        <v>46153.431030092594</v>
      </c>
      <c r="Y141" s="26" t="s">
        <v>117</v>
      </c>
      <c r="Z141" s="26" t="s">
        <v>1115</v>
      </c>
      <c r="AA141" s="26" t="s">
        <v>53</v>
      </c>
      <c r="AB141" s="26" t="s">
        <v>60</v>
      </c>
      <c r="AC141" s="26" t="s">
        <v>1116</v>
      </c>
      <c r="AD141" s="26" t="s">
        <v>118</v>
      </c>
      <c r="AE141" s="26" t="s">
        <v>61</v>
      </c>
      <c r="AF141" s="26" t="s">
        <v>62</v>
      </c>
      <c r="AG141" s="26" t="s">
        <v>63</v>
      </c>
      <c r="AH141" s="26">
        <v>0</v>
      </c>
      <c r="AI141" s="26">
        <v>0</v>
      </c>
      <c r="AJ141" s="26">
        <v>0</v>
      </c>
      <c r="AK141" s="26">
        <v>0</v>
      </c>
      <c r="AL141" s="26" t="s">
        <v>64</v>
      </c>
      <c r="AM141" s="26">
        <v>3</v>
      </c>
      <c r="AN141" s="26">
        <v>152</v>
      </c>
      <c r="AO141" s="26" t="s">
        <v>65</v>
      </c>
      <c r="AP141" s="26">
        <v>37</v>
      </c>
      <c r="AQ141" s="26">
        <v>1</v>
      </c>
      <c r="AR141" s="26">
        <v>1511200</v>
      </c>
      <c r="AS141" s="26" t="s">
        <v>1117</v>
      </c>
      <c r="AT141" s="26" t="s">
        <v>1118</v>
      </c>
      <c r="AU141" s="29" t="s">
        <v>118</v>
      </c>
    </row>
    <row r="142" spans="1:47" x14ac:dyDescent="0.25">
      <c r="A142" s="7">
        <f>+CONCATENATE(DAY(V142),"/",MONTH(V142),"/",YEAR(V142),"")*1</f>
        <v>46153</v>
      </c>
      <c r="B142" s="23">
        <f>+Z142*1</f>
        <v>2974330207</v>
      </c>
      <c r="C142" s="21" t="str">
        <f>+AA142</f>
        <v>ENTRANTE</v>
      </c>
      <c r="D142" s="3" t="str">
        <f>VLOOKUP(Q142,Code!E:F,2,0)</f>
        <v>Admisiones</v>
      </c>
      <c r="E142" s="3" t="s">
        <v>55</v>
      </c>
      <c r="F142" s="3">
        <f>+AP142</f>
        <v>37</v>
      </c>
      <c r="G142" s="3">
        <f>+S142</f>
        <v>26</v>
      </c>
      <c r="H142" s="22">
        <f>+HOUR(V142)</f>
        <v>10</v>
      </c>
      <c r="I142" s="22">
        <f>IFERROR(VLOOKUP(B142,MATRICULAS!A:B,2,0),0)*1</f>
        <v>0</v>
      </c>
      <c r="J142" s="26">
        <v>20260511</v>
      </c>
      <c r="K142" s="26">
        <v>149145648</v>
      </c>
      <c r="L142" s="26" t="s">
        <v>134</v>
      </c>
      <c r="M142" s="26" t="s">
        <v>56</v>
      </c>
      <c r="N142" s="26">
        <v>0</v>
      </c>
      <c r="O142" s="26">
        <v>0</v>
      </c>
      <c r="P142" s="26" t="s">
        <v>57</v>
      </c>
      <c r="Q142" s="26">
        <v>150</v>
      </c>
      <c r="R142" s="26" t="s">
        <v>127</v>
      </c>
      <c r="S142" s="26">
        <v>26</v>
      </c>
      <c r="T142" s="26" t="s">
        <v>58</v>
      </c>
      <c r="U142" s="26" t="s">
        <v>59</v>
      </c>
      <c r="V142" s="28">
        <v>46153.421041666668</v>
      </c>
      <c r="W142" s="28">
        <v>46153.421041666668</v>
      </c>
      <c r="X142" s="28">
        <v>46153.426053240742</v>
      </c>
      <c r="Y142" s="26" t="s">
        <v>117</v>
      </c>
      <c r="Z142" s="26" t="s">
        <v>1119</v>
      </c>
      <c r="AA142" s="26" t="s">
        <v>53</v>
      </c>
      <c r="AB142" s="26" t="s">
        <v>60</v>
      </c>
      <c r="AC142" s="26" t="s">
        <v>1120</v>
      </c>
      <c r="AD142" s="26" t="s">
        <v>118</v>
      </c>
      <c r="AE142" s="26" t="s">
        <v>61</v>
      </c>
      <c r="AF142" s="26" t="s">
        <v>62</v>
      </c>
      <c r="AG142" s="26" t="s">
        <v>63</v>
      </c>
      <c r="AH142" s="26">
        <v>0</v>
      </c>
      <c r="AI142" s="26">
        <v>0</v>
      </c>
      <c r="AJ142" s="26">
        <v>0</v>
      </c>
      <c r="AK142" s="26">
        <v>0</v>
      </c>
      <c r="AL142" s="26" t="s">
        <v>64</v>
      </c>
      <c r="AM142" s="26">
        <v>3</v>
      </c>
      <c r="AN142" s="26">
        <v>433</v>
      </c>
      <c r="AO142" s="26" t="s">
        <v>65</v>
      </c>
      <c r="AP142" s="26">
        <v>37</v>
      </c>
      <c r="AQ142" s="26">
        <v>201</v>
      </c>
      <c r="AR142" s="26">
        <v>2493452</v>
      </c>
      <c r="AS142" s="26" t="s">
        <v>118</v>
      </c>
      <c r="AT142" s="26" t="s">
        <v>1121</v>
      </c>
      <c r="AU142" s="29" t="s">
        <v>118</v>
      </c>
    </row>
    <row r="143" spans="1:47" x14ac:dyDescent="0.25">
      <c r="A143" s="7">
        <f>+CONCATENATE(DAY(V143),"/",MONTH(V143),"/",YEAR(V143),"")*1</f>
        <v>46153</v>
      </c>
      <c r="B143" s="23">
        <f>+Z143*1</f>
        <v>3586013671</v>
      </c>
      <c r="C143" s="21" t="str">
        <f>+AA143</f>
        <v>ENTRANTE</v>
      </c>
      <c r="D143" s="3" t="str">
        <f>VLOOKUP(Q143,Code!E:F,2,0)</f>
        <v>Admisiones</v>
      </c>
      <c r="E143" s="3" t="s">
        <v>55</v>
      </c>
      <c r="F143" s="3">
        <f>+AP143</f>
        <v>37</v>
      </c>
      <c r="G143" s="3">
        <f>+S143</f>
        <v>26</v>
      </c>
      <c r="H143" s="22">
        <f>+HOUR(V143)</f>
        <v>9</v>
      </c>
      <c r="I143" s="22">
        <f>IFERROR(VLOOKUP(B143,MATRICULAS!A:B,2,0),0)*1</f>
        <v>0</v>
      </c>
      <c r="J143" s="26">
        <v>20260511</v>
      </c>
      <c r="K143" s="26">
        <v>149144974</v>
      </c>
      <c r="L143" s="26" t="s">
        <v>134</v>
      </c>
      <c r="M143" s="26" t="s">
        <v>56</v>
      </c>
      <c r="N143" s="26">
        <v>0</v>
      </c>
      <c r="O143" s="26">
        <v>0</v>
      </c>
      <c r="P143" s="26" t="s">
        <v>57</v>
      </c>
      <c r="Q143" s="26">
        <v>150</v>
      </c>
      <c r="R143" s="26" t="s">
        <v>145</v>
      </c>
      <c r="S143" s="26">
        <v>26</v>
      </c>
      <c r="T143" s="26" t="s">
        <v>58</v>
      </c>
      <c r="U143" s="26" t="s">
        <v>59</v>
      </c>
      <c r="V143" s="28">
        <v>46153.403726851851</v>
      </c>
      <c r="W143" s="28">
        <v>46153.403726851851</v>
      </c>
      <c r="X143" s="28">
        <v>46153.40452546296</v>
      </c>
      <c r="Y143" s="26" t="s">
        <v>117</v>
      </c>
      <c r="Z143" s="26" t="s">
        <v>1122</v>
      </c>
      <c r="AA143" s="26" t="s">
        <v>53</v>
      </c>
      <c r="AB143" s="26" t="s">
        <v>60</v>
      </c>
      <c r="AC143" s="26" t="s">
        <v>1123</v>
      </c>
      <c r="AD143" s="26" t="s">
        <v>118</v>
      </c>
      <c r="AE143" s="26" t="s">
        <v>61</v>
      </c>
      <c r="AF143" s="26" t="s">
        <v>62</v>
      </c>
      <c r="AG143" s="26" t="s">
        <v>63</v>
      </c>
      <c r="AH143" s="26">
        <v>0</v>
      </c>
      <c r="AI143" s="26">
        <v>0</v>
      </c>
      <c r="AJ143" s="26">
        <v>0</v>
      </c>
      <c r="AK143" s="26">
        <v>0</v>
      </c>
      <c r="AL143" s="26" t="s">
        <v>64</v>
      </c>
      <c r="AM143" s="26">
        <v>3</v>
      </c>
      <c r="AN143" s="26">
        <v>70</v>
      </c>
      <c r="AO143" s="26" t="s">
        <v>65</v>
      </c>
      <c r="AP143" s="26">
        <v>37</v>
      </c>
      <c r="AQ143" s="26">
        <v>201</v>
      </c>
      <c r="AR143" s="26">
        <v>2492495</v>
      </c>
      <c r="AS143" s="26" t="s">
        <v>118</v>
      </c>
      <c r="AT143" s="26" t="s">
        <v>1124</v>
      </c>
      <c r="AU143" s="29" t="s">
        <v>118</v>
      </c>
    </row>
    <row r="144" spans="1:47" x14ac:dyDescent="0.25">
      <c r="A144" s="7">
        <f>+CONCATENATE(DAY(V144),"/",MONTH(V144),"/",YEAR(V144),"")*1</f>
        <v>46153</v>
      </c>
      <c r="B144" s="23">
        <f>+Z144*1</f>
        <v>1169416910</v>
      </c>
      <c r="C144" s="21" t="str">
        <f>+AA144</f>
        <v>ENTRANTE</v>
      </c>
      <c r="D144" s="3" t="str">
        <f>VLOOKUP(Q144,Code!E:F,2,0)</f>
        <v>Admisiones</v>
      </c>
      <c r="E144" s="3" t="s">
        <v>55</v>
      </c>
      <c r="F144" s="3">
        <f>+AP144</f>
        <v>37</v>
      </c>
      <c r="G144" s="3">
        <f>+S144</f>
        <v>26</v>
      </c>
      <c r="H144" s="22">
        <f>+HOUR(V144)</f>
        <v>9</v>
      </c>
      <c r="I144" s="22">
        <f>IFERROR(VLOOKUP(B144,MATRICULAS!A:B,2,0),0)*1</f>
        <v>0</v>
      </c>
      <c r="J144" s="27">
        <v>20260511</v>
      </c>
      <c r="K144" s="27">
        <v>149144365</v>
      </c>
      <c r="L144" s="27" t="s">
        <v>134</v>
      </c>
      <c r="M144" s="27" t="s">
        <v>56</v>
      </c>
      <c r="N144" s="27">
        <v>0</v>
      </c>
      <c r="O144" s="27">
        <v>0</v>
      </c>
      <c r="P144" s="27" t="s">
        <v>57</v>
      </c>
      <c r="Q144" s="27">
        <v>150</v>
      </c>
      <c r="R144" s="27" t="s">
        <v>145</v>
      </c>
      <c r="S144" s="27">
        <v>26</v>
      </c>
      <c r="T144" s="27" t="s">
        <v>58</v>
      </c>
      <c r="U144" s="27" t="s">
        <v>59</v>
      </c>
      <c r="V144" s="30">
        <v>46153.384918981479</v>
      </c>
      <c r="W144" s="30">
        <v>46153.384918981479</v>
      </c>
      <c r="X144" s="30">
        <v>46153.387349537035</v>
      </c>
      <c r="Y144" s="27" t="s">
        <v>117</v>
      </c>
      <c r="Z144" s="27" t="s">
        <v>1125</v>
      </c>
      <c r="AA144" s="27" t="s">
        <v>53</v>
      </c>
      <c r="AB144" s="27" t="s">
        <v>60</v>
      </c>
      <c r="AC144" s="27" t="s">
        <v>1126</v>
      </c>
      <c r="AD144" s="27" t="s">
        <v>118</v>
      </c>
      <c r="AE144" s="27" t="s">
        <v>61</v>
      </c>
      <c r="AF144" s="27" t="s">
        <v>62</v>
      </c>
      <c r="AG144" s="27" t="s">
        <v>63</v>
      </c>
      <c r="AH144" s="27">
        <v>0</v>
      </c>
      <c r="AI144" s="27">
        <v>0</v>
      </c>
      <c r="AJ144" s="27">
        <v>0</v>
      </c>
      <c r="AK144" s="27">
        <v>0</v>
      </c>
      <c r="AL144" s="27" t="s">
        <v>64</v>
      </c>
      <c r="AM144" s="27">
        <v>3</v>
      </c>
      <c r="AN144" s="27">
        <v>211</v>
      </c>
      <c r="AO144" s="27" t="s">
        <v>65</v>
      </c>
      <c r="AP144" s="27">
        <v>37</v>
      </c>
      <c r="AQ144" s="27">
        <v>1</v>
      </c>
      <c r="AR144" s="27">
        <v>2493743</v>
      </c>
      <c r="AS144" s="27" t="s">
        <v>118</v>
      </c>
      <c r="AT144" s="27" t="s">
        <v>1127</v>
      </c>
      <c r="AU144" s="31" t="s">
        <v>118</v>
      </c>
    </row>
    <row r="145" spans="1:47" x14ac:dyDescent="0.25">
      <c r="A145" s="7">
        <f>+CONCATENATE(DAY(V145),"/",MONTH(V145),"/",YEAR(V145),"")*1</f>
        <v>46154</v>
      </c>
      <c r="B145" s="23">
        <f>+Z145*1</f>
        <v>1151817270</v>
      </c>
      <c r="C145" s="21" t="str">
        <f>+AA145</f>
        <v>ENTRANTE</v>
      </c>
      <c r="D145" s="3" t="str">
        <f>VLOOKUP(Q145,Code!E:F,2,0)</f>
        <v>Admisiones</v>
      </c>
      <c r="E145" s="3" t="s">
        <v>55</v>
      </c>
      <c r="F145" s="3">
        <f>+AP145</f>
        <v>37</v>
      </c>
      <c r="G145" s="3">
        <f>+S145</f>
        <v>27</v>
      </c>
      <c r="H145" s="22">
        <f>+HOUR(V145)</f>
        <v>20</v>
      </c>
      <c r="I145" s="22">
        <f>IFERROR(VLOOKUP(B145,MATRICULAS!A:B,2,0),0)*1</f>
        <v>0</v>
      </c>
      <c r="J145" s="27">
        <v>20260512</v>
      </c>
      <c r="K145" s="27">
        <v>149182730</v>
      </c>
      <c r="L145" s="27" t="s">
        <v>134</v>
      </c>
      <c r="M145" s="27" t="s">
        <v>56</v>
      </c>
      <c r="N145" s="27">
        <v>0</v>
      </c>
      <c r="O145" s="27">
        <v>0</v>
      </c>
      <c r="P145" s="27" t="s">
        <v>57</v>
      </c>
      <c r="Q145" s="27">
        <v>150</v>
      </c>
      <c r="R145" s="27" t="s">
        <v>163</v>
      </c>
      <c r="S145" s="27">
        <v>27</v>
      </c>
      <c r="T145" s="27" t="s">
        <v>58</v>
      </c>
      <c r="U145" s="27" t="s">
        <v>59</v>
      </c>
      <c r="V145" s="30">
        <v>46154.847777777781</v>
      </c>
      <c r="W145" s="30">
        <v>46154.847777777781</v>
      </c>
      <c r="X145" s="30">
        <v>46154.850624999999</v>
      </c>
      <c r="Y145" s="27" t="s">
        <v>117</v>
      </c>
      <c r="Z145" s="27" t="s">
        <v>977</v>
      </c>
      <c r="AA145" s="27" t="s">
        <v>53</v>
      </c>
      <c r="AB145" s="27" t="s">
        <v>60</v>
      </c>
      <c r="AC145" s="27" t="s">
        <v>978</v>
      </c>
      <c r="AD145" s="27" t="s">
        <v>118</v>
      </c>
      <c r="AE145" s="27" t="s">
        <v>61</v>
      </c>
      <c r="AF145" s="27" t="s">
        <v>62</v>
      </c>
      <c r="AG145" s="27" t="s">
        <v>63</v>
      </c>
      <c r="AH145" s="27">
        <v>0</v>
      </c>
      <c r="AI145" s="27">
        <v>0</v>
      </c>
      <c r="AJ145" s="27">
        <v>0</v>
      </c>
      <c r="AK145" s="27">
        <v>0</v>
      </c>
      <c r="AL145" s="27" t="s">
        <v>64</v>
      </c>
      <c r="AM145" s="27">
        <v>3</v>
      </c>
      <c r="AN145" s="27">
        <v>247</v>
      </c>
      <c r="AO145" s="27" t="s">
        <v>65</v>
      </c>
      <c r="AP145" s="27">
        <v>37</v>
      </c>
      <c r="AQ145" s="27">
        <v>201</v>
      </c>
      <c r="AR145" s="27">
        <v>2494621</v>
      </c>
      <c r="AS145" s="27" t="s">
        <v>118</v>
      </c>
      <c r="AT145" s="27" t="s">
        <v>979</v>
      </c>
      <c r="AU145" s="31" t="s">
        <v>118</v>
      </c>
    </row>
    <row r="146" spans="1:47" x14ac:dyDescent="0.25">
      <c r="A146" s="7">
        <f>+CONCATENATE(DAY(V146),"/",MONTH(V146),"/",YEAR(V146),"")*1</f>
        <v>46154</v>
      </c>
      <c r="B146" s="23">
        <f>+Z146*1</f>
        <v>2994388062</v>
      </c>
      <c r="C146" s="21" t="str">
        <f>+AA146</f>
        <v>ENTRANTE</v>
      </c>
      <c r="D146" s="3" t="str">
        <f>VLOOKUP(Q146,Code!E:F,2,0)</f>
        <v>Admisiones</v>
      </c>
      <c r="E146" s="3" t="s">
        <v>55</v>
      </c>
      <c r="F146" s="3">
        <f>+AP146</f>
        <v>37</v>
      </c>
      <c r="G146" s="3">
        <f>+S146</f>
        <v>27</v>
      </c>
      <c r="H146" s="22">
        <f>+HOUR(V146)</f>
        <v>19</v>
      </c>
      <c r="I146" s="22">
        <f>IFERROR(VLOOKUP(B146,MATRICULAS!A:B,2,0),0)*1</f>
        <v>0</v>
      </c>
      <c r="J146" s="27">
        <v>20260512</v>
      </c>
      <c r="K146" s="27">
        <v>149181535</v>
      </c>
      <c r="L146" s="27" t="s">
        <v>134</v>
      </c>
      <c r="M146" s="27" t="s">
        <v>56</v>
      </c>
      <c r="N146" s="27">
        <v>0</v>
      </c>
      <c r="O146" s="27">
        <v>0</v>
      </c>
      <c r="P146" s="27" t="s">
        <v>57</v>
      </c>
      <c r="Q146" s="27">
        <v>150</v>
      </c>
      <c r="R146" s="27" t="s">
        <v>174</v>
      </c>
      <c r="S146" s="27">
        <v>27</v>
      </c>
      <c r="T146" s="27" t="s">
        <v>58</v>
      </c>
      <c r="U146" s="27" t="s">
        <v>59</v>
      </c>
      <c r="V146" s="30">
        <v>46154.814155092594</v>
      </c>
      <c r="W146" s="30">
        <v>46154.814155092594</v>
      </c>
      <c r="X146" s="30">
        <v>46154.815428240741</v>
      </c>
      <c r="Y146" s="27" t="s">
        <v>117</v>
      </c>
      <c r="Z146" s="27" t="s">
        <v>980</v>
      </c>
      <c r="AA146" s="27" t="s">
        <v>53</v>
      </c>
      <c r="AB146" s="27" t="s">
        <v>60</v>
      </c>
      <c r="AC146" s="27" t="s">
        <v>981</v>
      </c>
      <c r="AD146" s="27" t="s">
        <v>118</v>
      </c>
      <c r="AE146" s="27" t="s">
        <v>61</v>
      </c>
      <c r="AF146" s="27" t="s">
        <v>62</v>
      </c>
      <c r="AG146" s="27" t="s">
        <v>63</v>
      </c>
      <c r="AH146" s="27">
        <v>0</v>
      </c>
      <c r="AI146" s="27">
        <v>0</v>
      </c>
      <c r="AJ146" s="27">
        <v>0</v>
      </c>
      <c r="AK146" s="27">
        <v>0</v>
      </c>
      <c r="AL146" s="27" t="s">
        <v>64</v>
      </c>
      <c r="AM146" s="27">
        <v>3</v>
      </c>
      <c r="AN146" s="27">
        <v>110</v>
      </c>
      <c r="AO146" s="27" t="s">
        <v>65</v>
      </c>
      <c r="AP146" s="27">
        <v>37</v>
      </c>
      <c r="AQ146" s="27">
        <v>175</v>
      </c>
      <c r="AR146" s="27">
        <v>2287477</v>
      </c>
      <c r="AS146" s="27" t="s">
        <v>118</v>
      </c>
      <c r="AT146" s="27" t="s">
        <v>982</v>
      </c>
      <c r="AU146" s="31" t="s">
        <v>118</v>
      </c>
    </row>
    <row r="147" spans="1:47" x14ac:dyDescent="0.25">
      <c r="A147" s="7">
        <f>+CONCATENATE(DAY(V147),"/",MONTH(V147),"/",YEAR(V147),"")*1</f>
        <v>46154</v>
      </c>
      <c r="B147" s="23">
        <f>+Z147*1</f>
        <v>1141295200</v>
      </c>
      <c r="C147" s="21" t="str">
        <f>+AA147</f>
        <v>ENTRANTE</v>
      </c>
      <c r="D147" s="3" t="str">
        <f>VLOOKUP(Q147,Code!E:F,2,0)</f>
        <v>Admisiones</v>
      </c>
      <c r="E147" s="3" t="s">
        <v>55</v>
      </c>
      <c r="F147" s="3">
        <f>+AP147</f>
        <v>37</v>
      </c>
      <c r="G147" s="3">
        <f>+S147</f>
        <v>27</v>
      </c>
      <c r="H147" s="22">
        <f>+HOUR(V147)</f>
        <v>19</v>
      </c>
      <c r="I147" s="22">
        <f>IFERROR(VLOOKUP(B147,MATRICULAS!A:B,2,0),0)*1</f>
        <v>0</v>
      </c>
      <c r="J147" s="26">
        <v>20260512</v>
      </c>
      <c r="K147" s="26">
        <v>149181348</v>
      </c>
      <c r="L147" s="26" t="s">
        <v>134</v>
      </c>
      <c r="M147" s="26" t="s">
        <v>56</v>
      </c>
      <c r="N147" s="26">
        <v>0</v>
      </c>
      <c r="O147" s="26">
        <v>0</v>
      </c>
      <c r="P147" s="26" t="s">
        <v>57</v>
      </c>
      <c r="Q147" s="26">
        <v>150</v>
      </c>
      <c r="R147" s="26" t="s">
        <v>152</v>
      </c>
      <c r="S147" s="26">
        <v>27</v>
      </c>
      <c r="T147" s="26" t="s">
        <v>58</v>
      </c>
      <c r="U147" s="26" t="s">
        <v>59</v>
      </c>
      <c r="V147" s="28">
        <v>46154.808958333335</v>
      </c>
      <c r="W147" s="28">
        <v>46154.808958333335</v>
      </c>
      <c r="X147" s="28">
        <v>46154.813136574077</v>
      </c>
      <c r="Y147" s="26" t="s">
        <v>117</v>
      </c>
      <c r="Z147" s="26" t="s">
        <v>983</v>
      </c>
      <c r="AA147" s="26" t="s">
        <v>53</v>
      </c>
      <c r="AB147" s="26" t="s">
        <v>60</v>
      </c>
      <c r="AC147" s="26" t="s">
        <v>984</v>
      </c>
      <c r="AD147" s="26" t="s">
        <v>118</v>
      </c>
      <c r="AE147" s="26" t="s">
        <v>66</v>
      </c>
      <c r="AF147" s="26" t="s">
        <v>67</v>
      </c>
      <c r="AG147" s="26" t="s">
        <v>67</v>
      </c>
      <c r="AH147" s="26">
        <v>0</v>
      </c>
      <c r="AI147" s="26">
        <v>0</v>
      </c>
      <c r="AJ147" s="26">
        <v>0</v>
      </c>
      <c r="AK147" s="26">
        <v>0</v>
      </c>
      <c r="AL147" s="26" t="s">
        <v>64</v>
      </c>
      <c r="AM147" s="26">
        <v>3</v>
      </c>
      <c r="AN147" s="26">
        <v>362</v>
      </c>
      <c r="AO147" s="26" t="s">
        <v>65</v>
      </c>
      <c r="AP147" s="26">
        <v>37</v>
      </c>
      <c r="AQ147" s="26">
        <v>0</v>
      </c>
      <c r="AR147" s="26">
        <v>0</v>
      </c>
      <c r="AS147" s="26" t="s">
        <v>118</v>
      </c>
      <c r="AT147" s="26" t="s">
        <v>985</v>
      </c>
      <c r="AU147" s="29" t="s">
        <v>118</v>
      </c>
    </row>
    <row r="148" spans="1:47" x14ac:dyDescent="0.25">
      <c r="A148" s="7">
        <f>+CONCATENATE(DAY(V148),"/",MONTH(V148),"/",YEAR(V148),"")*1</f>
        <v>46154</v>
      </c>
      <c r="B148" s="23">
        <f>+Z148*1</f>
        <v>1125639450</v>
      </c>
      <c r="C148" s="21" t="str">
        <f>+AA148</f>
        <v>ENTRANTE</v>
      </c>
      <c r="D148" s="3" t="str">
        <f>VLOOKUP(Q148,Code!E:F,2,0)</f>
        <v>Admisiones</v>
      </c>
      <c r="E148" s="3" t="s">
        <v>55</v>
      </c>
      <c r="F148" s="3">
        <f>+AP148</f>
        <v>37</v>
      </c>
      <c r="G148" s="3">
        <f>+S148</f>
        <v>27</v>
      </c>
      <c r="H148" s="22">
        <f>+HOUR(V148)</f>
        <v>19</v>
      </c>
      <c r="I148" s="22">
        <f>IFERROR(VLOOKUP(B148,MATRICULAS!A:B,2,0),0)*1</f>
        <v>0</v>
      </c>
      <c r="J148" s="27">
        <v>20260512</v>
      </c>
      <c r="K148" s="27">
        <v>149181283</v>
      </c>
      <c r="L148" s="27" t="s">
        <v>134</v>
      </c>
      <c r="M148" s="27" t="s">
        <v>56</v>
      </c>
      <c r="N148" s="27">
        <v>0</v>
      </c>
      <c r="O148" s="27">
        <v>0</v>
      </c>
      <c r="P148" s="27" t="s">
        <v>57</v>
      </c>
      <c r="Q148" s="27">
        <v>150</v>
      </c>
      <c r="R148" s="27" t="s">
        <v>163</v>
      </c>
      <c r="S148" s="27">
        <v>27</v>
      </c>
      <c r="T148" s="27" t="s">
        <v>58</v>
      </c>
      <c r="U148" s="27" t="s">
        <v>59</v>
      </c>
      <c r="V148" s="30">
        <v>46154.806817129633</v>
      </c>
      <c r="W148" s="30">
        <v>46154.806817129633</v>
      </c>
      <c r="X148" s="30">
        <v>46154.811909722222</v>
      </c>
      <c r="Y148" s="27" t="s">
        <v>117</v>
      </c>
      <c r="Z148" s="27" t="s">
        <v>986</v>
      </c>
      <c r="AA148" s="27" t="s">
        <v>53</v>
      </c>
      <c r="AB148" s="27" t="s">
        <v>60</v>
      </c>
      <c r="AC148" s="27" t="s">
        <v>987</v>
      </c>
      <c r="AD148" s="27" t="s">
        <v>118</v>
      </c>
      <c r="AE148" s="27" t="s">
        <v>66</v>
      </c>
      <c r="AF148" s="27" t="s">
        <v>67</v>
      </c>
      <c r="AG148" s="27" t="s">
        <v>67</v>
      </c>
      <c r="AH148" s="27">
        <v>0</v>
      </c>
      <c r="AI148" s="27">
        <v>0</v>
      </c>
      <c r="AJ148" s="27">
        <v>0</v>
      </c>
      <c r="AK148" s="27">
        <v>0</v>
      </c>
      <c r="AL148" s="27" t="s">
        <v>64</v>
      </c>
      <c r="AM148" s="27">
        <v>3</v>
      </c>
      <c r="AN148" s="27">
        <v>441</v>
      </c>
      <c r="AO148" s="27" t="s">
        <v>65</v>
      </c>
      <c r="AP148" s="27">
        <v>37</v>
      </c>
      <c r="AQ148" s="27">
        <v>201</v>
      </c>
      <c r="AR148" s="27">
        <v>2494891</v>
      </c>
      <c r="AS148" s="27" t="s">
        <v>118</v>
      </c>
      <c r="AT148" s="27" t="s">
        <v>988</v>
      </c>
      <c r="AU148" s="31" t="s">
        <v>118</v>
      </c>
    </row>
    <row r="149" spans="1:47" x14ac:dyDescent="0.25">
      <c r="A149" s="7">
        <f>+CONCATENATE(DAY(V149),"/",MONTH(V149),"/",YEAR(V149),"")*1</f>
        <v>46154</v>
      </c>
      <c r="B149" s="23">
        <f>+Z149*1</f>
        <v>1125770660</v>
      </c>
      <c r="C149" s="21" t="str">
        <f>+AA149</f>
        <v>ENTRANTE</v>
      </c>
      <c r="D149" s="3" t="str">
        <f>VLOOKUP(Q149,Code!E:F,2,0)</f>
        <v>Admisiones</v>
      </c>
      <c r="E149" s="3" t="s">
        <v>55</v>
      </c>
      <c r="F149" s="3">
        <f>+AP149</f>
        <v>37</v>
      </c>
      <c r="G149" s="3">
        <f>+S149</f>
        <v>27</v>
      </c>
      <c r="H149" s="22">
        <f>+HOUR(V149)</f>
        <v>18</v>
      </c>
      <c r="I149" s="22">
        <f>IFERROR(VLOOKUP(B149,MATRICULAS!A:B,2,0),0)*1</f>
        <v>0</v>
      </c>
      <c r="J149" s="26">
        <v>20260512</v>
      </c>
      <c r="K149" s="26">
        <v>149179840</v>
      </c>
      <c r="L149" s="26" t="s">
        <v>134</v>
      </c>
      <c r="M149" s="26" t="s">
        <v>56</v>
      </c>
      <c r="N149" s="26">
        <v>0</v>
      </c>
      <c r="O149" s="26">
        <v>0</v>
      </c>
      <c r="P149" s="26" t="s">
        <v>57</v>
      </c>
      <c r="Q149" s="26">
        <v>150</v>
      </c>
      <c r="R149" s="26" t="s">
        <v>163</v>
      </c>
      <c r="S149" s="26">
        <v>27</v>
      </c>
      <c r="T149" s="26" t="s">
        <v>58</v>
      </c>
      <c r="U149" s="26" t="s">
        <v>59</v>
      </c>
      <c r="V149" s="28">
        <v>46154.759652777779</v>
      </c>
      <c r="W149" s="28">
        <v>46154.759652777779</v>
      </c>
      <c r="X149" s="28">
        <v>46154.763310185182</v>
      </c>
      <c r="Y149" s="26" t="s">
        <v>117</v>
      </c>
      <c r="Z149" s="26" t="s">
        <v>989</v>
      </c>
      <c r="AA149" s="26" t="s">
        <v>53</v>
      </c>
      <c r="AB149" s="26" t="s">
        <v>60</v>
      </c>
      <c r="AC149" s="26" t="s">
        <v>990</v>
      </c>
      <c r="AD149" s="26" t="s">
        <v>118</v>
      </c>
      <c r="AE149" s="26" t="s">
        <v>66</v>
      </c>
      <c r="AF149" s="26" t="s">
        <v>67</v>
      </c>
      <c r="AG149" s="26" t="s">
        <v>67</v>
      </c>
      <c r="AH149" s="26">
        <v>0</v>
      </c>
      <c r="AI149" s="26">
        <v>0</v>
      </c>
      <c r="AJ149" s="26">
        <v>0</v>
      </c>
      <c r="AK149" s="26">
        <v>0</v>
      </c>
      <c r="AL149" s="26" t="s">
        <v>64</v>
      </c>
      <c r="AM149" s="26">
        <v>3</v>
      </c>
      <c r="AN149" s="26">
        <v>316</v>
      </c>
      <c r="AO149" s="26" t="s">
        <v>65</v>
      </c>
      <c r="AP149" s="26">
        <v>37</v>
      </c>
      <c r="AQ149" s="26">
        <v>202</v>
      </c>
      <c r="AR149" s="26">
        <v>2491301</v>
      </c>
      <c r="AS149" s="26" t="s">
        <v>118</v>
      </c>
      <c r="AT149" s="26" t="s">
        <v>991</v>
      </c>
      <c r="AU149" s="29" t="s">
        <v>118</v>
      </c>
    </row>
    <row r="150" spans="1:47" x14ac:dyDescent="0.25">
      <c r="A150" s="7">
        <f>+CONCATENATE(DAY(V150),"/",MONTH(V150),"/",YEAR(V150),"")*1</f>
        <v>46154</v>
      </c>
      <c r="B150" s="23">
        <f>+Z150*1</f>
        <v>1151176205</v>
      </c>
      <c r="C150" s="21" t="str">
        <f>+AA150</f>
        <v>ENTRANTE</v>
      </c>
      <c r="D150" s="3" t="str">
        <f>VLOOKUP(Q150,Code!E:F,2,0)</f>
        <v>Admisiones</v>
      </c>
      <c r="E150" s="3" t="s">
        <v>55</v>
      </c>
      <c r="F150" s="3">
        <f>+AP150</f>
        <v>37</v>
      </c>
      <c r="G150" s="3">
        <f>+S150</f>
        <v>18</v>
      </c>
      <c r="H150" s="22">
        <f>+HOUR(V150)</f>
        <v>17</v>
      </c>
      <c r="I150" s="22">
        <f>IFERROR(VLOOKUP(B150,MATRICULAS!A:B,2,0),0)*1</f>
        <v>1</v>
      </c>
      <c r="J150" s="26">
        <v>20260512</v>
      </c>
      <c r="K150" s="26">
        <v>149179090</v>
      </c>
      <c r="L150" s="26" t="s">
        <v>134</v>
      </c>
      <c r="M150" s="26" t="s">
        <v>56</v>
      </c>
      <c r="N150" s="26">
        <v>0</v>
      </c>
      <c r="O150" s="26">
        <v>0</v>
      </c>
      <c r="P150" s="26" t="s">
        <v>57</v>
      </c>
      <c r="Q150" s="26">
        <v>150</v>
      </c>
      <c r="R150" s="26" t="s">
        <v>118</v>
      </c>
      <c r="S150" s="26">
        <v>18</v>
      </c>
      <c r="T150" s="26" t="s">
        <v>58</v>
      </c>
      <c r="U150" s="26" t="s">
        <v>119</v>
      </c>
      <c r="V150" s="28">
        <v>46154.734270833331</v>
      </c>
      <c r="W150" s="28">
        <v>46154.734270833331</v>
      </c>
      <c r="X150" s="28">
        <v>46154.74931712963</v>
      </c>
      <c r="Y150" s="26" t="s">
        <v>117</v>
      </c>
      <c r="Z150" s="26" t="s">
        <v>993</v>
      </c>
      <c r="AA150" s="26" t="s">
        <v>53</v>
      </c>
      <c r="AB150" s="26" t="s">
        <v>60</v>
      </c>
      <c r="AC150" s="26" t="s">
        <v>994</v>
      </c>
      <c r="AD150" s="26" t="s">
        <v>118</v>
      </c>
      <c r="AE150" s="26" t="s">
        <v>61</v>
      </c>
      <c r="AF150" s="26" t="s">
        <v>62</v>
      </c>
      <c r="AG150" s="26" t="s">
        <v>63</v>
      </c>
      <c r="AH150" s="26">
        <v>0</v>
      </c>
      <c r="AI150" s="26">
        <v>0</v>
      </c>
      <c r="AJ150" s="26">
        <v>0</v>
      </c>
      <c r="AK150" s="26">
        <v>0</v>
      </c>
      <c r="AL150" s="26" t="s">
        <v>64</v>
      </c>
      <c r="AM150" s="26">
        <v>3</v>
      </c>
      <c r="AN150" s="26">
        <v>1301</v>
      </c>
      <c r="AO150" s="26" t="s">
        <v>65</v>
      </c>
      <c r="AP150" s="26">
        <v>37</v>
      </c>
      <c r="AQ150" s="26">
        <v>1</v>
      </c>
      <c r="AR150" s="26">
        <v>2495170</v>
      </c>
      <c r="AS150" s="26" t="s">
        <v>995</v>
      </c>
      <c r="AT150" s="26" t="s">
        <v>996</v>
      </c>
      <c r="AU150" s="29" t="s">
        <v>118</v>
      </c>
    </row>
    <row r="151" spans="1:47" x14ac:dyDescent="0.25">
      <c r="A151" s="7">
        <f>+CONCATENATE(DAY(V151),"/",MONTH(V151),"/",YEAR(V151),"")*1</f>
        <v>46154</v>
      </c>
      <c r="B151" s="23">
        <f>+Z151*1</f>
        <v>1153197080</v>
      </c>
      <c r="C151" s="21" t="str">
        <f>+AA151</f>
        <v>ENTRANTE</v>
      </c>
      <c r="D151" s="3" t="str">
        <f>VLOOKUP(Q151,Code!E:F,2,0)</f>
        <v>Admisiones</v>
      </c>
      <c r="E151" s="3" t="s">
        <v>55</v>
      </c>
      <c r="F151" s="3">
        <f>+AP151</f>
        <v>37</v>
      </c>
      <c r="G151" s="3">
        <f>+S151</f>
        <v>27</v>
      </c>
      <c r="H151" s="22">
        <f>+HOUR(V151)</f>
        <v>16</v>
      </c>
      <c r="I151" s="22">
        <f>IFERROR(VLOOKUP(B151,MATRICULAS!A:B,2,0),0)*1</f>
        <v>0</v>
      </c>
      <c r="J151" s="27">
        <v>20260512</v>
      </c>
      <c r="K151" s="27">
        <v>149178221</v>
      </c>
      <c r="L151" s="27" t="s">
        <v>134</v>
      </c>
      <c r="M151" s="27" t="s">
        <v>56</v>
      </c>
      <c r="N151" s="27">
        <v>0</v>
      </c>
      <c r="O151" s="27">
        <v>0</v>
      </c>
      <c r="P151" s="27" t="s">
        <v>57</v>
      </c>
      <c r="Q151" s="27">
        <v>150</v>
      </c>
      <c r="R151" s="27" t="s">
        <v>174</v>
      </c>
      <c r="S151" s="27">
        <v>27</v>
      </c>
      <c r="T151" s="27" t="s">
        <v>58</v>
      </c>
      <c r="U151" s="27" t="s">
        <v>59</v>
      </c>
      <c r="V151" s="30">
        <v>46154.700891203705</v>
      </c>
      <c r="W151" s="30">
        <v>46154.700891203705</v>
      </c>
      <c r="X151" s="30">
        <v>46154.705671296295</v>
      </c>
      <c r="Y151" s="27" t="s">
        <v>117</v>
      </c>
      <c r="Z151" s="27" t="s">
        <v>997</v>
      </c>
      <c r="AA151" s="27" t="s">
        <v>53</v>
      </c>
      <c r="AB151" s="27" t="s">
        <v>60</v>
      </c>
      <c r="AC151" s="27" t="s">
        <v>998</v>
      </c>
      <c r="AD151" s="27" t="s">
        <v>118</v>
      </c>
      <c r="AE151" s="27" t="s">
        <v>61</v>
      </c>
      <c r="AF151" s="27" t="s">
        <v>62</v>
      </c>
      <c r="AG151" s="27" t="s">
        <v>63</v>
      </c>
      <c r="AH151" s="27">
        <v>0</v>
      </c>
      <c r="AI151" s="27">
        <v>0</v>
      </c>
      <c r="AJ151" s="27">
        <v>0</v>
      </c>
      <c r="AK151" s="27">
        <v>0</v>
      </c>
      <c r="AL151" s="27" t="s">
        <v>64</v>
      </c>
      <c r="AM151" s="27">
        <v>3</v>
      </c>
      <c r="AN151" s="27">
        <v>414</v>
      </c>
      <c r="AO151" s="27" t="s">
        <v>65</v>
      </c>
      <c r="AP151" s="27">
        <v>37</v>
      </c>
      <c r="AQ151" s="27">
        <v>1</v>
      </c>
      <c r="AR151" s="27">
        <v>2495137</v>
      </c>
      <c r="AS151" s="27" t="s">
        <v>118</v>
      </c>
      <c r="AT151" s="27" t="s">
        <v>999</v>
      </c>
      <c r="AU151" s="31" t="s">
        <v>118</v>
      </c>
    </row>
    <row r="152" spans="1:47" x14ac:dyDescent="0.25">
      <c r="A152" s="7">
        <f>+CONCATENATE(DAY(V152),"/",MONTH(V152),"/",YEAR(V152),"")*1</f>
        <v>46154</v>
      </c>
      <c r="B152" s="23">
        <f>+Z152*1</f>
        <v>1122722593</v>
      </c>
      <c r="C152" s="21" t="str">
        <f>+AA152</f>
        <v>ENTRANTE</v>
      </c>
      <c r="D152" s="3" t="str">
        <f>VLOOKUP(Q152,Code!E:F,2,0)</f>
        <v>Admisiones</v>
      </c>
      <c r="E152" s="3" t="s">
        <v>55</v>
      </c>
      <c r="F152" s="3">
        <f>+AP152</f>
        <v>37</v>
      </c>
      <c r="G152" s="3">
        <f>+S152</f>
        <v>27</v>
      </c>
      <c r="H152" s="22">
        <f>+HOUR(V152)</f>
        <v>16</v>
      </c>
      <c r="I152" s="22">
        <f>IFERROR(VLOOKUP(B152,MATRICULAS!A:B,2,0),0)*1</f>
        <v>0</v>
      </c>
      <c r="J152" s="26">
        <v>20260512</v>
      </c>
      <c r="K152" s="26">
        <v>149177951</v>
      </c>
      <c r="L152" s="26" t="s">
        <v>134</v>
      </c>
      <c r="M152" s="26" t="s">
        <v>56</v>
      </c>
      <c r="N152" s="26">
        <v>0</v>
      </c>
      <c r="O152" s="26">
        <v>0</v>
      </c>
      <c r="P152" s="26" t="s">
        <v>57</v>
      </c>
      <c r="Q152" s="26">
        <v>150</v>
      </c>
      <c r="R152" s="26" t="s">
        <v>174</v>
      </c>
      <c r="S152" s="26">
        <v>27</v>
      </c>
      <c r="T152" s="26" t="s">
        <v>58</v>
      </c>
      <c r="U152" s="26" t="s">
        <v>59</v>
      </c>
      <c r="V152" s="28">
        <v>46154.693460648145</v>
      </c>
      <c r="W152" s="28">
        <v>46154.693460648145</v>
      </c>
      <c r="X152" s="28">
        <v>46154.695150462961</v>
      </c>
      <c r="Y152" s="26" t="s">
        <v>117</v>
      </c>
      <c r="Z152" s="26" t="s">
        <v>1000</v>
      </c>
      <c r="AA152" s="26" t="s">
        <v>53</v>
      </c>
      <c r="AB152" s="26" t="s">
        <v>60</v>
      </c>
      <c r="AC152" s="26" t="s">
        <v>1001</v>
      </c>
      <c r="AD152" s="26" t="s">
        <v>118</v>
      </c>
      <c r="AE152" s="26" t="s">
        <v>66</v>
      </c>
      <c r="AF152" s="26" t="s">
        <v>67</v>
      </c>
      <c r="AG152" s="26" t="s">
        <v>67</v>
      </c>
      <c r="AH152" s="26">
        <v>0</v>
      </c>
      <c r="AI152" s="26">
        <v>0</v>
      </c>
      <c r="AJ152" s="26">
        <v>0</v>
      </c>
      <c r="AK152" s="26">
        <v>0</v>
      </c>
      <c r="AL152" s="26" t="s">
        <v>64</v>
      </c>
      <c r="AM152" s="26">
        <v>3</v>
      </c>
      <c r="AN152" s="26">
        <v>146</v>
      </c>
      <c r="AO152" s="26" t="s">
        <v>65</v>
      </c>
      <c r="AP152" s="26">
        <v>37</v>
      </c>
      <c r="AQ152" s="26">
        <v>201</v>
      </c>
      <c r="AR152" s="26">
        <v>2495116</v>
      </c>
      <c r="AS152" s="26" t="s">
        <v>118</v>
      </c>
      <c r="AT152" s="26" t="s">
        <v>1002</v>
      </c>
      <c r="AU152" s="29" t="s">
        <v>118</v>
      </c>
    </row>
    <row r="153" spans="1:47" x14ac:dyDescent="0.25">
      <c r="A153" s="7">
        <f>+CONCATENATE(DAY(V153),"/",MONTH(V153),"/",YEAR(V153),"")*1</f>
        <v>46154</v>
      </c>
      <c r="B153" s="23">
        <f>+Z153*1</f>
        <v>1168350740</v>
      </c>
      <c r="C153" s="21" t="str">
        <f>+AA153</f>
        <v>ENTRANTE</v>
      </c>
      <c r="D153" s="3" t="str">
        <f>VLOOKUP(Q153,Code!E:F,2,0)</f>
        <v>Admisiones</v>
      </c>
      <c r="E153" s="3" t="s">
        <v>55</v>
      </c>
      <c r="F153" s="3">
        <f>+AP153</f>
        <v>37</v>
      </c>
      <c r="G153" s="3">
        <f>+S153</f>
        <v>27</v>
      </c>
      <c r="H153" s="22">
        <f>+HOUR(V153)</f>
        <v>15</v>
      </c>
      <c r="I153" s="22">
        <f>IFERROR(VLOOKUP(B153,MATRICULAS!A:B,2,0),0)*1</f>
        <v>0</v>
      </c>
      <c r="J153" s="27">
        <v>20260512</v>
      </c>
      <c r="K153" s="27">
        <v>149176640</v>
      </c>
      <c r="L153" s="27" t="s">
        <v>134</v>
      </c>
      <c r="M153" s="27" t="s">
        <v>56</v>
      </c>
      <c r="N153" s="27">
        <v>0</v>
      </c>
      <c r="O153" s="27">
        <v>0</v>
      </c>
      <c r="P153" s="27" t="s">
        <v>57</v>
      </c>
      <c r="Q153" s="27">
        <v>150</v>
      </c>
      <c r="R153" s="27" t="s">
        <v>163</v>
      </c>
      <c r="S153" s="27">
        <v>27</v>
      </c>
      <c r="T153" s="27" t="s">
        <v>58</v>
      </c>
      <c r="U153" s="27" t="s">
        <v>59</v>
      </c>
      <c r="V153" s="30">
        <v>46154.666446759256</v>
      </c>
      <c r="W153" s="30">
        <v>46154.666446759256</v>
      </c>
      <c r="X153" s="30">
        <v>46154.669004629628</v>
      </c>
      <c r="Y153" s="27" t="s">
        <v>117</v>
      </c>
      <c r="Z153" s="27" t="s">
        <v>1003</v>
      </c>
      <c r="AA153" s="27" t="s">
        <v>53</v>
      </c>
      <c r="AB153" s="27" t="s">
        <v>60</v>
      </c>
      <c r="AC153" s="27" t="s">
        <v>1004</v>
      </c>
      <c r="AD153" s="27" t="s">
        <v>118</v>
      </c>
      <c r="AE153" s="27" t="s">
        <v>61</v>
      </c>
      <c r="AF153" s="27" t="s">
        <v>62</v>
      </c>
      <c r="AG153" s="27" t="s">
        <v>63</v>
      </c>
      <c r="AH153" s="27">
        <v>0</v>
      </c>
      <c r="AI153" s="27">
        <v>0</v>
      </c>
      <c r="AJ153" s="27">
        <v>0</v>
      </c>
      <c r="AK153" s="27">
        <v>0</v>
      </c>
      <c r="AL153" s="27" t="s">
        <v>64</v>
      </c>
      <c r="AM153" s="27">
        <v>3</v>
      </c>
      <c r="AN153" s="27">
        <v>222</v>
      </c>
      <c r="AO153" s="27" t="s">
        <v>65</v>
      </c>
      <c r="AP153" s="27">
        <v>37</v>
      </c>
      <c r="AQ153" s="27">
        <v>129</v>
      </c>
      <c r="AR153" s="27">
        <v>908081</v>
      </c>
      <c r="AS153" s="27" t="s">
        <v>118</v>
      </c>
      <c r="AT153" s="27" t="s">
        <v>1005</v>
      </c>
      <c r="AU153" s="31" t="s">
        <v>118</v>
      </c>
    </row>
    <row r="154" spans="1:47" x14ac:dyDescent="0.25">
      <c r="A154" s="7">
        <f>+CONCATENATE(DAY(V154),"/",MONTH(V154),"/",YEAR(V154),"")*1</f>
        <v>46154</v>
      </c>
      <c r="B154" s="23">
        <f>+Z154*1</f>
        <v>1168996053</v>
      </c>
      <c r="C154" s="21" t="str">
        <f>+AA154</f>
        <v>ENTRANTE</v>
      </c>
      <c r="D154" s="3" t="str">
        <f>VLOOKUP(Q154,Code!E:F,2,0)</f>
        <v>Admisiones</v>
      </c>
      <c r="E154" s="3" t="s">
        <v>55</v>
      </c>
      <c r="F154" s="3">
        <f>+AP154</f>
        <v>37</v>
      </c>
      <c r="G154" s="3">
        <f>+S154</f>
        <v>27</v>
      </c>
      <c r="H154" s="22">
        <f>+HOUR(V154)</f>
        <v>15</v>
      </c>
      <c r="I154" s="22">
        <f>IFERROR(VLOOKUP(B154,MATRICULAS!A:B,2,0),0)*1</f>
        <v>0</v>
      </c>
      <c r="J154" s="26">
        <v>20260512</v>
      </c>
      <c r="K154" s="26">
        <v>149175994</v>
      </c>
      <c r="L154" s="26" t="s">
        <v>134</v>
      </c>
      <c r="M154" s="26" t="s">
        <v>56</v>
      </c>
      <c r="N154" s="26">
        <v>0</v>
      </c>
      <c r="O154" s="26">
        <v>0</v>
      </c>
      <c r="P154" s="26" t="s">
        <v>57</v>
      </c>
      <c r="Q154" s="26">
        <v>150</v>
      </c>
      <c r="R154" s="26" t="s">
        <v>162</v>
      </c>
      <c r="S154" s="26">
        <v>27</v>
      </c>
      <c r="T154" s="26" t="s">
        <v>58</v>
      </c>
      <c r="U154" s="26" t="s">
        <v>59</v>
      </c>
      <c r="V154" s="28">
        <v>46154.655115740738</v>
      </c>
      <c r="W154" s="28">
        <v>46154.655115740738</v>
      </c>
      <c r="X154" s="28">
        <v>46154.657395833332</v>
      </c>
      <c r="Y154" s="26" t="s">
        <v>117</v>
      </c>
      <c r="Z154" s="26" t="s">
        <v>1006</v>
      </c>
      <c r="AA154" s="26" t="s">
        <v>53</v>
      </c>
      <c r="AB154" s="26" t="s">
        <v>60</v>
      </c>
      <c r="AC154" s="26" t="s">
        <v>1007</v>
      </c>
      <c r="AD154" s="26" t="s">
        <v>118</v>
      </c>
      <c r="AE154" s="26" t="s">
        <v>61</v>
      </c>
      <c r="AF154" s="26" t="s">
        <v>62</v>
      </c>
      <c r="AG154" s="26" t="s">
        <v>63</v>
      </c>
      <c r="AH154" s="26">
        <v>0</v>
      </c>
      <c r="AI154" s="26">
        <v>0</v>
      </c>
      <c r="AJ154" s="26">
        <v>0</v>
      </c>
      <c r="AK154" s="26">
        <v>0</v>
      </c>
      <c r="AL154" s="26" t="s">
        <v>64</v>
      </c>
      <c r="AM154" s="26">
        <v>3</v>
      </c>
      <c r="AN154" s="26">
        <v>197</v>
      </c>
      <c r="AO154" s="26" t="s">
        <v>65</v>
      </c>
      <c r="AP154" s="26">
        <v>37</v>
      </c>
      <c r="AQ154" s="26">
        <v>199</v>
      </c>
      <c r="AR154" s="26">
        <v>2479349</v>
      </c>
      <c r="AS154" s="26" t="s">
        <v>118</v>
      </c>
      <c r="AT154" s="26" t="s">
        <v>1008</v>
      </c>
      <c r="AU154" s="29" t="s">
        <v>118</v>
      </c>
    </row>
    <row r="155" spans="1:47" x14ac:dyDescent="0.25">
      <c r="A155" s="7">
        <f>+CONCATENATE(DAY(V155),"/",MONTH(V155),"/",YEAR(V155),"")*1</f>
        <v>46154</v>
      </c>
      <c r="B155" s="23">
        <f>+Z155*1</f>
        <v>1134661330</v>
      </c>
      <c r="C155" s="21" t="str">
        <f>+AA155</f>
        <v>ENTRANTE</v>
      </c>
      <c r="D155" s="3" t="str">
        <f>VLOOKUP(Q155,Code!E:F,2,0)</f>
        <v>Admisiones</v>
      </c>
      <c r="E155" s="3" t="s">
        <v>55</v>
      </c>
      <c r="F155" s="3">
        <f>+AP155</f>
        <v>37</v>
      </c>
      <c r="G155" s="3">
        <f>+S155</f>
        <v>27</v>
      </c>
      <c r="H155" s="22">
        <f>+HOUR(V155)</f>
        <v>15</v>
      </c>
      <c r="I155" s="22">
        <f>IFERROR(VLOOKUP(B155,MATRICULAS!A:B,2,0),0)*1</f>
        <v>0</v>
      </c>
      <c r="J155" s="27">
        <v>20260512</v>
      </c>
      <c r="K155" s="27">
        <v>149175954</v>
      </c>
      <c r="L155" s="27" t="s">
        <v>134</v>
      </c>
      <c r="M155" s="27" t="s">
        <v>56</v>
      </c>
      <c r="N155" s="27">
        <v>0</v>
      </c>
      <c r="O155" s="27">
        <v>0</v>
      </c>
      <c r="P155" s="27" t="s">
        <v>57</v>
      </c>
      <c r="Q155" s="27">
        <v>150</v>
      </c>
      <c r="R155" s="27" t="s">
        <v>163</v>
      </c>
      <c r="S155" s="27">
        <v>27</v>
      </c>
      <c r="T155" s="27" t="s">
        <v>58</v>
      </c>
      <c r="U155" s="27" t="s">
        <v>59</v>
      </c>
      <c r="V155" s="30">
        <v>46154.654641203706</v>
      </c>
      <c r="W155" s="30">
        <v>46154.654641203706</v>
      </c>
      <c r="X155" s="30">
        <v>46154.659375000003</v>
      </c>
      <c r="Y155" s="27" t="s">
        <v>117</v>
      </c>
      <c r="Z155" s="27" t="s">
        <v>1009</v>
      </c>
      <c r="AA155" s="27" t="s">
        <v>53</v>
      </c>
      <c r="AB155" s="27" t="s">
        <v>60</v>
      </c>
      <c r="AC155" s="27" t="s">
        <v>1010</v>
      </c>
      <c r="AD155" s="27" t="s">
        <v>118</v>
      </c>
      <c r="AE155" s="27" t="s">
        <v>66</v>
      </c>
      <c r="AF155" s="27" t="s">
        <v>67</v>
      </c>
      <c r="AG155" s="27" t="s">
        <v>67</v>
      </c>
      <c r="AH155" s="27">
        <v>0</v>
      </c>
      <c r="AI155" s="27">
        <v>0</v>
      </c>
      <c r="AJ155" s="27">
        <v>0</v>
      </c>
      <c r="AK155" s="27">
        <v>0</v>
      </c>
      <c r="AL155" s="27" t="s">
        <v>64</v>
      </c>
      <c r="AM155" s="27">
        <v>3</v>
      </c>
      <c r="AN155" s="27">
        <v>410</v>
      </c>
      <c r="AO155" s="27" t="s">
        <v>65</v>
      </c>
      <c r="AP155" s="27">
        <v>37</v>
      </c>
      <c r="AQ155" s="27">
        <v>1</v>
      </c>
      <c r="AR155" s="27">
        <v>2495079</v>
      </c>
      <c r="AS155" s="27" t="s">
        <v>118</v>
      </c>
      <c r="AT155" s="27" t="s">
        <v>1011</v>
      </c>
      <c r="AU155" s="31" t="s">
        <v>118</v>
      </c>
    </row>
    <row r="156" spans="1:47" x14ac:dyDescent="0.25">
      <c r="A156" s="7">
        <f>+CONCATENATE(DAY(V156),"/",MONTH(V156),"/",YEAR(V156),"")*1</f>
        <v>46154</v>
      </c>
      <c r="B156" s="23">
        <f>+Z156*1</f>
        <v>1130526103</v>
      </c>
      <c r="C156" s="21" t="str">
        <f>+AA156</f>
        <v>ENTRANTE</v>
      </c>
      <c r="D156" s="3" t="str">
        <f>VLOOKUP(Q156,Code!E:F,2,0)</f>
        <v>Admisiones</v>
      </c>
      <c r="E156" s="3" t="s">
        <v>55</v>
      </c>
      <c r="F156" s="3">
        <f>+AP156</f>
        <v>37</v>
      </c>
      <c r="G156" s="3">
        <f>+S156</f>
        <v>27</v>
      </c>
      <c r="H156" s="22">
        <f>+HOUR(V156)</f>
        <v>15</v>
      </c>
      <c r="I156" s="22">
        <f>IFERROR(VLOOKUP(B156,MATRICULAS!A:B,2,0),0)*1</f>
        <v>0</v>
      </c>
      <c r="J156" s="26">
        <v>20260512</v>
      </c>
      <c r="K156" s="26">
        <v>149175181</v>
      </c>
      <c r="L156" s="26" t="s">
        <v>134</v>
      </c>
      <c r="M156" s="26" t="s">
        <v>56</v>
      </c>
      <c r="N156" s="26">
        <v>0</v>
      </c>
      <c r="O156" s="26">
        <v>0</v>
      </c>
      <c r="P156" s="26" t="s">
        <v>57</v>
      </c>
      <c r="Q156" s="26">
        <v>150</v>
      </c>
      <c r="R156" s="26" t="s">
        <v>163</v>
      </c>
      <c r="S156" s="26">
        <v>27</v>
      </c>
      <c r="T156" s="26" t="s">
        <v>58</v>
      </c>
      <c r="U156" s="26" t="s">
        <v>59</v>
      </c>
      <c r="V156" s="28">
        <v>46154.638703703706</v>
      </c>
      <c r="W156" s="28">
        <v>46154.638703703706</v>
      </c>
      <c r="X156" s="28">
        <v>46154.644733796296</v>
      </c>
      <c r="Y156" s="26" t="s">
        <v>117</v>
      </c>
      <c r="Z156" s="26" t="s">
        <v>1012</v>
      </c>
      <c r="AA156" s="26" t="s">
        <v>53</v>
      </c>
      <c r="AB156" s="26" t="s">
        <v>60</v>
      </c>
      <c r="AC156" s="26" t="s">
        <v>1013</v>
      </c>
      <c r="AD156" s="26" t="s">
        <v>118</v>
      </c>
      <c r="AE156" s="26" t="s">
        <v>61</v>
      </c>
      <c r="AF156" s="26" t="s">
        <v>62</v>
      </c>
      <c r="AG156" s="26" t="s">
        <v>63</v>
      </c>
      <c r="AH156" s="26">
        <v>0</v>
      </c>
      <c r="AI156" s="26">
        <v>0</v>
      </c>
      <c r="AJ156" s="26">
        <v>0</v>
      </c>
      <c r="AK156" s="26">
        <v>0</v>
      </c>
      <c r="AL156" s="26" t="s">
        <v>64</v>
      </c>
      <c r="AM156" s="26">
        <v>3</v>
      </c>
      <c r="AN156" s="26">
        <v>521</v>
      </c>
      <c r="AO156" s="26" t="s">
        <v>65</v>
      </c>
      <c r="AP156" s="26">
        <v>37</v>
      </c>
      <c r="AQ156" s="26">
        <v>1</v>
      </c>
      <c r="AR156" s="26">
        <v>2495054</v>
      </c>
      <c r="AS156" s="26" t="s">
        <v>118</v>
      </c>
      <c r="AT156" s="26" t="s">
        <v>1014</v>
      </c>
      <c r="AU156" s="29" t="s">
        <v>118</v>
      </c>
    </row>
    <row r="157" spans="1:47" x14ac:dyDescent="0.25">
      <c r="A157" s="7">
        <f>+CONCATENATE(DAY(V157),"/",MONTH(V157),"/",YEAR(V157),"")*1</f>
        <v>46154</v>
      </c>
      <c r="B157" s="23">
        <f>+Z157*1</f>
        <v>1162739320</v>
      </c>
      <c r="C157" s="21" t="str">
        <f>+AA157</f>
        <v>ENTRANTE</v>
      </c>
      <c r="D157" s="3" t="str">
        <f>VLOOKUP(Q157,Code!E:F,2,0)</f>
        <v>Admisiones</v>
      </c>
      <c r="E157" s="3" t="s">
        <v>55</v>
      </c>
      <c r="F157" s="3">
        <f>+AP157</f>
        <v>37</v>
      </c>
      <c r="G157" s="3">
        <f>+S157</f>
        <v>26</v>
      </c>
      <c r="H157" s="22">
        <f>+HOUR(V157)</f>
        <v>14</v>
      </c>
      <c r="I157" s="22">
        <f>IFERROR(VLOOKUP(B157,MATRICULAS!A:B,2,0),0)*1</f>
        <v>0</v>
      </c>
      <c r="J157" s="27">
        <v>20260512</v>
      </c>
      <c r="K157" s="27">
        <v>149172324</v>
      </c>
      <c r="L157" s="27" t="s">
        <v>134</v>
      </c>
      <c r="M157" s="27" t="s">
        <v>56</v>
      </c>
      <c r="N157" s="27">
        <v>0</v>
      </c>
      <c r="O157" s="27">
        <v>0</v>
      </c>
      <c r="P157" s="27" t="s">
        <v>57</v>
      </c>
      <c r="Q157" s="27">
        <v>150</v>
      </c>
      <c r="R157" s="27" t="s">
        <v>145</v>
      </c>
      <c r="S157" s="27">
        <v>26</v>
      </c>
      <c r="T157" s="27" t="s">
        <v>58</v>
      </c>
      <c r="U157" s="27" t="s">
        <v>59</v>
      </c>
      <c r="V157" s="30">
        <v>46154.588587962964</v>
      </c>
      <c r="W157" s="30">
        <v>46154.588587962964</v>
      </c>
      <c r="X157" s="30">
        <v>46154.599340277775</v>
      </c>
      <c r="Y157" s="27" t="s">
        <v>117</v>
      </c>
      <c r="Z157" s="27" t="s">
        <v>1015</v>
      </c>
      <c r="AA157" s="27" t="s">
        <v>53</v>
      </c>
      <c r="AB157" s="27" t="s">
        <v>60</v>
      </c>
      <c r="AC157" s="27" t="s">
        <v>1016</v>
      </c>
      <c r="AD157" s="27" t="s">
        <v>118</v>
      </c>
      <c r="AE157" s="27" t="s">
        <v>61</v>
      </c>
      <c r="AF157" s="27" t="s">
        <v>62</v>
      </c>
      <c r="AG157" s="27" t="s">
        <v>63</v>
      </c>
      <c r="AH157" s="27">
        <v>0</v>
      </c>
      <c r="AI157" s="27">
        <v>0</v>
      </c>
      <c r="AJ157" s="27">
        <v>0</v>
      </c>
      <c r="AK157" s="27">
        <v>0</v>
      </c>
      <c r="AL157" s="27" t="s">
        <v>64</v>
      </c>
      <c r="AM157" s="27">
        <v>3</v>
      </c>
      <c r="AN157" s="27">
        <v>929</v>
      </c>
      <c r="AO157" s="27" t="s">
        <v>65</v>
      </c>
      <c r="AP157" s="27">
        <v>37</v>
      </c>
      <c r="AQ157" s="27">
        <v>1</v>
      </c>
      <c r="AR157" s="27">
        <v>2494989</v>
      </c>
      <c r="AS157" s="27" t="s">
        <v>118</v>
      </c>
      <c r="AT157" s="27" t="s">
        <v>1017</v>
      </c>
      <c r="AU157" s="31" t="s">
        <v>118</v>
      </c>
    </row>
    <row r="158" spans="1:47" x14ac:dyDescent="0.25">
      <c r="A158" s="7">
        <f>+CONCATENATE(DAY(V158),"/",MONTH(V158),"/",YEAR(V158),"")*1</f>
        <v>46154</v>
      </c>
      <c r="B158" s="23">
        <f>+Z158*1</f>
        <v>1137604699</v>
      </c>
      <c r="C158" s="21" t="str">
        <f>+AA158</f>
        <v>ENTRANTE</v>
      </c>
      <c r="D158" s="3" t="str">
        <f>VLOOKUP(Q158,Code!E:F,2,0)</f>
        <v>Admisiones</v>
      </c>
      <c r="E158" s="3" t="s">
        <v>55</v>
      </c>
      <c r="F158" s="3">
        <f>+AP158</f>
        <v>37</v>
      </c>
      <c r="G158" s="3">
        <f>+S158</f>
        <v>0</v>
      </c>
      <c r="H158" s="22">
        <f>+HOUR(V158)</f>
        <v>13</v>
      </c>
      <c r="I158" s="22">
        <f>IFERROR(VLOOKUP(B158,MATRICULAS!A:B,2,0),0)*1</f>
        <v>1</v>
      </c>
      <c r="J158" s="26">
        <v>20260512</v>
      </c>
      <c r="K158" s="26">
        <v>149171834</v>
      </c>
      <c r="L158" s="26" t="s">
        <v>134</v>
      </c>
      <c r="M158" s="26" t="s">
        <v>56</v>
      </c>
      <c r="N158" s="26">
        <v>0</v>
      </c>
      <c r="O158" s="26">
        <v>0</v>
      </c>
      <c r="P158" s="26" t="s">
        <v>57</v>
      </c>
      <c r="Q158" s="26">
        <v>150</v>
      </c>
      <c r="R158" s="26" t="s">
        <v>145</v>
      </c>
      <c r="S158" s="26">
        <v>0</v>
      </c>
      <c r="T158" s="26" t="s">
        <v>58</v>
      </c>
      <c r="U158" s="26" t="s">
        <v>59</v>
      </c>
      <c r="V158" s="28">
        <v>46154.577465277776</v>
      </c>
      <c r="W158" s="28">
        <v>46154.577465277776</v>
      </c>
      <c r="X158" s="28">
        <v>46154.584328703706</v>
      </c>
      <c r="Y158" s="26" t="s">
        <v>117</v>
      </c>
      <c r="Z158" s="26" t="s">
        <v>1018</v>
      </c>
      <c r="AA158" s="26" t="s">
        <v>53</v>
      </c>
      <c r="AB158" s="26" t="s">
        <v>60</v>
      </c>
      <c r="AC158" s="26" t="s">
        <v>1019</v>
      </c>
      <c r="AD158" s="26" t="s">
        <v>118</v>
      </c>
      <c r="AE158" s="26" t="s">
        <v>61</v>
      </c>
      <c r="AF158" s="26" t="s">
        <v>62</v>
      </c>
      <c r="AG158" s="26" t="s">
        <v>63</v>
      </c>
      <c r="AH158" s="26">
        <v>0</v>
      </c>
      <c r="AI158" s="26">
        <v>0</v>
      </c>
      <c r="AJ158" s="26">
        <v>0</v>
      </c>
      <c r="AK158" s="26">
        <v>0</v>
      </c>
      <c r="AL158" s="26" t="s">
        <v>64</v>
      </c>
      <c r="AM158" s="26">
        <v>3</v>
      </c>
      <c r="AN158" s="26">
        <v>593</v>
      </c>
      <c r="AO158" s="26" t="s">
        <v>65</v>
      </c>
      <c r="AP158" s="26">
        <v>37</v>
      </c>
      <c r="AQ158" s="26">
        <v>1</v>
      </c>
      <c r="AR158" s="26">
        <v>2494960</v>
      </c>
      <c r="AS158" s="26" t="s">
        <v>1020</v>
      </c>
      <c r="AT158" s="26" t="s">
        <v>1021</v>
      </c>
      <c r="AU158" s="29" t="s">
        <v>118</v>
      </c>
    </row>
    <row r="159" spans="1:47" x14ac:dyDescent="0.25">
      <c r="A159" s="7">
        <f>+CONCATENATE(DAY(V159),"/",MONTH(V159),"/",YEAR(V159),"")*1</f>
        <v>46154</v>
      </c>
      <c r="B159" s="23">
        <f>+Z159*1</f>
        <v>3515122450</v>
      </c>
      <c r="C159" s="21" t="str">
        <f>+AA159</f>
        <v>ENTRANTE</v>
      </c>
      <c r="D159" s="3" t="str">
        <f>VLOOKUP(Q159,Code!E:F,2,0)</f>
        <v>Admisiones</v>
      </c>
      <c r="E159" s="3" t="s">
        <v>55</v>
      </c>
      <c r="F159" s="3">
        <f>+AP159</f>
        <v>37</v>
      </c>
      <c r="G159" s="3">
        <f>+S159</f>
        <v>26</v>
      </c>
      <c r="H159" s="22">
        <f>+HOUR(V159)</f>
        <v>13</v>
      </c>
      <c r="I159" s="22">
        <f>IFERROR(VLOOKUP(B159,MATRICULAS!A:B,2,0),0)*1</f>
        <v>0</v>
      </c>
      <c r="J159" s="27">
        <v>20260512</v>
      </c>
      <c r="K159" s="27">
        <v>149171508</v>
      </c>
      <c r="L159" s="27" t="s">
        <v>134</v>
      </c>
      <c r="M159" s="27" t="s">
        <v>56</v>
      </c>
      <c r="N159" s="27">
        <v>0</v>
      </c>
      <c r="O159" s="27">
        <v>0</v>
      </c>
      <c r="P159" s="27" t="s">
        <v>57</v>
      </c>
      <c r="Q159" s="27">
        <v>150</v>
      </c>
      <c r="R159" s="27" t="s">
        <v>151</v>
      </c>
      <c r="S159" s="27">
        <v>26</v>
      </c>
      <c r="T159" s="27" t="s">
        <v>58</v>
      </c>
      <c r="U159" s="27" t="s">
        <v>59</v>
      </c>
      <c r="V159" s="30">
        <v>46154.569525462961</v>
      </c>
      <c r="W159" s="30">
        <v>46154.569525462961</v>
      </c>
      <c r="X159" s="30">
        <v>46154.571921296294</v>
      </c>
      <c r="Y159" s="27" t="s">
        <v>117</v>
      </c>
      <c r="Z159" s="27" t="s">
        <v>1022</v>
      </c>
      <c r="AA159" s="27" t="s">
        <v>53</v>
      </c>
      <c r="AB159" s="27" t="s">
        <v>60</v>
      </c>
      <c r="AC159" s="27" t="s">
        <v>1023</v>
      </c>
      <c r="AD159" s="27" t="s">
        <v>118</v>
      </c>
      <c r="AE159" s="27" t="s">
        <v>61</v>
      </c>
      <c r="AF159" s="27" t="s">
        <v>62</v>
      </c>
      <c r="AG159" s="27" t="s">
        <v>63</v>
      </c>
      <c r="AH159" s="27">
        <v>0</v>
      </c>
      <c r="AI159" s="27">
        <v>0</v>
      </c>
      <c r="AJ159" s="27">
        <v>0</v>
      </c>
      <c r="AK159" s="27">
        <v>0</v>
      </c>
      <c r="AL159" s="27" t="s">
        <v>64</v>
      </c>
      <c r="AM159" s="27">
        <v>3</v>
      </c>
      <c r="AN159" s="27">
        <v>208</v>
      </c>
      <c r="AO159" s="27" t="s">
        <v>65</v>
      </c>
      <c r="AP159" s="27">
        <v>37</v>
      </c>
      <c r="AQ159" s="27">
        <v>1</v>
      </c>
      <c r="AR159" s="27">
        <v>2494958</v>
      </c>
      <c r="AS159" s="27" t="s">
        <v>1020</v>
      </c>
      <c r="AT159" s="27" t="s">
        <v>1024</v>
      </c>
      <c r="AU159" s="31" t="s">
        <v>118</v>
      </c>
    </row>
    <row r="160" spans="1:47" x14ac:dyDescent="0.25">
      <c r="A160" s="7">
        <f>+CONCATENATE(DAY(V160),"/",MONTH(V160),"/",YEAR(V160),"")*1</f>
        <v>46154</v>
      </c>
      <c r="B160" s="23">
        <f>+Z160*1</f>
        <v>1121788499</v>
      </c>
      <c r="C160" s="21" t="str">
        <f>+AA160</f>
        <v>ENTRANTE</v>
      </c>
      <c r="D160" s="3" t="str">
        <f>VLOOKUP(Q160,Code!E:F,2,0)</f>
        <v>Admisiones</v>
      </c>
      <c r="E160" s="3" t="s">
        <v>55</v>
      </c>
      <c r="F160" s="3">
        <f>+AP160</f>
        <v>37</v>
      </c>
      <c r="G160" s="3">
        <f>+S160</f>
        <v>26</v>
      </c>
      <c r="H160" s="22">
        <f>+HOUR(V160)</f>
        <v>12</v>
      </c>
      <c r="I160" s="22">
        <f>IFERROR(VLOOKUP(B160,MATRICULAS!A:B,2,0),0)*1</f>
        <v>1</v>
      </c>
      <c r="J160" s="26">
        <v>20260512</v>
      </c>
      <c r="K160" s="26">
        <v>149168946</v>
      </c>
      <c r="L160" s="26" t="s">
        <v>134</v>
      </c>
      <c r="M160" s="26" t="s">
        <v>56</v>
      </c>
      <c r="N160" s="26">
        <v>0</v>
      </c>
      <c r="O160" s="26">
        <v>0</v>
      </c>
      <c r="P160" s="26" t="s">
        <v>57</v>
      </c>
      <c r="Q160" s="26">
        <v>150</v>
      </c>
      <c r="R160" s="26" t="s">
        <v>159</v>
      </c>
      <c r="S160" s="26">
        <v>26</v>
      </c>
      <c r="T160" s="26" t="s">
        <v>58</v>
      </c>
      <c r="U160" s="26" t="s">
        <v>59</v>
      </c>
      <c r="V160" s="28">
        <v>46154.513043981482</v>
      </c>
      <c r="W160" s="28">
        <v>46154.513043981482</v>
      </c>
      <c r="X160" s="28">
        <v>46154.521990740737</v>
      </c>
      <c r="Y160" s="26" t="s">
        <v>117</v>
      </c>
      <c r="Z160" s="26" t="s">
        <v>1025</v>
      </c>
      <c r="AA160" s="26" t="s">
        <v>53</v>
      </c>
      <c r="AB160" s="26" t="s">
        <v>60</v>
      </c>
      <c r="AC160" s="26" t="s">
        <v>1026</v>
      </c>
      <c r="AD160" s="26" t="s">
        <v>118</v>
      </c>
      <c r="AE160" s="26" t="s">
        <v>61</v>
      </c>
      <c r="AF160" s="26" t="s">
        <v>62</v>
      </c>
      <c r="AG160" s="26" t="s">
        <v>63</v>
      </c>
      <c r="AH160" s="26">
        <v>0</v>
      </c>
      <c r="AI160" s="26">
        <v>0</v>
      </c>
      <c r="AJ160" s="26">
        <v>0</v>
      </c>
      <c r="AK160" s="26">
        <v>0</v>
      </c>
      <c r="AL160" s="26" t="s">
        <v>64</v>
      </c>
      <c r="AM160" s="26">
        <v>3</v>
      </c>
      <c r="AN160" s="26">
        <v>774</v>
      </c>
      <c r="AO160" s="26" t="s">
        <v>65</v>
      </c>
      <c r="AP160" s="26">
        <v>37</v>
      </c>
      <c r="AQ160" s="26">
        <v>201</v>
      </c>
      <c r="AR160" s="26">
        <v>2494866</v>
      </c>
      <c r="AS160" s="26" t="s">
        <v>118</v>
      </c>
      <c r="AT160" s="26" t="s">
        <v>1027</v>
      </c>
      <c r="AU160" s="29" t="s">
        <v>118</v>
      </c>
    </row>
    <row r="161" spans="1:47" x14ac:dyDescent="0.25">
      <c r="A161" s="7">
        <f>+CONCATENATE(DAY(V161),"/",MONTH(V161),"/",YEAR(V161),"")*1</f>
        <v>46154</v>
      </c>
      <c r="B161" s="23">
        <f>+Z161*1</f>
        <v>1127111458</v>
      </c>
      <c r="C161" s="21" t="str">
        <f>+AA161</f>
        <v>ENTRANTE</v>
      </c>
      <c r="D161" s="3" t="str">
        <f>VLOOKUP(Q161,Code!E:F,2,0)</f>
        <v>Admisiones</v>
      </c>
      <c r="E161" s="3" t="s">
        <v>55</v>
      </c>
      <c r="F161" s="3">
        <f>+AP161</f>
        <v>37</v>
      </c>
      <c r="G161" s="3">
        <f>+S161</f>
        <v>0</v>
      </c>
      <c r="H161" s="22">
        <f>+HOUR(V161)</f>
        <v>12</v>
      </c>
      <c r="I161" s="22">
        <f>IFERROR(VLOOKUP(B161,MATRICULAS!A:B,2,0),0)*1</f>
        <v>0</v>
      </c>
      <c r="J161" s="27">
        <v>20260512</v>
      </c>
      <c r="K161" s="27">
        <v>149168825</v>
      </c>
      <c r="L161" s="27" t="s">
        <v>134</v>
      </c>
      <c r="M161" s="27" t="s">
        <v>56</v>
      </c>
      <c r="N161" s="27">
        <v>0</v>
      </c>
      <c r="O161" s="27">
        <v>0</v>
      </c>
      <c r="P161" s="27" t="s">
        <v>57</v>
      </c>
      <c r="Q161" s="27">
        <v>150</v>
      </c>
      <c r="R161" s="27" t="s">
        <v>1028</v>
      </c>
      <c r="S161" s="27">
        <v>0</v>
      </c>
      <c r="T161" s="27" t="s">
        <v>58</v>
      </c>
      <c r="U161" s="27" t="s">
        <v>59</v>
      </c>
      <c r="V161" s="30">
        <v>46154.510254629633</v>
      </c>
      <c r="W161" s="30">
        <v>46154.510254629633</v>
      </c>
      <c r="X161" s="30">
        <v>46154.519155092596</v>
      </c>
      <c r="Y161" s="27" t="s">
        <v>117</v>
      </c>
      <c r="Z161" s="27" t="s">
        <v>1029</v>
      </c>
      <c r="AA161" s="27" t="s">
        <v>53</v>
      </c>
      <c r="AB161" s="27" t="s">
        <v>60</v>
      </c>
      <c r="AC161" s="27" t="s">
        <v>1030</v>
      </c>
      <c r="AD161" s="27" t="s">
        <v>118</v>
      </c>
      <c r="AE161" s="27" t="s">
        <v>66</v>
      </c>
      <c r="AF161" s="27" t="s">
        <v>67</v>
      </c>
      <c r="AG161" s="27" t="s">
        <v>67</v>
      </c>
      <c r="AH161" s="27">
        <v>0</v>
      </c>
      <c r="AI161" s="27">
        <v>0</v>
      </c>
      <c r="AJ161" s="27">
        <v>0</v>
      </c>
      <c r="AK161" s="27">
        <v>0</v>
      </c>
      <c r="AL161" s="27" t="s">
        <v>64</v>
      </c>
      <c r="AM161" s="27">
        <v>3</v>
      </c>
      <c r="AN161" s="27">
        <v>770</v>
      </c>
      <c r="AO161" s="27" t="s">
        <v>65</v>
      </c>
      <c r="AP161" s="27">
        <v>37</v>
      </c>
      <c r="AQ161" s="27">
        <v>0</v>
      </c>
      <c r="AR161" s="27">
        <v>0</v>
      </c>
      <c r="AS161" s="27" t="s">
        <v>118</v>
      </c>
      <c r="AT161" s="27" t="s">
        <v>1031</v>
      </c>
      <c r="AU161" s="31" t="s">
        <v>118</v>
      </c>
    </row>
    <row r="162" spans="1:47" x14ac:dyDescent="0.25">
      <c r="A162" s="7">
        <f>+CONCATENATE(DAY(V162),"/",MONTH(V162),"/",YEAR(V162),"")*1</f>
        <v>46154</v>
      </c>
      <c r="B162" s="23">
        <f>+Z162*1</f>
        <v>1132011627</v>
      </c>
      <c r="C162" s="21" t="str">
        <f>+AA162</f>
        <v>ENTRANTE</v>
      </c>
      <c r="D162" s="3" t="str">
        <f>VLOOKUP(Q162,Code!E:F,2,0)</f>
        <v>Admisiones</v>
      </c>
      <c r="E162" s="3" t="s">
        <v>55</v>
      </c>
      <c r="F162" s="3">
        <f>+AP162</f>
        <v>37</v>
      </c>
      <c r="G162" s="3">
        <f>+S162</f>
        <v>26</v>
      </c>
      <c r="H162" s="22">
        <f>+HOUR(V162)</f>
        <v>12</v>
      </c>
      <c r="I162" s="22">
        <f>IFERROR(VLOOKUP(B162,MATRICULAS!A:B,2,0),0)*1</f>
        <v>0</v>
      </c>
      <c r="J162" s="26">
        <v>20260512</v>
      </c>
      <c r="K162" s="26">
        <v>149168701</v>
      </c>
      <c r="L162" s="26" t="s">
        <v>134</v>
      </c>
      <c r="M162" s="26" t="s">
        <v>56</v>
      </c>
      <c r="N162" s="26">
        <v>0</v>
      </c>
      <c r="O162" s="26">
        <v>0</v>
      </c>
      <c r="P162" s="26" t="s">
        <v>57</v>
      </c>
      <c r="Q162" s="26">
        <v>150</v>
      </c>
      <c r="R162" s="26" t="s">
        <v>159</v>
      </c>
      <c r="S162" s="26">
        <v>26</v>
      </c>
      <c r="T162" s="26" t="s">
        <v>58</v>
      </c>
      <c r="U162" s="26" t="s">
        <v>59</v>
      </c>
      <c r="V162" s="28">
        <v>46154.5077662037</v>
      </c>
      <c r="W162" s="28">
        <v>46154.5077662037</v>
      </c>
      <c r="X162" s="28">
        <v>46154.513668981483</v>
      </c>
      <c r="Y162" s="26" t="s">
        <v>117</v>
      </c>
      <c r="Z162" s="26" t="s">
        <v>1032</v>
      </c>
      <c r="AA162" s="26" t="s">
        <v>53</v>
      </c>
      <c r="AB162" s="26" t="s">
        <v>60</v>
      </c>
      <c r="AC162" s="26" t="s">
        <v>1033</v>
      </c>
      <c r="AD162" s="26" t="s">
        <v>118</v>
      </c>
      <c r="AE162" s="26" t="s">
        <v>61</v>
      </c>
      <c r="AF162" s="26" t="s">
        <v>62</v>
      </c>
      <c r="AG162" s="26" t="s">
        <v>63</v>
      </c>
      <c r="AH162" s="26">
        <v>0</v>
      </c>
      <c r="AI162" s="26">
        <v>0</v>
      </c>
      <c r="AJ162" s="26">
        <v>0</v>
      </c>
      <c r="AK162" s="26">
        <v>0</v>
      </c>
      <c r="AL162" s="26" t="s">
        <v>64</v>
      </c>
      <c r="AM162" s="26">
        <v>3</v>
      </c>
      <c r="AN162" s="26">
        <v>511</v>
      </c>
      <c r="AO162" s="26" t="s">
        <v>65</v>
      </c>
      <c r="AP162" s="26">
        <v>37</v>
      </c>
      <c r="AQ162" s="26">
        <v>1</v>
      </c>
      <c r="AR162" s="26">
        <v>2494875</v>
      </c>
      <c r="AS162" s="26" t="s">
        <v>118</v>
      </c>
      <c r="AT162" s="26" t="s">
        <v>1034</v>
      </c>
      <c r="AU162" s="29" t="s">
        <v>118</v>
      </c>
    </row>
    <row r="163" spans="1:47" x14ac:dyDescent="0.25">
      <c r="A163" s="7">
        <f>+CONCATENATE(DAY(V163),"/",MONTH(V163),"/",YEAR(V163),"")*1</f>
        <v>46154</v>
      </c>
      <c r="B163" s="23">
        <f>+Z163*1</f>
        <v>1134256592</v>
      </c>
      <c r="C163" s="21" t="str">
        <f>+AA163</f>
        <v>ENTRANTE</v>
      </c>
      <c r="D163" s="3" t="str">
        <f>VLOOKUP(Q163,Code!E:F,2,0)</f>
        <v>Admisiones</v>
      </c>
      <c r="E163" s="3" t="s">
        <v>55</v>
      </c>
      <c r="F163" s="3">
        <f>+AP163</f>
        <v>37</v>
      </c>
      <c r="G163" s="3">
        <f>+S163</f>
        <v>26</v>
      </c>
      <c r="H163" s="22">
        <f>+HOUR(V163)</f>
        <v>11</v>
      </c>
      <c r="I163" s="22">
        <f>IFERROR(VLOOKUP(B163,MATRICULAS!A:B,2,0),0)*1</f>
        <v>0</v>
      </c>
      <c r="J163" s="27">
        <v>20260512</v>
      </c>
      <c r="K163" s="27">
        <v>149168159</v>
      </c>
      <c r="L163" s="27" t="s">
        <v>134</v>
      </c>
      <c r="M163" s="27" t="s">
        <v>56</v>
      </c>
      <c r="N163" s="27">
        <v>0</v>
      </c>
      <c r="O163" s="27">
        <v>0</v>
      </c>
      <c r="P163" s="27" t="s">
        <v>57</v>
      </c>
      <c r="Q163" s="27">
        <v>150</v>
      </c>
      <c r="R163" s="27" t="s">
        <v>127</v>
      </c>
      <c r="S163" s="27">
        <v>26</v>
      </c>
      <c r="T163" s="27" t="s">
        <v>58</v>
      </c>
      <c r="U163" s="27" t="s">
        <v>59</v>
      </c>
      <c r="V163" s="30">
        <v>46154.497719907406</v>
      </c>
      <c r="W163" s="30">
        <v>46154.497719907406</v>
      </c>
      <c r="X163" s="30">
        <v>46154.499120370368</v>
      </c>
      <c r="Y163" s="27" t="s">
        <v>117</v>
      </c>
      <c r="Z163" s="27" t="s">
        <v>1035</v>
      </c>
      <c r="AA163" s="27" t="s">
        <v>53</v>
      </c>
      <c r="AB163" s="27" t="s">
        <v>60</v>
      </c>
      <c r="AC163" s="27" t="s">
        <v>1036</v>
      </c>
      <c r="AD163" s="27" t="s">
        <v>118</v>
      </c>
      <c r="AE163" s="27" t="s">
        <v>66</v>
      </c>
      <c r="AF163" s="27" t="s">
        <v>67</v>
      </c>
      <c r="AG163" s="27" t="s">
        <v>67</v>
      </c>
      <c r="AH163" s="27">
        <v>0</v>
      </c>
      <c r="AI163" s="27">
        <v>0</v>
      </c>
      <c r="AJ163" s="27">
        <v>0</v>
      </c>
      <c r="AK163" s="27">
        <v>0</v>
      </c>
      <c r="AL163" s="27" t="s">
        <v>64</v>
      </c>
      <c r="AM163" s="27">
        <v>3</v>
      </c>
      <c r="AN163" s="27">
        <v>122</v>
      </c>
      <c r="AO163" s="27" t="s">
        <v>65</v>
      </c>
      <c r="AP163" s="27">
        <v>37</v>
      </c>
      <c r="AQ163" s="27">
        <v>0</v>
      </c>
      <c r="AR163" s="27">
        <v>0</v>
      </c>
      <c r="AS163" s="27" t="s">
        <v>118</v>
      </c>
      <c r="AT163" s="27" t="s">
        <v>1037</v>
      </c>
      <c r="AU163" s="31" t="s">
        <v>118</v>
      </c>
    </row>
    <row r="164" spans="1:47" x14ac:dyDescent="0.25">
      <c r="A164" s="7">
        <f>+CONCATENATE(DAY(V164),"/",MONTH(V164),"/",YEAR(V164),"")*1</f>
        <v>46154</v>
      </c>
      <c r="B164" s="23">
        <f>+Z164*1</f>
        <v>1150628293</v>
      </c>
      <c r="C164" s="21" t="str">
        <f>+AA164</f>
        <v>ENTRANTE</v>
      </c>
      <c r="D164" s="3" t="str">
        <f>VLOOKUP(Q164,Code!E:F,2,0)</f>
        <v>Admisiones</v>
      </c>
      <c r="E164" s="3" t="s">
        <v>55</v>
      </c>
      <c r="F164" s="3">
        <f>+AP164</f>
        <v>37</v>
      </c>
      <c r="G164" s="3">
        <f>+S164</f>
        <v>26</v>
      </c>
      <c r="H164" s="22">
        <f>+HOUR(V164)</f>
        <v>11</v>
      </c>
      <c r="I164" s="22">
        <f>IFERROR(VLOOKUP(B164,MATRICULAS!A:B,2,0),0)*1</f>
        <v>0</v>
      </c>
      <c r="J164" s="26">
        <v>20260512</v>
      </c>
      <c r="K164" s="26">
        <v>149168026</v>
      </c>
      <c r="L164" s="26" t="s">
        <v>134</v>
      </c>
      <c r="M164" s="26" t="s">
        <v>56</v>
      </c>
      <c r="N164" s="26">
        <v>0</v>
      </c>
      <c r="O164" s="26">
        <v>0</v>
      </c>
      <c r="P164" s="26" t="s">
        <v>57</v>
      </c>
      <c r="Q164" s="26">
        <v>150</v>
      </c>
      <c r="R164" s="26" t="s">
        <v>127</v>
      </c>
      <c r="S164" s="26">
        <v>26</v>
      </c>
      <c r="T164" s="26" t="s">
        <v>58</v>
      </c>
      <c r="U164" s="26" t="s">
        <v>59</v>
      </c>
      <c r="V164" s="28">
        <v>46154.495000000003</v>
      </c>
      <c r="W164" s="28">
        <v>46154.495011574072</v>
      </c>
      <c r="X164" s="28">
        <v>46154.49628472222</v>
      </c>
      <c r="Y164" s="26" t="s">
        <v>117</v>
      </c>
      <c r="Z164" s="26" t="s">
        <v>1038</v>
      </c>
      <c r="AA164" s="26" t="s">
        <v>53</v>
      </c>
      <c r="AB164" s="26" t="s">
        <v>60</v>
      </c>
      <c r="AC164" s="26" t="s">
        <v>1039</v>
      </c>
      <c r="AD164" s="26" t="s">
        <v>118</v>
      </c>
      <c r="AE164" s="26" t="s">
        <v>61</v>
      </c>
      <c r="AF164" s="26" t="s">
        <v>62</v>
      </c>
      <c r="AG164" s="26" t="s">
        <v>63</v>
      </c>
      <c r="AH164" s="26">
        <v>0</v>
      </c>
      <c r="AI164" s="26">
        <v>0</v>
      </c>
      <c r="AJ164" s="26">
        <v>0</v>
      </c>
      <c r="AK164" s="26">
        <v>0</v>
      </c>
      <c r="AL164" s="26" t="s">
        <v>64</v>
      </c>
      <c r="AM164" s="26">
        <v>3</v>
      </c>
      <c r="AN164" s="26">
        <v>111</v>
      </c>
      <c r="AO164" s="26" t="s">
        <v>65</v>
      </c>
      <c r="AP164" s="26">
        <v>37</v>
      </c>
      <c r="AQ164" s="26">
        <v>122</v>
      </c>
      <c r="AR164" s="26">
        <v>860613</v>
      </c>
      <c r="AS164" s="26" t="s">
        <v>118</v>
      </c>
      <c r="AT164" s="26" t="s">
        <v>1040</v>
      </c>
      <c r="AU164" s="29" t="s">
        <v>118</v>
      </c>
    </row>
    <row r="165" spans="1:47" x14ac:dyDescent="0.25">
      <c r="A165" s="7">
        <f>+CONCATENATE(DAY(V165),"/",MONTH(V165),"/",YEAR(V165),"")*1</f>
        <v>46154</v>
      </c>
      <c r="B165" s="23">
        <f>+Z165*1</f>
        <v>1130821512</v>
      </c>
      <c r="C165" s="21" t="str">
        <f>+AA165</f>
        <v>ENTRANTE</v>
      </c>
      <c r="D165" s="3" t="str">
        <f>VLOOKUP(Q165,Code!E:F,2,0)</f>
        <v>Admisiones</v>
      </c>
      <c r="E165" s="3" t="s">
        <v>55</v>
      </c>
      <c r="F165" s="3">
        <f>+AP165</f>
        <v>37</v>
      </c>
      <c r="G165" s="3">
        <f>+S165</f>
        <v>26</v>
      </c>
      <c r="H165" s="22">
        <f>+HOUR(V165)</f>
        <v>11</v>
      </c>
      <c r="I165" s="22">
        <f>IFERROR(VLOOKUP(B165,MATRICULAS!A:B,2,0),0)*1</f>
        <v>0</v>
      </c>
      <c r="J165" s="27">
        <v>20260512</v>
      </c>
      <c r="K165" s="27">
        <v>149166737</v>
      </c>
      <c r="L165" s="27" t="s">
        <v>134</v>
      </c>
      <c r="M165" s="27" t="s">
        <v>56</v>
      </c>
      <c r="N165" s="27">
        <v>0</v>
      </c>
      <c r="O165" s="27">
        <v>0</v>
      </c>
      <c r="P165" s="27" t="s">
        <v>57</v>
      </c>
      <c r="Q165" s="27">
        <v>150</v>
      </c>
      <c r="R165" s="27" t="s">
        <v>127</v>
      </c>
      <c r="S165" s="27">
        <v>26</v>
      </c>
      <c r="T165" s="27" t="s">
        <v>58</v>
      </c>
      <c r="U165" s="27" t="s">
        <v>59</v>
      </c>
      <c r="V165" s="30">
        <v>46154.469340277778</v>
      </c>
      <c r="W165" s="30">
        <v>46154.469340277778</v>
      </c>
      <c r="X165" s="30">
        <v>46154.475810185184</v>
      </c>
      <c r="Y165" s="27" t="s">
        <v>117</v>
      </c>
      <c r="Z165" s="27" t="s">
        <v>1041</v>
      </c>
      <c r="AA165" s="27" t="s">
        <v>53</v>
      </c>
      <c r="AB165" s="27" t="s">
        <v>60</v>
      </c>
      <c r="AC165" s="27" t="s">
        <v>1042</v>
      </c>
      <c r="AD165" s="27" t="s">
        <v>118</v>
      </c>
      <c r="AE165" s="27" t="s">
        <v>61</v>
      </c>
      <c r="AF165" s="27" t="s">
        <v>62</v>
      </c>
      <c r="AG165" s="27" t="s">
        <v>63</v>
      </c>
      <c r="AH165" s="27">
        <v>0</v>
      </c>
      <c r="AI165" s="27">
        <v>0</v>
      </c>
      <c r="AJ165" s="27">
        <v>0</v>
      </c>
      <c r="AK165" s="27">
        <v>0</v>
      </c>
      <c r="AL165" s="27" t="s">
        <v>64</v>
      </c>
      <c r="AM165" s="27">
        <v>3</v>
      </c>
      <c r="AN165" s="27">
        <v>559</v>
      </c>
      <c r="AO165" s="27" t="s">
        <v>65</v>
      </c>
      <c r="AP165" s="27">
        <v>37</v>
      </c>
      <c r="AQ165" s="27">
        <v>158</v>
      </c>
      <c r="AR165" s="27">
        <v>1685113</v>
      </c>
      <c r="AS165" s="27" t="s">
        <v>118</v>
      </c>
      <c r="AT165" s="27" t="s">
        <v>1043</v>
      </c>
      <c r="AU165" s="31" t="s">
        <v>118</v>
      </c>
    </row>
    <row r="166" spans="1:47" x14ac:dyDescent="0.25">
      <c r="A166" s="7">
        <f>+CONCATENATE(DAY(V166),"/",MONTH(V166),"/",YEAR(V166),"")*1</f>
        <v>46154</v>
      </c>
      <c r="B166" s="23">
        <f>+Z166*1</f>
        <v>1158570631</v>
      </c>
      <c r="C166" s="21" t="str">
        <f>+AA166</f>
        <v>ENTRANTE</v>
      </c>
      <c r="D166" s="3" t="str">
        <f>VLOOKUP(Q166,Code!E:F,2,0)</f>
        <v>Admisiones</v>
      </c>
      <c r="E166" s="3" t="s">
        <v>55</v>
      </c>
      <c r="F166" s="3">
        <f>+AP166</f>
        <v>37</v>
      </c>
      <c r="G166" s="3">
        <f>+S166</f>
        <v>26</v>
      </c>
      <c r="H166" s="22">
        <f>+HOUR(V166)</f>
        <v>11</v>
      </c>
      <c r="I166" s="22">
        <f>IFERROR(VLOOKUP(B166,MATRICULAS!A:B,2,0),0)*1</f>
        <v>0</v>
      </c>
      <c r="J166" s="26">
        <v>20260512</v>
      </c>
      <c r="K166" s="26">
        <v>149166690</v>
      </c>
      <c r="L166" s="26" t="s">
        <v>134</v>
      </c>
      <c r="M166" s="26" t="s">
        <v>56</v>
      </c>
      <c r="N166" s="26">
        <v>0</v>
      </c>
      <c r="O166" s="26">
        <v>0</v>
      </c>
      <c r="P166" s="26" t="s">
        <v>57</v>
      </c>
      <c r="Q166" s="26">
        <v>150</v>
      </c>
      <c r="R166" s="26" t="s">
        <v>1044</v>
      </c>
      <c r="S166" s="26">
        <v>26</v>
      </c>
      <c r="T166" s="26" t="s">
        <v>58</v>
      </c>
      <c r="U166" s="26" t="s">
        <v>59</v>
      </c>
      <c r="V166" s="28">
        <v>46154.468391203707</v>
      </c>
      <c r="W166" s="28">
        <v>46154.468391203707</v>
      </c>
      <c r="X166" s="28">
        <v>46154.46947916667</v>
      </c>
      <c r="Y166" s="26" t="s">
        <v>117</v>
      </c>
      <c r="Z166" s="26" t="s">
        <v>1045</v>
      </c>
      <c r="AA166" s="26" t="s">
        <v>53</v>
      </c>
      <c r="AB166" s="26" t="s">
        <v>60</v>
      </c>
      <c r="AC166" s="26" t="s">
        <v>1046</v>
      </c>
      <c r="AD166" s="26" t="s">
        <v>118</v>
      </c>
      <c r="AE166" s="26" t="s">
        <v>61</v>
      </c>
      <c r="AF166" s="26" t="s">
        <v>62</v>
      </c>
      <c r="AG166" s="26" t="s">
        <v>63</v>
      </c>
      <c r="AH166" s="26">
        <v>0</v>
      </c>
      <c r="AI166" s="26">
        <v>0</v>
      </c>
      <c r="AJ166" s="26">
        <v>0</v>
      </c>
      <c r="AK166" s="26">
        <v>0</v>
      </c>
      <c r="AL166" s="26" t="s">
        <v>64</v>
      </c>
      <c r="AM166" s="26">
        <v>3</v>
      </c>
      <c r="AN166" s="26">
        <v>95</v>
      </c>
      <c r="AO166" s="26" t="s">
        <v>65</v>
      </c>
      <c r="AP166" s="26">
        <v>37</v>
      </c>
      <c r="AQ166" s="26">
        <v>0</v>
      </c>
      <c r="AR166" s="26">
        <v>0</v>
      </c>
      <c r="AS166" s="26" t="s">
        <v>118</v>
      </c>
      <c r="AT166" s="26" t="s">
        <v>1047</v>
      </c>
      <c r="AU166" s="29" t="s">
        <v>118</v>
      </c>
    </row>
    <row r="167" spans="1:47" x14ac:dyDescent="0.25">
      <c r="A167" s="7">
        <f>+CONCATENATE(DAY(V167),"/",MONTH(V167),"/",YEAR(V167),"")*1</f>
        <v>46154</v>
      </c>
      <c r="B167" s="23">
        <f>+Z167*1</f>
        <v>1130194545</v>
      </c>
      <c r="C167" s="21" t="str">
        <f>+AA167</f>
        <v>ENTRANTE</v>
      </c>
      <c r="D167" s="3" t="str">
        <f>VLOOKUP(Q167,Code!E:F,2,0)</f>
        <v>Admisiones</v>
      </c>
      <c r="E167" s="3" t="s">
        <v>55</v>
      </c>
      <c r="F167" s="3">
        <f>+AP167</f>
        <v>37</v>
      </c>
      <c r="G167" s="3">
        <f>+S167</f>
        <v>5</v>
      </c>
      <c r="H167" s="22">
        <f>+HOUR(V167)</f>
        <v>9</v>
      </c>
      <c r="I167" s="22">
        <f>IFERROR(VLOOKUP(B167,MATRICULAS!A:B,2,0),0)*1</f>
        <v>0</v>
      </c>
      <c r="J167" s="27">
        <v>20260512</v>
      </c>
      <c r="K167" s="27">
        <v>149164618</v>
      </c>
      <c r="L167" s="27" t="s">
        <v>134</v>
      </c>
      <c r="M167" s="27" t="s">
        <v>56</v>
      </c>
      <c r="N167" s="27">
        <v>0</v>
      </c>
      <c r="O167" s="27">
        <v>0</v>
      </c>
      <c r="P167" s="27" t="s">
        <v>57</v>
      </c>
      <c r="Q167" s="27">
        <v>150</v>
      </c>
      <c r="R167" s="27" t="s">
        <v>1044</v>
      </c>
      <c r="S167" s="27">
        <v>5</v>
      </c>
      <c r="T167" s="27" t="s">
        <v>58</v>
      </c>
      <c r="U167" s="27" t="s">
        <v>59</v>
      </c>
      <c r="V167" s="30">
        <v>46154.402673611112</v>
      </c>
      <c r="W167" s="30">
        <v>46154.402673611112</v>
      </c>
      <c r="X167" s="30">
        <v>46154.404374999998</v>
      </c>
      <c r="Y167" s="27" t="s">
        <v>117</v>
      </c>
      <c r="Z167" s="27" t="s">
        <v>1048</v>
      </c>
      <c r="AA167" s="27" t="s">
        <v>53</v>
      </c>
      <c r="AB167" s="27" t="s">
        <v>60</v>
      </c>
      <c r="AC167" s="27" t="s">
        <v>1049</v>
      </c>
      <c r="AD167" s="27" t="s">
        <v>118</v>
      </c>
      <c r="AE167" s="27" t="s">
        <v>61</v>
      </c>
      <c r="AF167" s="27" t="s">
        <v>62</v>
      </c>
      <c r="AG167" s="27" t="s">
        <v>63</v>
      </c>
      <c r="AH167" s="27">
        <v>0</v>
      </c>
      <c r="AI167" s="27">
        <v>0</v>
      </c>
      <c r="AJ167" s="27">
        <v>0</v>
      </c>
      <c r="AK167" s="27">
        <v>0</v>
      </c>
      <c r="AL167" s="27" t="s">
        <v>64</v>
      </c>
      <c r="AM167" s="27">
        <v>3</v>
      </c>
      <c r="AN167" s="27">
        <v>148</v>
      </c>
      <c r="AO167" s="27" t="s">
        <v>65</v>
      </c>
      <c r="AP167" s="27">
        <v>37</v>
      </c>
      <c r="AQ167" s="27">
        <v>0</v>
      </c>
      <c r="AR167" s="27">
        <v>0</v>
      </c>
      <c r="AS167" s="27" t="s">
        <v>118</v>
      </c>
      <c r="AT167" s="27" t="s">
        <v>1050</v>
      </c>
      <c r="AU167" s="31" t="s">
        <v>118</v>
      </c>
    </row>
    <row r="168" spans="1:47" x14ac:dyDescent="0.25">
      <c r="A168" s="7">
        <f>+CONCATENATE(DAY(V168),"/",MONTH(V168),"/",YEAR(V168),"")*1</f>
        <v>46154</v>
      </c>
      <c r="B168" s="23">
        <f>+Z168*1</f>
        <v>2396624298</v>
      </c>
      <c r="C168" s="21" t="str">
        <f>+AA168</f>
        <v>ENTRANTE</v>
      </c>
      <c r="D168" s="3" t="str">
        <f>VLOOKUP(Q168,Code!E:F,2,0)</f>
        <v>Admisiones</v>
      </c>
      <c r="E168" s="3" t="s">
        <v>55</v>
      </c>
      <c r="F168" s="3">
        <f>+AP168</f>
        <v>37</v>
      </c>
      <c r="G168" s="3">
        <f>+S168</f>
        <v>26</v>
      </c>
      <c r="H168" s="22">
        <f>+HOUR(V168)</f>
        <v>9</v>
      </c>
      <c r="I168" s="22">
        <f>IFERROR(VLOOKUP(B168,MATRICULAS!A:B,2,0),0)*1</f>
        <v>0</v>
      </c>
      <c r="J168" s="26">
        <v>20260512</v>
      </c>
      <c r="K168" s="26">
        <v>149164449</v>
      </c>
      <c r="L168" s="26" t="s">
        <v>134</v>
      </c>
      <c r="M168" s="26" t="s">
        <v>56</v>
      </c>
      <c r="N168" s="26">
        <v>0</v>
      </c>
      <c r="O168" s="26">
        <v>0</v>
      </c>
      <c r="P168" s="26" t="s">
        <v>57</v>
      </c>
      <c r="Q168" s="26">
        <v>150</v>
      </c>
      <c r="R168" s="26" t="s">
        <v>1044</v>
      </c>
      <c r="S168" s="26">
        <v>26</v>
      </c>
      <c r="T168" s="26" t="s">
        <v>58</v>
      </c>
      <c r="U168" s="26" t="s">
        <v>59</v>
      </c>
      <c r="V168" s="28">
        <v>46154.385254629633</v>
      </c>
      <c r="W168" s="28">
        <v>46154.385266203702</v>
      </c>
      <c r="X168" s="28">
        <v>46154.39</v>
      </c>
      <c r="Y168" s="26" t="s">
        <v>117</v>
      </c>
      <c r="Z168" s="26" t="s">
        <v>1051</v>
      </c>
      <c r="AA168" s="26" t="s">
        <v>53</v>
      </c>
      <c r="AB168" s="26" t="s">
        <v>60</v>
      </c>
      <c r="AC168" s="26" t="s">
        <v>1052</v>
      </c>
      <c r="AD168" s="26" t="s">
        <v>118</v>
      </c>
      <c r="AE168" s="26" t="s">
        <v>61</v>
      </c>
      <c r="AF168" s="26" t="s">
        <v>62</v>
      </c>
      <c r="AG168" s="26" t="s">
        <v>63</v>
      </c>
      <c r="AH168" s="26">
        <v>0</v>
      </c>
      <c r="AI168" s="26">
        <v>0</v>
      </c>
      <c r="AJ168" s="26">
        <v>0</v>
      </c>
      <c r="AK168" s="26">
        <v>0</v>
      </c>
      <c r="AL168" s="26" t="s">
        <v>64</v>
      </c>
      <c r="AM168" s="26">
        <v>3</v>
      </c>
      <c r="AN168" s="26">
        <v>410</v>
      </c>
      <c r="AO168" s="26" t="s">
        <v>65</v>
      </c>
      <c r="AP168" s="26">
        <v>37</v>
      </c>
      <c r="AQ168" s="26">
        <v>0</v>
      </c>
      <c r="AR168" s="26">
        <v>0</v>
      </c>
      <c r="AS168" s="26" t="s">
        <v>118</v>
      </c>
      <c r="AT168" s="26" t="s">
        <v>1053</v>
      </c>
      <c r="AU168" s="29" t="s">
        <v>118</v>
      </c>
    </row>
    <row r="169" spans="1:47" x14ac:dyDescent="0.25">
      <c r="A169" s="7">
        <f>+CONCATENATE(DAY(V169),"/",MONTH(V169),"/",YEAR(V169),"")*1</f>
        <v>46154</v>
      </c>
      <c r="B169" s="23">
        <f>+Z169*1</f>
        <v>1144360378</v>
      </c>
      <c r="C169" s="21" t="str">
        <f>+AA169</f>
        <v>ENTRANTE</v>
      </c>
      <c r="D169" s="3" t="str">
        <f>VLOOKUP(Q169,Code!E:F,2,0)</f>
        <v>Admisiones</v>
      </c>
      <c r="E169" s="3" t="s">
        <v>55</v>
      </c>
      <c r="F169" s="3">
        <f>+AP169</f>
        <v>37</v>
      </c>
      <c r="G169" s="3">
        <f>+S169</f>
        <v>26</v>
      </c>
      <c r="H169" s="22">
        <f>+HOUR(V169)</f>
        <v>12</v>
      </c>
      <c r="I169" s="22">
        <f>IFERROR(VLOOKUP(B169,MATRICULAS!A:B,2,0),0)*1</f>
        <v>0</v>
      </c>
      <c r="J169" s="27">
        <v>20260512</v>
      </c>
      <c r="K169" s="27">
        <v>149168761</v>
      </c>
      <c r="L169" s="27" t="s">
        <v>134</v>
      </c>
      <c r="M169" s="27" t="s">
        <v>56</v>
      </c>
      <c r="N169" s="27">
        <v>0</v>
      </c>
      <c r="O169" s="27">
        <v>0</v>
      </c>
      <c r="P169" s="27" t="s">
        <v>57</v>
      </c>
      <c r="Q169" s="27">
        <v>150</v>
      </c>
      <c r="R169" s="27" t="s">
        <v>118</v>
      </c>
      <c r="S169" s="27">
        <v>26</v>
      </c>
      <c r="T169" s="27" t="s">
        <v>58</v>
      </c>
      <c r="U169" s="27" t="s">
        <v>119</v>
      </c>
      <c r="V169" s="30">
        <v>46154.509050925924</v>
      </c>
      <c r="W169" s="30">
        <v>46154.509050925924</v>
      </c>
      <c r="X169" s="30">
        <v>46154.509293981479</v>
      </c>
      <c r="Y169" s="27" t="s">
        <v>117</v>
      </c>
      <c r="Z169" s="27" t="s">
        <v>1481</v>
      </c>
      <c r="AA169" s="27" t="s">
        <v>53</v>
      </c>
      <c r="AB169" s="27" t="s">
        <v>69</v>
      </c>
      <c r="AC169" s="27" t="s">
        <v>118</v>
      </c>
      <c r="AD169" s="27" t="s">
        <v>118</v>
      </c>
      <c r="AE169" s="27" t="s">
        <v>61</v>
      </c>
      <c r="AF169" s="27" t="s">
        <v>62</v>
      </c>
      <c r="AG169" s="27" t="s">
        <v>63</v>
      </c>
      <c r="AH169" s="27">
        <v>0</v>
      </c>
      <c r="AI169" s="27">
        <v>0</v>
      </c>
      <c r="AJ169" s="27">
        <v>0</v>
      </c>
      <c r="AK169" s="27">
        <v>0</v>
      </c>
      <c r="AL169" s="27" t="s">
        <v>64</v>
      </c>
      <c r="AM169" s="27">
        <v>3</v>
      </c>
      <c r="AN169" s="27">
        <v>22</v>
      </c>
      <c r="AO169" s="27" t="s">
        <v>65</v>
      </c>
      <c r="AP169" s="27">
        <v>37</v>
      </c>
      <c r="AQ169" s="27">
        <v>0</v>
      </c>
      <c r="AR169" s="27">
        <v>0</v>
      </c>
      <c r="AS169" s="27" t="s">
        <v>118</v>
      </c>
      <c r="AT169" s="27" t="s">
        <v>1482</v>
      </c>
      <c r="AU169" s="31" t="s">
        <v>118</v>
      </c>
    </row>
    <row r="170" spans="1:47" x14ac:dyDescent="0.25">
      <c r="A170" s="7">
        <f>+CONCATENATE(DAY(V170),"/",MONTH(V170),"/",YEAR(V170),"")*1</f>
        <v>46155</v>
      </c>
      <c r="B170" s="23">
        <f>+Z170*1</f>
        <v>3813578989</v>
      </c>
      <c r="C170" s="21" t="str">
        <f>+AA170</f>
        <v>ENTRANTE</v>
      </c>
      <c r="D170" s="3" t="str">
        <f>VLOOKUP(Q170,Code!E:F,2,0)</f>
        <v>Admisiones</v>
      </c>
      <c r="E170" s="3" t="s">
        <v>55</v>
      </c>
      <c r="F170" s="3">
        <f>+AP170</f>
        <v>37</v>
      </c>
      <c r="G170" s="3">
        <f>+S170</f>
        <v>27</v>
      </c>
      <c r="H170" s="22">
        <f>+HOUR(V170)</f>
        <v>20</v>
      </c>
      <c r="I170" s="22">
        <f>IFERROR(VLOOKUP(B170,MATRICULAS!A:B,2,0),0)*1</f>
        <v>0</v>
      </c>
      <c r="J170" s="26">
        <v>20260513</v>
      </c>
      <c r="K170" s="26">
        <v>149200260</v>
      </c>
      <c r="L170" s="26" t="s">
        <v>134</v>
      </c>
      <c r="M170" s="26" t="s">
        <v>56</v>
      </c>
      <c r="N170" s="26">
        <v>0</v>
      </c>
      <c r="O170" s="26">
        <v>0</v>
      </c>
      <c r="P170" s="26" t="s">
        <v>57</v>
      </c>
      <c r="Q170" s="26">
        <v>150</v>
      </c>
      <c r="R170" s="26" t="s">
        <v>174</v>
      </c>
      <c r="S170" s="26">
        <v>27</v>
      </c>
      <c r="T170" s="26" t="s">
        <v>58</v>
      </c>
      <c r="U170" s="26" t="s">
        <v>59</v>
      </c>
      <c r="V170" s="28">
        <v>46155.852314814816</v>
      </c>
      <c r="W170" s="28">
        <v>46155.852314814816</v>
      </c>
      <c r="X170" s="28">
        <v>46155.854259259257</v>
      </c>
      <c r="Y170" s="26" t="s">
        <v>117</v>
      </c>
      <c r="Z170" s="26" t="s">
        <v>938</v>
      </c>
      <c r="AA170" s="26" t="s">
        <v>53</v>
      </c>
      <c r="AB170" s="26" t="s">
        <v>60</v>
      </c>
      <c r="AC170" s="26" t="s">
        <v>939</v>
      </c>
      <c r="AD170" s="26" t="s">
        <v>118</v>
      </c>
      <c r="AE170" s="26" t="s">
        <v>70</v>
      </c>
      <c r="AF170" s="26" t="s">
        <v>138</v>
      </c>
      <c r="AG170" s="26" t="s">
        <v>139</v>
      </c>
      <c r="AH170" s="26">
        <v>0</v>
      </c>
      <c r="AI170" s="26">
        <v>0</v>
      </c>
      <c r="AJ170" s="26">
        <v>0</v>
      </c>
      <c r="AK170" s="26">
        <v>0</v>
      </c>
      <c r="AL170" s="26" t="s">
        <v>64</v>
      </c>
      <c r="AM170" s="26">
        <v>3</v>
      </c>
      <c r="AN170" s="26">
        <v>168</v>
      </c>
      <c r="AO170" s="26" t="s">
        <v>65</v>
      </c>
      <c r="AP170" s="26">
        <v>37</v>
      </c>
      <c r="AQ170" s="26">
        <v>1</v>
      </c>
      <c r="AR170" s="26">
        <v>2497014</v>
      </c>
      <c r="AS170" s="26" t="s">
        <v>118</v>
      </c>
      <c r="AT170" s="26" t="s">
        <v>940</v>
      </c>
      <c r="AU170" s="29" t="s">
        <v>118</v>
      </c>
    </row>
    <row r="171" spans="1:47" x14ac:dyDescent="0.25">
      <c r="A171" s="7">
        <f>+CONCATENATE(DAY(V171),"/",MONTH(V171),"/",YEAR(V171),"")*1</f>
        <v>46155</v>
      </c>
      <c r="B171" s="23">
        <f>+Z171*1</f>
        <v>3815989528</v>
      </c>
      <c r="C171" s="21" t="str">
        <f>+AA171</f>
        <v>ENTRANTE</v>
      </c>
      <c r="D171" s="3" t="str">
        <f>VLOOKUP(Q171,Code!E:F,2,0)</f>
        <v>Admisiones</v>
      </c>
      <c r="E171" s="3" t="s">
        <v>55</v>
      </c>
      <c r="F171" s="3">
        <f>+AP171</f>
        <v>37</v>
      </c>
      <c r="G171" s="3">
        <f>+S171</f>
        <v>27</v>
      </c>
      <c r="H171" s="22">
        <f>+HOUR(V171)</f>
        <v>18</v>
      </c>
      <c r="I171" s="22">
        <f>IFERROR(VLOOKUP(B171,MATRICULAS!A:B,2,0),0)*1</f>
        <v>1</v>
      </c>
      <c r="J171" s="27">
        <v>20260513</v>
      </c>
      <c r="K171" s="27">
        <v>149197868</v>
      </c>
      <c r="L171" s="27" t="s">
        <v>134</v>
      </c>
      <c r="M171" s="27" t="s">
        <v>56</v>
      </c>
      <c r="N171" s="27">
        <v>0</v>
      </c>
      <c r="O171" s="27">
        <v>0</v>
      </c>
      <c r="P171" s="27" t="s">
        <v>57</v>
      </c>
      <c r="Q171" s="27">
        <v>150</v>
      </c>
      <c r="R171" s="27" t="s">
        <v>174</v>
      </c>
      <c r="S171" s="27">
        <v>27</v>
      </c>
      <c r="T171" s="27" t="s">
        <v>58</v>
      </c>
      <c r="U171" s="27" t="s">
        <v>59</v>
      </c>
      <c r="V171" s="30">
        <v>46155.78292824074</v>
      </c>
      <c r="W171" s="30">
        <v>46155.78292824074</v>
      </c>
      <c r="X171" s="30">
        <v>46155.789641203701</v>
      </c>
      <c r="Y171" s="27" t="s">
        <v>117</v>
      </c>
      <c r="Z171" s="27" t="s">
        <v>941</v>
      </c>
      <c r="AA171" s="27" t="s">
        <v>53</v>
      </c>
      <c r="AB171" s="27" t="s">
        <v>60</v>
      </c>
      <c r="AC171" s="27" t="s">
        <v>942</v>
      </c>
      <c r="AD171" s="27" t="s">
        <v>118</v>
      </c>
      <c r="AE171" s="27" t="s">
        <v>61</v>
      </c>
      <c r="AF171" s="27" t="s">
        <v>62</v>
      </c>
      <c r="AG171" s="27" t="s">
        <v>63</v>
      </c>
      <c r="AH171" s="27">
        <v>0</v>
      </c>
      <c r="AI171" s="27">
        <v>0</v>
      </c>
      <c r="AJ171" s="27">
        <v>0</v>
      </c>
      <c r="AK171" s="27">
        <v>0</v>
      </c>
      <c r="AL171" s="27" t="s">
        <v>64</v>
      </c>
      <c r="AM171" s="27">
        <v>3</v>
      </c>
      <c r="AN171" s="27">
        <v>580</v>
      </c>
      <c r="AO171" s="27" t="s">
        <v>65</v>
      </c>
      <c r="AP171" s="27">
        <v>37</v>
      </c>
      <c r="AQ171" s="27">
        <v>201</v>
      </c>
      <c r="AR171" s="27">
        <v>2491099</v>
      </c>
      <c r="AS171" s="27" t="s">
        <v>118</v>
      </c>
      <c r="AT171" s="27" t="s">
        <v>943</v>
      </c>
      <c r="AU171" s="31" t="s">
        <v>118</v>
      </c>
    </row>
    <row r="172" spans="1:47" x14ac:dyDescent="0.25">
      <c r="A172" s="7">
        <f>+CONCATENATE(DAY(V172),"/",MONTH(V172),"/",YEAR(V172),"")*1</f>
        <v>46155</v>
      </c>
      <c r="B172" s="23">
        <f>+Z172*1</f>
        <v>1153376856</v>
      </c>
      <c r="C172" s="21" t="str">
        <f>+AA172</f>
        <v>ENTRANTE</v>
      </c>
      <c r="D172" s="3" t="str">
        <f>VLOOKUP(Q172,Code!E:F,2,0)</f>
        <v>Admisiones</v>
      </c>
      <c r="E172" s="3" t="s">
        <v>55</v>
      </c>
      <c r="F172" s="3">
        <f>+AP172</f>
        <v>37</v>
      </c>
      <c r="G172" s="3">
        <f>+S172</f>
        <v>27</v>
      </c>
      <c r="H172" s="22">
        <f>+HOUR(V172)</f>
        <v>18</v>
      </c>
      <c r="I172" s="22">
        <f>IFERROR(VLOOKUP(B172,MATRICULAS!A:B,2,0),0)*1</f>
        <v>0</v>
      </c>
      <c r="J172" s="26">
        <v>20260513</v>
      </c>
      <c r="K172" s="26">
        <v>149197307</v>
      </c>
      <c r="L172" s="26" t="s">
        <v>134</v>
      </c>
      <c r="M172" s="26" t="s">
        <v>56</v>
      </c>
      <c r="N172" s="26">
        <v>0</v>
      </c>
      <c r="O172" s="26">
        <v>0</v>
      </c>
      <c r="P172" s="26" t="s">
        <v>57</v>
      </c>
      <c r="Q172" s="26">
        <v>150</v>
      </c>
      <c r="R172" s="26" t="s">
        <v>163</v>
      </c>
      <c r="S172" s="26">
        <v>27</v>
      </c>
      <c r="T172" s="26" t="s">
        <v>58</v>
      </c>
      <c r="U172" s="26" t="s">
        <v>59</v>
      </c>
      <c r="V172" s="28">
        <v>46155.767534722225</v>
      </c>
      <c r="W172" s="28">
        <v>46155.767534722225</v>
      </c>
      <c r="X172" s="28">
        <v>46155.772523148145</v>
      </c>
      <c r="Y172" s="26" t="s">
        <v>117</v>
      </c>
      <c r="Z172" s="26" t="s">
        <v>899</v>
      </c>
      <c r="AA172" s="26" t="s">
        <v>53</v>
      </c>
      <c r="AB172" s="26" t="s">
        <v>60</v>
      </c>
      <c r="AC172" s="26" t="s">
        <v>944</v>
      </c>
      <c r="AD172" s="26" t="s">
        <v>118</v>
      </c>
      <c r="AE172" s="26" t="s">
        <v>61</v>
      </c>
      <c r="AF172" s="26" t="s">
        <v>62</v>
      </c>
      <c r="AG172" s="26" t="s">
        <v>63</v>
      </c>
      <c r="AH172" s="26">
        <v>0</v>
      </c>
      <c r="AI172" s="26">
        <v>0</v>
      </c>
      <c r="AJ172" s="26">
        <v>0</v>
      </c>
      <c r="AK172" s="26">
        <v>0</v>
      </c>
      <c r="AL172" s="26" t="s">
        <v>64</v>
      </c>
      <c r="AM172" s="26">
        <v>3</v>
      </c>
      <c r="AN172" s="26">
        <v>431</v>
      </c>
      <c r="AO172" s="26" t="s">
        <v>65</v>
      </c>
      <c r="AP172" s="26">
        <v>37</v>
      </c>
      <c r="AQ172" s="26">
        <v>181</v>
      </c>
      <c r="AR172" s="26">
        <v>2147313</v>
      </c>
      <c r="AS172" s="26" t="s">
        <v>118</v>
      </c>
      <c r="AT172" s="26" t="s">
        <v>945</v>
      </c>
      <c r="AU172" s="29" t="s">
        <v>118</v>
      </c>
    </row>
    <row r="173" spans="1:47" x14ac:dyDescent="0.25">
      <c r="A173" s="7">
        <f>+CONCATENATE(DAY(V173),"/",MONTH(V173),"/",YEAR(V173),"")*1</f>
        <v>46155</v>
      </c>
      <c r="B173" s="23">
        <f>+Z173*1</f>
        <v>2323361089</v>
      </c>
      <c r="C173" s="21" t="str">
        <f>+AA173</f>
        <v>ENTRANTE</v>
      </c>
      <c r="D173" s="3" t="str">
        <f>VLOOKUP(Q173,Code!E:F,2,0)</f>
        <v>Admisiones</v>
      </c>
      <c r="E173" s="3" t="s">
        <v>55</v>
      </c>
      <c r="F173" s="3">
        <f>+AP173</f>
        <v>37</v>
      </c>
      <c r="G173" s="3">
        <f>+S173</f>
        <v>27</v>
      </c>
      <c r="H173" s="22">
        <f>+HOUR(V173)</f>
        <v>18</v>
      </c>
      <c r="I173" s="22">
        <f>IFERROR(VLOOKUP(B173,MATRICULAS!A:B,2,0),0)*1</f>
        <v>1</v>
      </c>
      <c r="J173" s="27">
        <v>20260513</v>
      </c>
      <c r="K173" s="27">
        <v>149197179</v>
      </c>
      <c r="L173" s="27" t="s">
        <v>134</v>
      </c>
      <c r="M173" s="27" t="s">
        <v>56</v>
      </c>
      <c r="N173" s="27">
        <v>0</v>
      </c>
      <c r="O173" s="27">
        <v>0</v>
      </c>
      <c r="P173" s="27" t="s">
        <v>57</v>
      </c>
      <c r="Q173" s="27">
        <v>150</v>
      </c>
      <c r="R173" s="27" t="s">
        <v>174</v>
      </c>
      <c r="S173" s="27">
        <v>27</v>
      </c>
      <c r="T173" s="27" t="s">
        <v>58</v>
      </c>
      <c r="U173" s="27" t="s">
        <v>59</v>
      </c>
      <c r="V173" s="30">
        <v>46155.763090277775</v>
      </c>
      <c r="W173" s="30">
        <v>46155.763090277775</v>
      </c>
      <c r="X173" s="30">
        <v>46155.771041666667</v>
      </c>
      <c r="Y173" s="27" t="s">
        <v>117</v>
      </c>
      <c r="Z173" s="27" t="s">
        <v>184</v>
      </c>
      <c r="AA173" s="27" t="s">
        <v>53</v>
      </c>
      <c r="AB173" s="27" t="s">
        <v>60</v>
      </c>
      <c r="AC173" s="27" t="s">
        <v>946</v>
      </c>
      <c r="AD173" s="27" t="s">
        <v>118</v>
      </c>
      <c r="AE173" s="27" t="s">
        <v>70</v>
      </c>
      <c r="AF173" s="27" t="s">
        <v>126</v>
      </c>
      <c r="AG173" s="27" t="s">
        <v>179</v>
      </c>
      <c r="AH173" s="27">
        <v>0</v>
      </c>
      <c r="AI173" s="27">
        <v>0</v>
      </c>
      <c r="AJ173" s="27">
        <v>0</v>
      </c>
      <c r="AK173" s="27">
        <v>0</v>
      </c>
      <c r="AL173" s="27" t="s">
        <v>64</v>
      </c>
      <c r="AM173" s="27">
        <v>3</v>
      </c>
      <c r="AN173" s="27">
        <v>687</v>
      </c>
      <c r="AO173" s="27" t="s">
        <v>65</v>
      </c>
      <c r="AP173" s="27">
        <v>37</v>
      </c>
      <c r="AQ173" s="27">
        <v>202</v>
      </c>
      <c r="AR173" s="27">
        <v>2496912</v>
      </c>
      <c r="AS173" s="27" t="s">
        <v>118</v>
      </c>
      <c r="AT173" s="27" t="s">
        <v>947</v>
      </c>
      <c r="AU173" s="31" t="s">
        <v>118</v>
      </c>
    </row>
    <row r="174" spans="1:47" x14ac:dyDescent="0.25">
      <c r="A174" s="7">
        <f>+CONCATENATE(DAY(V174),"/",MONTH(V174),"/",YEAR(V174),"")*1</f>
        <v>46155</v>
      </c>
      <c r="B174" s="23">
        <f>+Z174*1</f>
        <v>3574455605</v>
      </c>
      <c r="C174" s="21" t="str">
        <f>+AA174</f>
        <v>ENTRANTE</v>
      </c>
      <c r="D174" s="3" t="str">
        <f>VLOOKUP(Q174,Code!E:F,2,0)</f>
        <v>Admisiones</v>
      </c>
      <c r="E174" s="3" t="s">
        <v>55</v>
      </c>
      <c r="F174" s="3">
        <f>+AP174</f>
        <v>37</v>
      </c>
      <c r="G174" s="3">
        <f>+S174</f>
        <v>27</v>
      </c>
      <c r="H174" s="22">
        <f>+HOUR(V174)</f>
        <v>17</v>
      </c>
      <c r="I174" s="22">
        <f>IFERROR(VLOOKUP(B174,MATRICULAS!A:B,2,0),0)*1</f>
        <v>0</v>
      </c>
      <c r="J174" s="27">
        <v>20260513</v>
      </c>
      <c r="K174" s="27">
        <v>149196694</v>
      </c>
      <c r="L174" s="27" t="s">
        <v>134</v>
      </c>
      <c r="M174" s="27" t="s">
        <v>56</v>
      </c>
      <c r="N174" s="27">
        <v>0</v>
      </c>
      <c r="O174" s="27">
        <v>0</v>
      </c>
      <c r="P174" s="27" t="s">
        <v>57</v>
      </c>
      <c r="Q174" s="27">
        <v>150</v>
      </c>
      <c r="R174" s="27" t="s">
        <v>174</v>
      </c>
      <c r="S174" s="27">
        <v>27</v>
      </c>
      <c r="T174" s="27" t="s">
        <v>58</v>
      </c>
      <c r="U174" s="27" t="s">
        <v>59</v>
      </c>
      <c r="V174" s="30">
        <v>46155.747511574074</v>
      </c>
      <c r="W174" s="30">
        <v>46155.747511574074</v>
      </c>
      <c r="X174" s="30">
        <v>46155.753530092596</v>
      </c>
      <c r="Y174" s="27" t="s">
        <v>117</v>
      </c>
      <c r="Z174" s="27" t="s">
        <v>948</v>
      </c>
      <c r="AA174" s="27" t="s">
        <v>53</v>
      </c>
      <c r="AB174" s="27" t="s">
        <v>60</v>
      </c>
      <c r="AC174" s="27" t="s">
        <v>949</v>
      </c>
      <c r="AD174" s="27" t="s">
        <v>118</v>
      </c>
      <c r="AE174" s="27" t="s">
        <v>61</v>
      </c>
      <c r="AF174" s="27" t="s">
        <v>62</v>
      </c>
      <c r="AG174" s="27" t="s">
        <v>63</v>
      </c>
      <c r="AH174" s="27">
        <v>0</v>
      </c>
      <c r="AI174" s="27">
        <v>0</v>
      </c>
      <c r="AJ174" s="27">
        <v>0</v>
      </c>
      <c r="AK174" s="27">
        <v>0</v>
      </c>
      <c r="AL174" s="27" t="s">
        <v>64</v>
      </c>
      <c r="AM174" s="27">
        <v>3</v>
      </c>
      <c r="AN174" s="27">
        <v>521</v>
      </c>
      <c r="AO174" s="27" t="s">
        <v>65</v>
      </c>
      <c r="AP174" s="27">
        <v>37</v>
      </c>
      <c r="AQ174" s="27">
        <v>201</v>
      </c>
      <c r="AR174" s="27">
        <v>2488692</v>
      </c>
      <c r="AS174" s="27" t="s">
        <v>118</v>
      </c>
      <c r="AT174" s="27" t="s">
        <v>950</v>
      </c>
      <c r="AU174" s="31" t="s">
        <v>118</v>
      </c>
    </row>
    <row r="175" spans="1:47" x14ac:dyDescent="0.25">
      <c r="A175" s="7">
        <f>+CONCATENATE(DAY(V175),"/",MONTH(V175),"/",YEAR(V175),"")*1</f>
        <v>46155</v>
      </c>
      <c r="B175" s="23">
        <f>+Z175*1</f>
        <v>1140803176</v>
      </c>
      <c r="C175" s="21" t="str">
        <f>+AA175</f>
        <v>ENTRANTE</v>
      </c>
      <c r="D175" s="3" t="str">
        <f>VLOOKUP(Q175,Code!E:F,2,0)</f>
        <v>Admisiones</v>
      </c>
      <c r="E175" s="3" t="s">
        <v>55</v>
      </c>
      <c r="F175" s="3">
        <f>+AP175</f>
        <v>37</v>
      </c>
      <c r="G175" s="3">
        <f>+S175</f>
        <v>27</v>
      </c>
      <c r="H175" s="22">
        <f>+HOUR(V175)</f>
        <v>17</v>
      </c>
      <c r="I175" s="22">
        <f>IFERROR(VLOOKUP(B175,MATRICULAS!A:B,2,0),0)*1</f>
        <v>0</v>
      </c>
      <c r="J175" s="26">
        <v>20260513</v>
      </c>
      <c r="K175" s="26">
        <v>149195882</v>
      </c>
      <c r="L175" s="26" t="s">
        <v>134</v>
      </c>
      <c r="M175" s="26" t="s">
        <v>56</v>
      </c>
      <c r="N175" s="26">
        <v>0</v>
      </c>
      <c r="O175" s="26">
        <v>0</v>
      </c>
      <c r="P175" s="26" t="s">
        <v>57</v>
      </c>
      <c r="Q175" s="26">
        <v>150</v>
      </c>
      <c r="R175" s="26" t="s">
        <v>174</v>
      </c>
      <c r="S175" s="26">
        <v>27</v>
      </c>
      <c r="T175" s="26" t="s">
        <v>58</v>
      </c>
      <c r="U175" s="26" t="s">
        <v>59</v>
      </c>
      <c r="V175" s="28">
        <v>46155.720243055555</v>
      </c>
      <c r="W175" s="28">
        <v>46155.720243055555</v>
      </c>
      <c r="X175" s="28">
        <v>46155.725219907406</v>
      </c>
      <c r="Y175" s="26" t="s">
        <v>117</v>
      </c>
      <c r="Z175" s="26" t="s">
        <v>951</v>
      </c>
      <c r="AA175" s="26" t="s">
        <v>53</v>
      </c>
      <c r="AB175" s="26" t="s">
        <v>60</v>
      </c>
      <c r="AC175" s="26" t="s">
        <v>952</v>
      </c>
      <c r="AD175" s="26" t="s">
        <v>118</v>
      </c>
      <c r="AE175" s="26" t="s">
        <v>61</v>
      </c>
      <c r="AF175" s="26" t="s">
        <v>62</v>
      </c>
      <c r="AG175" s="26" t="s">
        <v>63</v>
      </c>
      <c r="AH175" s="26">
        <v>0</v>
      </c>
      <c r="AI175" s="26">
        <v>0</v>
      </c>
      <c r="AJ175" s="26">
        <v>0</v>
      </c>
      <c r="AK175" s="26">
        <v>0</v>
      </c>
      <c r="AL175" s="26" t="s">
        <v>64</v>
      </c>
      <c r="AM175" s="26">
        <v>3</v>
      </c>
      <c r="AN175" s="26">
        <v>430</v>
      </c>
      <c r="AO175" s="26" t="s">
        <v>65</v>
      </c>
      <c r="AP175" s="26">
        <v>37</v>
      </c>
      <c r="AQ175" s="26">
        <v>1</v>
      </c>
      <c r="AR175" s="26">
        <v>2496863</v>
      </c>
      <c r="AS175" s="26" t="s">
        <v>118</v>
      </c>
      <c r="AT175" s="26" t="s">
        <v>953</v>
      </c>
      <c r="AU175" s="29" t="s">
        <v>118</v>
      </c>
    </row>
    <row r="176" spans="1:47" x14ac:dyDescent="0.25">
      <c r="A176" s="7">
        <f>+CONCATENATE(DAY(V176),"/",MONTH(V176),"/",YEAR(V176),"")*1</f>
        <v>46155</v>
      </c>
      <c r="B176" s="23">
        <f>+Z176*1</f>
        <v>1153478908</v>
      </c>
      <c r="C176" s="21" t="str">
        <f>+AA176</f>
        <v>ENTRANTE</v>
      </c>
      <c r="D176" s="3" t="str">
        <f>VLOOKUP(Q176,Code!E:F,2,0)</f>
        <v>Admisiones</v>
      </c>
      <c r="E176" s="3" t="s">
        <v>55</v>
      </c>
      <c r="F176" s="3">
        <f>+AP176</f>
        <v>37</v>
      </c>
      <c r="G176" s="3">
        <f>+S176</f>
        <v>27</v>
      </c>
      <c r="H176" s="22">
        <f>+HOUR(V176)</f>
        <v>16</v>
      </c>
      <c r="I176" s="22">
        <f>IFERROR(VLOOKUP(B176,MATRICULAS!A:B,2,0),0)*1</f>
        <v>0</v>
      </c>
      <c r="J176" s="27">
        <v>20260513</v>
      </c>
      <c r="K176" s="27">
        <v>149194285</v>
      </c>
      <c r="L176" s="27" t="s">
        <v>134</v>
      </c>
      <c r="M176" s="27" t="s">
        <v>56</v>
      </c>
      <c r="N176" s="27">
        <v>0</v>
      </c>
      <c r="O176" s="27">
        <v>0</v>
      </c>
      <c r="P176" s="27" t="s">
        <v>57</v>
      </c>
      <c r="Q176" s="27">
        <v>150</v>
      </c>
      <c r="R176" s="27" t="s">
        <v>174</v>
      </c>
      <c r="S176" s="27">
        <v>27</v>
      </c>
      <c r="T176" s="27" t="s">
        <v>58</v>
      </c>
      <c r="U176" s="27" t="s">
        <v>59</v>
      </c>
      <c r="V176" s="30">
        <v>46155.684803240743</v>
      </c>
      <c r="W176" s="30">
        <v>46155.684803240743</v>
      </c>
      <c r="X176" s="30">
        <v>46155.690196759257</v>
      </c>
      <c r="Y176" s="27" t="s">
        <v>117</v>
      </c>
      <c r="Z176" s="27" t="s">
        <v>954</v>
      </c>
      <c r="AA176" s="27" t="s">
        <v>53</v>
      </c>
      <c r="AB176" s="27" t="s">
        <v>60</v>
      </c>
      <c r="AC176" s="27" t="s">
        <v>955</v>
      </c>
      <c r="AD176" s="27" t="s">
        <v>118</v>
      </c>
      <c r="AE176" s="27" t="s">
        <v>61</v>
      </c>
      <c r="AF176" s="27" t="s">
        <v>62</v>
      </c>
      <c r="AG176" s="27" t="s">
        <v>63</v>
      </c>
      <c r="AH176" s="27">
        <v>0</v>
      </c>
      <c r="AI176" s="27">
        <v>0</v>
      </c>
      <c r="AJ176" s="27">
        <v>0</v>
      </c>
      <c r="AK176" s="27">
        <v>0</v>
      </c>
      <c r="AL176" s="27" t="s">
        <v>64</v>
      </c>
      <c r="AM176" s="27">
        <v>3</v>
      </c>
      <c r="AN176" s="27">
        <v>467</v>
      </c>
      <c r="AO176" s="27" t="s">
        <v>65</v>
      </c>
      <c r="AP176" s="27">
        <v>37</v>
      </c>
      <c r="AQ176" s="27">
        <v>1</v>
      </c>
      <c r="AR176" s="27">
        <v>184126</v>
      </c>
      <c r="AS176" s="27" t="s">
        <v>118</v>
      </c>
      <c r="AT176" s="27" t="s">
        <v>956</v>
      </c>
      <c r="AU176" s="31" t="s">
        <v>118</v>
      </c>
    </row>
    <row r="177" spans="1:47" x14ac:dyDescent="0.25">
      <c r="A177" s="7">
        <f>+CONCATENATE(DAY(V177),"/",MONTH(V177),"/",YEAR(V177),"")*1</f>
        <v>46155</v>
      </c>
      <c r="B177" s="23">
        <f>+Z177*1</f>
        <v>1131547019</v>
      </c>
      <c r="C177" s="21" t="str">
        <f>+AA177</f>
        <v>ENTRANTE</v>
      </c>
      <c r="D177" s="3" t="str">
        <f>VLOOKUP(Q177,Code!E:F,2,0)</f>
        <v>Admisiones</v>
      </c>
      <c r="E177" s="3" t="s">
        <v>55</v>
      </c>
      <c r="F177" s="3">
        <f>+AP177</f>
        <v>37</v>
      </c>
      <c r="G177" s="3">
        <f>+S177</f>
        <v>27</v>
      </c>
      <c r="H177" s="22">
        <f>+HOUR(V177)</f>
        <v>15</v>
      </c>
      <c r="I177" s="22">
        <f>IFERROR(VLOOKUP(B177,MATRICULAS!A:B,2,0),0)*1</f>
        <v>0</v>
      </c>
      <c r="J177" s="26">
        <v>20260513</v>
      </c>
      <c r="K177" s="26">
        <v>149192999</v>
      </c>
      <c r="L177" s="26" t="s">
        <v>134</v>
      </c>
      <c r="M177" s="26" t="s">
        <v>56</v>
      </c>
      <c r="N177" s="26">
        <v>0</v>
      </c>
      <c r="O177" s="26">
        <v>0</v>
      </c>
      <c r="P177" s="26" t="s">
        <v>57</v>
      </c>
      <c r="Q177" s="26">
        <v>150</v>
      </c>
      <c r="R177" s="26" t="s">
        <v>161</v>
      </c>
      <c r="S177" s="26">
        <v>27</v>
      </c>
      <c r="T177" s="26" t="s">
        <v>58</v>
      </c>
      <c r="U177" s="26" t="s">
        <v>59</v>
      </c>
      <c r="V177" s="28">
        <v>46155.654305555552</v>
      </c>
      <c r="W177" s="28">
        <v>46155.654305555552</v>
      </c>
      <c r="X177" s="28">
        <v>46155.66878472222</v>
      </c>
      <c r="Y177" s="26" t="s">
        <v>117</v>
      </c>
      <c r="Z177" s="26" t="s">
        <v>957</v>
      </c>
      <c r="AA177" s="26" t="s">
        <v>53</v>
      </c>
      <c r="AB177" s="26" t="s">
        <v>60</v>
      </c>
      <c r="AC177" s="26" t="s">
        <v>958</v>
      </c>
      <c r="AD177" s="26" t="s">
        <v>118</v>
      </c>
      <c r="AE177" s="26" t="s">
        <v>61</v>
      </c>
      <c r="AF177" s="26" t="s">
        <v>62</v>
      </c>
      <c r="AG177" s="26" t="s">
        <v>63</v>
      </c>
      <c r="AH177" s="26">
        <v>0</v>
      </c>
      <c r="AI177" s="26">
        <v>0</v>
      </c>
      <c r="AJ177" s="26">
        <v>0</v>
      </c>
      <c r="AK177" s="26">
        <v>0</v>
      </c>
      <c r="AL177" s="26" t="s">
        <v>64</v>
      </c>
      <c r="AM177" s="26">
        <v>3</v>
      </c>
      <c r="AN177" s="26">
        <v>1251</v>
      </c>
      <c r="AO177" s="26" t="s">
        <v>65</v>
      </c>
      <c r="AP177" s="26">
        <v>37</v>
      </c>
      <c r="AQ177" s="26">
        <v>73</v>
      </c>
      <c r="AR177" s="26">
        <v>1583359</v>
      </c>
      <c r="AS177" s="26" t="s">
        <v>959</v>
      </c>
      <c r="AT177" s="26" t="s">
        <v>960</v>
      </c>
      <c r="AU177" s="29" t="s">
        <v>118</v>
      </c>
    </row>
    <row r="178" spans="1:47" x14ac:dyDescent="0.25">
      <c r="A178" s="7">
        <f>+CONCATENATE(DAY(V178),"/",MONTH(V178),"/",YEAR(V178),"")*1</f>
        <v>46155</v>
      </c>
      <c r="B178" s="23">
        <f>+Z178*1</f>
        <v>1132567831</v>
      </c>
      <c r="C178" s="21" t="str">
        <f>+AA178</f>
        <v>ENTRANTE</v>
      </c>
      <c r="D178" s="3" t="str">
        <f>VLOOKUP(Q178,Code!E:F,2,0)</f>
        <v>Admisiones</v>
      </c>
      <c r="E178" s="3" t="s">
        <v>55</v>
      </c>
      <c r="F178" s="3">
        <f>+AP178</f>
        <v>37</v>
      </c>
      <c r="G178" s="3">
        <f>+S178</f>
        <v>27</v>
      </c>
      <c r="H178" s="22">
        <f>+HOUR(V178)</f>
        <v>15</v>
      </c>
      <c r="I178" s="22">
        <f>IFERROR(VLOOKUP(B178,MATRICULAS!A:B,2,0),0)*1</f>
        <v>0</v>
      </c>
      <c r="J178" s="26">
        <v>20260513</v>
      </c>
      <c r="K178" s="26">
        <v>149192368</v>
      </c>
      <c r="L178" s="26" t="s">
        <v>134</v>
      </c>
      <c r="M178" s="26" t="s">
        <v>56</v>
      </c>
      <c r="N178" s="26">
        <v>0</v>
      </c>
      <c r="O178" s="26">
        <v>0</v>
      </c>
      <c r="P178" s="26" t="s">
        <v>57</v>
      </c>
      <c r="Q178" s="26">
        <v>150</v>
      </c>
      <c r="R178" s="26" t="s">
        <v>163</v>
      </c>
      <c r="S178" s="26">
        <v>27</v>
      </c>
      <c r="T178" s="26" t="s">
        <v>58</v>
      </c>
      <c r="U178" s="26" t="s">
        <v>59</v>
      </c>
      <c r="V178" s="28">
        <v>46155.627002314817</v>
      </c>
      <c r="W178" s="28">
        <v>46155.627002314817</v>
      </c>
      <c r="X178" s="28">
        <v>46155.631319444445</v>
      </c>
      <c r="Y178" s="26" t="s">
        <v>117</v>
      </c>
      <c r="Z178" s="26" t="s">
        <v>961</v>
      </c>
      <c r="AA178" s="26" t="s">
        <v>53</v>
      </c>
      <c r="AB178" s="26" t="s">
        <v>60</v>
      </c>
      <c r="AC178" s="26" t="s">
        <v>962</v>
      </c>
      <c r="AD178" s="26" t="s">
        <v>118</v>
      </c>
      <c r="AE178" s="26" t="s">
        <v>61</v>
      </c>
      <c r="AF178" s="26" t="s">
        <v>62</v>
      </c>
      <c r="AG178" s="26" t="s">
        <v>63</v>
      </c>
      <c r="AH178" s="26">
        <v>0</v>
      </c>
      <c r="AI178" s="26">
        <v>0</v>
      </c>
      <c r="AJ178" s="26">
        <v>0</v>
      </c>
      <c r="AK178" s="26">
        <v>0</v>
      </c>
      <c r="AL178" s="26" t="s">
        <v>64</v>
      </c>
      <c r="AM178" s="26">
        <v>3</v>
      </c>
      <c r="AN178" s="26">
        <v>373</v>
      </c>
      <c r="AO178" s="26" t="s">
        <v>65</v>
      </c>
      <c r="AP178" s="26">
        <v>37</v>
      </c>
      <c r="AQ178" s="26">
        <v>161</v>
      </c>
      <c r="AR178" s="26">
        <v>1852043</v>
      </c>
      <c r="AS178" s="26" t="s">
        <v>118</v>
      </c>
      <c r="AT178" s="26" t="s">
        <v>963</v>
      </c>
      <c r="AU178" s="29" t="s">
        <v>118</v>
      </c>
    </row>
    <row r="179" spans="1:47" x14ac:dyDescent="0.25">
      <c r="A179" s="7">
        <f>+CONCATENATE(DAY(V179),"/",MONTH(V179),"/",YEAR(V179),"")*1</f>
        <v>46155</v>
      </c>
      <c r="B179" s="23">
        <f>+Z179*1</f>
        <v>1157075620</v>
      </c>
      <c r="C179" s="21" t="str">
        <f>+AA179</f>
        <v>ENTRANTE</v>
      </c>
      <c r="D179" s="3" t="str">
        <f>VLOOKUP(Q179,Code!E:F,2,0)</f>
        <v>Admisiones</v>
      </c>
      <c r="E179" s="3" t="s">
        <v>55</v>
      </c>
      <c r="F179" s="3">
        <f>+AP179</f>
        <v>37</v>
      </c>
      <c r="G179" s="3">
        <f>+S179</f>
        <v>26</v>
      </c>
      <c r="H179" s="22">
        <f>+HOUR(V179)</f>
        <v>11</v>
      </c>
      <c r="I179" s="22">
        <f>IFERROR(VLOOKUP(B179,MATRICULAS!A:B,2,0),0)*1</f>
        <v>0</v>
      </c>
      <c r="J179" s="27">
        <v>20260513</v>
      </c>
      <c r="K179" s="27">
        <v>149187613</v>
      </c>
      <c r="L179" s="27" t="s">
        <v>134</v>
      </c>
      <c r="M179" s="27" t="s">
        <v>56</v>
      </c>
      <c r="N179" s="27">
        <v>0</v>
      </c>
      <c r="O179" s="27">
        <v>0</v>
      </c>
      <c r="P179" s="27" t="s">
        <v>57</v>
      </c>
      <c r="Q179" s="27">
        <v>150</v>
      </c>
      <c r="R179" s="27" t="s">
        <v>127</v>
      </c>
      <c r="S179" s="27">
        <v>26</v>
      </c>
      <c r="T179" s="27" t="s">
        <v>58</v>
      </c>
      <c r="U179" s="27" t="s">
        <v>59</v>
      </c>
      <c r="V179" s="30">
        <v>46155.49050925926</v>
      </c>
      <c r="W179" s="30">
        <v>46155.49050925926</v>
      </c>
      <c r="X179" s="30">
        <v>46155.496759259258</v>
      </c>
      <c r="Y179" s="27" t="s">
        <v>117</v>
      </c>
      <c r="Z179" s="27" t="s">
        <v>417</v>
      </c>
      <c r="AA179" s="27" t="s">
        <v>53</v>
      </c>
      <c r="AB179" s="27" t="s">
        <v>60</v>
      </c>
      <c r="AC179" s="27" t="s">
        <v>964</v>
      </c>
      <c r="AD179" s="27" t="s">
        <v>118</v>
      </c>
      <c r="AE179" s="27" t="s">
        <v>61</v>
      </c>
      <c r="AF179" s="27" t="s">
        <v>62</v>
      </c>
      <c r="AG179" s="27" t="s">
        <v>63</v>
      </c>
      <c r="AH179" s="27">
        <v>0</v>
      </c>
      <c r="AI179" s="27">
        <v>0</v>
      </c>
      <c r="AJ179" s="27">
        <v>0</v>
      </c>
      <c r="AK179" s="27">
        <v>0</v>
      </c>
      <c r="AL179" s="27" t="s">
        <v>64</v>
      </c>
      <c r="AM179" s="27">
        <v>3</v>
      </c>
      <c r="AN179" s="27">
        <v>541</v>
      </c>
      <c r="AO179" s="27" t="s">
        <v>65</v>
      </c>
      <c r="AP179" s="27">
        <v>37</v>
      </c>
      <c r="AQ179" s="27">
        <v>1</v>
      </c>
      <c r="AR179" s="27">
        <v>2496548</v>
      </c>
      <c r="AS179" s="27" t="s">
        <v>418</v>
      </c>
      <c r="AT179" s="27" t="s">
        <v>965</v>
      </c>
      <c r="AU179" s="31" t="s">
        <v>118</v>
      </c>
    </row>
    <row r="180" spans="1:47" x14ac:dyDescent="0.25">
      <c r="A180" s="7">
        <f>+CONCATENATE(DAY(V180),"/",MONTH(V180),"/",YEAR(V180),"")*1</f>
        <v>46155</v>
      </c>
      <c r="B180" s="23">
        <f>+Z180*1</f>
        <v>3834419629</v>
      </c>
      <c r="C180" s="21" t="str">
        <f>+AA180</f>
        <v>ENTRANTE</v>
      </c>
      <c r="D180" s="3" t="str">
        <f>VLOOKUP(Q180,Code!E:F,2,0)</f>
        <v>Admisiones</v>
      </c>
      <c r="E180" s="3" t="s">
        <v>55</v>
      </c>
      <c r="F180" s="3">
        <f>+AP180</f>
        <v>37</v>
      </c>
      <c r="G180" s="3">
        <f>+S180</f>
        <v>26</v>
      </c>
      <c r="H180" s="22">
        <f>+HOUR(V180)</f>
        <v>11</v>
      </c>
      <c r="I180" s="22">
        <f>IFERROR(VLOOKUP(B180,MATRICULAS!A:B,2,0),0)*1</f>
        <v>1</v>
      </c>
      <c r="J180" s="26">
        <v>20260513</v>
      </c>
      <c r="K180" s="26">
        <v>149186364</v>
      </c>
      <c r="L180" s="26" t="s">
        <v>134</v>
      </c>
      <c r="M180" s="26" t="s">
        <v>56</v>
      </c>
      <c r="N180" s="26">
        <v>0</v>
      </c>
      <c r="O180" s="26">
        <v>0</v>
      </c>
      <c r="P180" s="26" t="s">
        <v>57</v>
      </c>
      <c r="Q180" s="26">
        <v>150</v>
      </c>
      <c r="R180" s="26" t="s">
        <v>153</v>
      </c>
      <c r="S180" s="26">
        <v>26</v>
      </c>
      <c r="T180" s="26" t="s">
        <v>58</v>
      </c>
      <c r="U180" s="26" t="s">
        <v>59</v>
      </c>
      <c r="V180" s="28">
        <v>46155.461643518516</v>
      </c>
      <c r="W180" s="28">
        <v>46155.461643518516</v>
      </c>
      <c r="X180" s="28">
        <v>46155.464560185188</v>
      </c>
      <c r="Y180" s="26" t="s">
        <v>117</v>
      </c>
      <c r="Z180" s="26" t="s">
        <v>649</v>
      </c>
      <c r="AA180" s="26" t="s">
        <v>53</v>
      </c>
      <c r="AB180" s="26" t="s">
        <v>60</v>
      </c>
      <c r="AC180" s="26" t="s">
        <v>966</v>
      </c>
      <c r="AD180" s="26" t="s">
        <v>118</v>
      </c>
      <c r="AE180" s="26" t="s">
        <v>61</v>
      </c>
      <c r="AF180" s="26" t="s">
        <v>62</v>
      </c>
      <c r="AG180" s="26" t="s">
        <v>63</v>
      </c>
      <c r="AH180" s="26">
        <v>0</v>
      </c>
      <c r="AI180" s="26">
        <v>0</v>
      </c>
      <c r="AJ180" s="26">
        <v>0</v>
      </c>
      <c r="AK180" s="26">
        <v>0</v>
      </c>
      <c r="AL180" s="26" t="s">
        <v>64</v>
      </c>
      <c r="AM180" s="26">
        <v>3</v>
      </c>
      <c r="AN180" s="26">
        <v>252</v>
      </c>
      <c r="AO180" s="26" t="s">
        <v>65</v>
      </c>
      <c r="AP180" s="26">
        <v>37</v>
      </c>
      <c r="AQ180" s="26">
        <v>116</v>
      </c>
      <c r="AR180" s="26">
        <v>1524915</v>
      </c>
      <c r="AS180" s="26" t="s">
        <v>118</v>
      </c>
      <c r="AT180" s="26" t="s">
        <v>967</v>
      </c>
      <c r="AU180" s="29" t="s">
        <v>118</v>
      </c>
    </row>
    <row r="181" spans="1:47" x14ac:dyDescent="0.25">
      <c r="A181" s="7">
        <f>+CONCATENATE(DAY(V181),"/",MONTH(V181),"/",YEAR(V181),"")*1</f>
        <v>46155</v>
      </c>
      <c r="B181" s="23">
        <f>+Z181*1</f>
        <v>1132618555</v>
      </c>
      <c r="C181" s="21" t="str">
        <f>+AA181</f>
        <v>ENTRANTE</v>
      </c>
      <c r="D181" s="3" t="str">
        <f>VLOOKUP(Q181,Code!E:F,2,0)</f>
        <v>Admisiones</v>
      </c>
      <c r="E181" s="3" t="s">
        <v>55</v>
      </c>
      <c r="F181" s="3">
        <f>+AP181</f>
        <v>37</v>
      </c>
      <c r="G181" s="3">
        <f>+S181</f>
        <v>26</v>
      </c>
      <c r="H181" s="22">
        <f>+HOUR(V181)</f>
        <v>10</v>
      </c>
      <c r="I181" s="22">
        <f>IFERROR(VLOOKUP(B181,MATRICULAS!A:B,2,0),0)*1</f>
        <v>0</v>
      </c>
      <c r="J181" s="27">
        <v>20260513</v>
      </c>
      <c r="K181" s="27">
        <v>149185876</v>
      </c>
      <c r="L181" s="27" t="s">
        <v>134</v>
      </c>
      <c r="M181" s="27" t="s">
        <v>56</v>
      </c>
      <c r="N181" s="27">
        <v>0</v>
      </c>
      <c r="O181" s="27">
        <v>0</v>
      </c>
      <c r="P181" s="27" t="s">
        <v>57</v>
      </c>
      <c r="Q181" s="27">
        <v>150</v>
      </c>
      <c r="R181" s="27" t="s">
        <v>151</v>
      </c>
      <c r="S181" s="27">
        <v>26</v>
      </c>
      <c r="T181" s="27" t="s">
        <v>58</v>
      </c>
      <c r="U181" s="27" t="s">
        <v>59</v>
      </c>
      <c r="V181" s="30">
        <v>46155.448217592595</v>
      </c>
      <c r="W181" s="30">
        <v>46155.448217592595</v>
      </c>
      <c r="X181" s="30">
        <v>46155.454872685186</v>
      </c>
      <c r="Y181" s="27" t="s">
        <v>117</v>
      </c>
      <c r="Z181" s="27" t="s">
        <v>968</v>
      </c>
      <c r="AA181" s="27" t="s">
        <v>53</v>
      </c>
      <c r="AB181" s="27" t="s">
        <v>60</v>
      </c>
      <c r="AC181" s="27" t="s">
        <v>969</v>
      </c>
      <c r="AD181" s="27" t="s">
        <v>118</v>
      </c>
      <c r="AE181" s="27" t="s">
        <v>61</v>
      </c>
      <c r="AF181" s="27" t="s">
        <v>62</v>
      </c>
      <c r="AG181" s="27" t="s">
        <v>63</v>
      </c>
      <c r="AH181" s="27">
        <v>0</v>
      </c>
      <c r="AI181" s="27">
        <v>0</v>
      </c>
      <c r="AJ181" s="27">
        <v>0</v>
      </c>
      <c r="AK181" s="27">
        <v>0</v>
      </c>
      <c r="AL181" s="27" t="s">
        <v>64</v>
      </c>
      <c r="AM181" s="27">
        <v>3</v>
      </c>
      <c r="AN181" s="27">
        <v>576</v>
      </c>
      <c r="AO181" s="27" t="s">
        <v>65</v>
      </c>
      <c r="AP181" s="27">
        <v>37</v>
      </c>
      <c r="AQ181" s="27">
        <v>201</v>
      </c>
      <c r="AR181" s="27">
        <v>2496438</v>
      </c>
      <c r="AS181" s="27" t="s">
        <v>118</v>
      </c>
      <c r="AT181" s="27" t="s">
        <v>970</v>
      </c>
      <c r="AU181" s="31" t="s">
        <v>118</v>
      </c>
    </row>
    <row r="182" spans="1:47" x14ac:dyDescent="0.25">
      <c r="A182" s="7">
        <f>+CONCATENATE(DAY(V182),"/",MONTH(V182),"/",YEAR(V182),"")*1</f>
        <v>46155</v>
      </c>
      <c r="B182" s="23">
        <f>+Z182*1</f>
        <v>1125531887</v>
      </c>
      <c r="C182" s="21" t="str">
        <f>+AA182</f>
        <v>ENTRANTE</v>
      </c>
      <c r="D182" s="3" t="str">
        <f>VLOOKUP(Q182,Code!E:F,2,0)</f>
        <v>Admisiones</v>
      </c>
      <c r="E182" s="3" t="s">
        <v>55</v>
      </c>
      <c r="F182" s="3">
        <f>+AP182</f>
        <v>37</v>
      </c>
      <c r="G182" s="3">
        <f>+S182</f>
        <v>26</v>
      </c>
      <c r="H182" s="22">
        <f>+HOUR(V182)</f>
        <v>10</v>
      </c>
      <c r="I182" s="22">
        <f>IFERROR(VLOOKUP(B182,MATRICULAS!A:B,2,0),0)*1</f>
        <v>0</v>
      </c>
      <c r="J182" s="26">
        <v>20260513</v>
      </c>
      <c r="K182" s="26">
        <v>149185704</v>
      </c>
      <c r="L182" s="26" t="s">
        <v>134</v>
      </c>
      <c r="M182" s="26" t="s">
        <v>56</v>
      </c>
      <c r="N182" s="26">
        <v>0</v>
      </c>
      <c r="O182" s="26">
        <v>0</v>
      </c>
      <c r="P182" s="26" t="s">
        <v>57</v>
      </c>
      <c r="Q182" s="26">
        <v>150</v>
      </c>
      <c r="R182" s="26" t="s">
        <v>153</v>
      </c>
      <c r="S182" s="26">
        <v>26</v>
      </c>
      <c r="T182" s="26" t="s">
        <v>58</v>
      </c>
      <c r="U182" s="26" t="s">
        <v>59</v>
      </c>
      <c r="V182" s="28">
        <v>46155.445381944446</v>
      </c>
      <c r="W182" s="28">
        <v>46155.445381944446</v>
      </c>
      <c r="X182" s="28">
        <v>46155.452511574076</v>
      </c>
      <c r="Y182" s="26" t="s">
        <v>117</v>
      </c>
      <c r="Z182" s="26" t="s">
        <v>971</v>
      </c>
      <c r="AA182" s="26" t="s">
        <v>53</v>
      </c>
      <c r="AB182" s="26" t="s">
        <v>60</v>
      </c>
      <c r="AC182" s="26" t="s">
        <v>972</v>
      </c>
      <c r="AD182" s="26" t="s">
        <v>118</v>
      </c>
      <c r="AE182" s="26" t="s">
        <v>66</v>
      </c>
      <c r="AF182" s="26" t="s">
        <v>67</v>
      </c>
      <c r="AG182" s="26" t="s">
        <v>67</v>
      </c>
      <c r="AH182" s="26">
        <v>0</v>
      </c>
      <c r="AI182" s="26">
        <v>0</v>
      </c>
      <c r="AJ182" s="26">
        <v>0</v>
      </c>
      <c r="AK182" s="26">
        <v>0</v>
      </c>
      <c r="AL182" s="26" t="s">
        <v>64</v>
      </c>
      <c r="AM182" s="26">
        <v>3</v>
      </c>
      <c r="AN182" s="26">
        <v>616</v>
      </c>
      <c r="AO182" s="26" t="s">
        <v>65</v>
      </c>
      <c r="AP182" s="26">
        <v>37</v>
      </c>
      <c r="AQ182" s="26">
        <v>202</v>
      </c>
      <c r="AR182" s="26">
        <v>2495166</v>
      </c>
      <c r="AS182" s="26" t="s">
        <v>118</v>
      </c>
      <c r="AT182" s="26" t="s">
        <v>973</v>
      </c>
      <c r="AU182" s="29" t="s">
        <v>118</v>
      </c>
    </row>
    <row r="183" spans="1:47" x14ac:dyDescent="0.25">
      <c r="A183" s="7">
        <f>+CONCATENATE(DAY(V183),"/",MONTH(V183),"/",YEAR(V183),"")*1</f>
        <v>46155</v>
      </c>
      <c r="B183" s="23">
        <f>+Z183*1</f>
        <v>1180244955</v>
      </c>
      <c r="C183" s="21" t="str">
        <f>+AA183</f>
        <v>ENTRANTE</v>
      </c>
      <c r="D183" s="3" t="str">
        <f>VLOOKUP(Q183,Code!E:F,2,0)</f>
        <v>Admisiones</v>
      </c>
      <c r="E183" s="3" t="s">
        <v>55</v>
      </c>
      <c r="F183" s="3">
        <f>+AP183</f>
        <v>37</v>
      </c>
      <c r="G183" s="3">
        <f>+S183</f>
        <v>26</v>
      </c>
      <c r="H183" s="22">
        <f>+HOUR(V183)</f>
        <v>10</v>
      </c>
      <c r="I183" s="22">
        <f>IFERROR(VLOOKUP(B183,MATRICULAS!A:B,2,0),0)*1</f>
        <v>1</v>
      </c>
      <c r="J183" s="27">
        <v>20260513</v>
      </c>
      <c r="K183" s="27">
        <v>149185594</v>
      </c>
      <c r="L183" s="27" t="s">
        <v>134</v>
      </c>
      <c r="M183" s="27" t="s">
        <v>56</v>
      </c>
      <c r="N183" s="27">
        <v>0</v>
      </c>
      <c r="O183" s="27">
        <v>0</v>
      </c>
      <c r="P183" s="27" t="s">
        <v>57</v>
      </c>
      <c r="Q183" s="27">
        <v>150</v>
      </c>
      <c r="R183" s="27" t="s">
        <v>127</v>
      </c>
      <c r="S183" s="27">
        <v>26</v>
      </c>
      <c r="T183" s="27" t="s">
        <v>58</v>
      </c>
      <c r="U183" s="27" t="s">
        <v>59</v>
      </c>
      <c r="V183" s="30">
        <v>46155.443541666667</v>
      </c>
      <c r="W183" s="30">
        <v>46155.443541666667</v>
      </c>
      <c r="X183" s="30">
        <v>46155.467511574076</v>
      </c>
      <c r="Y183" s="27" t="s">
        <v>117</v>
      </c>
      <c r="Z183" s="27" t="s">
        <v>974</v>
      </c>
      <c r="AA183" s="27" t="s">
        <v>53</v>
      </c>
      <c r="AB183" s="27" t="s">
        <v>60</v>
      </c>
      <c r="AC183" s="27" t="s">
        <v>975</v>
      </c>
      <c r="AD183" s="27" t="s">
        <v>118</v>
      </c>
      <c r="AE183" s="27" t="s">
        <v>66</v>
      </c>
      <c r="AF183" s="27" t="s">
        <v>67</v>
      </c>
      <c r="AG183" s="27" t="s">
        <v>67</v>
      </c>
      <c r="AH183" s="27">
        <v>0</v>
      </c>
      <c r="AI183" s="27">
        <v>0</v>
      </c>
      <c r="AJ183" s="27">
        <v>0</v>
      </c>
      <c r="AK183" s="27">
        <v>0</v>
      </c>
      <c r="AL183" s="27" t="s">
        <v>64</v>
      </c>
      <c r="AM183" s="27">
        <v>3</v>
      </c>
      <c r="AN183" s="27">
        <v>2072</v>
      </c>
      <c r="AO183" s="27" t="s">
        <v>65</v>
      </c>
      <c r="AP183" s="27">
        <v>37</v>
      </c>
      <c r="AQ183" s="27">
        <v>1</v>
      </c>
      <c r="AR183" s="27">
        <v>2496482</v>
      </c>
      <c r="AS183" s="27" t="s">
        <v>118</v>
      </c>
      <c r="AT183" s="27" t="s">
        <v>976</v>
      </c>
      <c r="AU183" s="31" t="s">
        <v>118</v>
      </c>
    </row>
    <row r="184" spans="1:47" x14ac:dyDescent="0.25">
      <c r="A184" s="7">
        <f>+CONCATENATE(DAY(V184),"/",MONTH(V184),"/",YEAR(V184),"")*1</f>
        <v>46156</v>
      </c>
      <c r="B184" s="23">
        <f>+Z184*1</f>
        <v>1172015701</v>
      </c>
      <c r="C184" s="21" t="str">
        <f>+AA184</f>
        <v>ENTRANTE</v>
      </c>
      <c r="D184" s="3" t="str">
        <f>VLOOKUP(Q184,Code!E:F,2,0)</f>
        <v>Admisiones</v>
      </c>
      <c r="E184" s="3" t="s">
        <v>55</v>
      </c>
      <c r="F184" s="3">
        <f>+AP184</f>
        <v>37</v>
      </c>
      <c r="G184" s="3">
        <f>+S184</f>
        <v>27</v>
      </c>
      <c r="H184" s="22">
        <f>+HOUR(V184)</f>
        <v>20</v>
      </c>
      <c r="I184" s="22">
        <f>IFERROR(VLOOKUP(B184,MATRICULAS!A:B,2,0),0)*1</f>
        <v>0</v>
      </c>
      <c r="J184" s="26">
        <v>20260514</v>
      </c>
      <c r="K184" s="26">
        <v>149219432</v>
      </c>
      <c r="L184" s="26" t="s">
        <v>134</v>
      </c>
      <c r="M184" s="26" t="s">
        <v>56</v>
      </c>
      <c r="N184" s="26">
        <v>0</v>
      </c>
      <c r="O184" s="26">
        <v>0</v>
      </c>
      <c r="P184" s="26" t="s">
        <v>57</v>
      </c>
      <c r="Q184" s="26">
        <v>150</v>
      </c>
      <c r="R184" s="26" t="s">
        <v>174</v>
      </c>
      <c r="S184" s="26">
        <v>27</v>
      </c>
      <c r="T184" s="26" t="s">
        <v>58</v>
      </c>
      <c r="U184" s="26" t="s">
        <v>59</v>
      </c>
      <c r="V184" s="28">
        <v>46156.871689814812</v>
      </c>
      <c r="W184" s="28">
        <v>46156.871689814812</v>
      </c>
      <c r="X184" s="28">
        <v>46156.873263888891</v>
      </c>
      <c r="Y184" s="26" t="s">
        <v>117</v>
      </c>
      <c r="Z184" s="26" t="s">
        <v>896</v>
      </c>
      <c r="AA184" s="26" t="s">
        <v>53</v>
      </c>
      <c r="AB184" s="26" t="s">
        <v>60</v>
      </c>
      <c r="AC184" s="26" t="s">
        <v>897</v>
      </c>
      <c r="AD184" s="26" t="s">
        <v>118</v>
      </c>
      <c r="AE184" s="26" t="s">
        <v>66</v>
      </c>
      <c r="AF184" s="26" t="s">
        <v>67</v>
      </c>
      <c r="AG184" s="26" t="s">
        <v>67</v>
      </c>
      <c r="AH184" s="26">
        <v>0</v>
      </c>
      <c r="AI184" s="26">
        <v>0</v>
      </c>
      <c r="AJ184" s="26">
        <v>0</v>
      </c>
      <c r="AK184" s="26">
        <v>0</v>
      </c>
      <c r="AL184" s="26" t="s">
        <v>64</v>
      </c>
      <c r="AM184" s="26">
        <v>3</v>
      </c>
      <c r="AN184" s="26">
        <v>137</v>
      </c>
      <c r="AO184" s="26" t="s">
        <v>65</v>
      </c>
      <c r="AP184" s="26">
        <v>37</v>
      </c>
      <c r="AQ184" s="26">
        <v>202</v>
      </c>
      <c r="AR184" s="26">
        <v>2497831</v>
      </c>
      <c r="AS184" s="26" t="s">
        <v>118</v>
      </c>
      <c r="AT184" s="26" t="s">
        <v>898</v>
      </c>
      <c r="AU184" s="29" t="s">
        <v>118</v>
      </c>
    </row>
    <row r="185" spans="1:47" x14ac:dyDescent="0.25">
      <c r="A185" s="7">
        <f>+CONCATENATE(DAY(V185),"/",MONTH(V185),"/",YEAR(V185),"")*1</f>
        <v>46156</v>
      </c>
      <c r="B185" s="23">
        <f>+Z185*1</f>
        <v>3813045597</v>
      </c>
      <c r="C185" s="21" t="str">
        <f>+AA185</f>
        <v>ENTRANTE</v>
      </c>
      <c r="D185" s="3" t="str">
        <f>VLOOKUP(Q185,Code!E:F,2,0)</f>
        <v>Admisiones</v>
      </c>
      <c r="E185" s="3" t="s">
        <v>55</v>
      </c>
      <c r="F185" s="3">
        <f>+AP185</f>
        <v>37</v>
      </c>
      <c r="G185" s="3">
        <f>+S185</f>
        <v>27</v>
      </c>
      <c r="H185" s="22">
        <f>+HOUR(V185)</f>
        <v>19</v>
      </c>
      <c r="I185" s="22">
        <f>IFERROR(VLOOKUP(B185,MATRICULAS!A:B,2,0),0)*1</f>
        <v>1</v>
      </c>
      <c r="J185" s="26">
        <v>20260514</v>
      </c>
      <c r="K185" s="26">
        <v>149216822</v>
      </c>
      <c r="L185" s="26" t="s">
        <v>134</v>
      </c>
      <c r="M185" s="26" t="s">
        <v>56</v>
      </c>
      <c r="N185" s="26">
        <v>0</v>
      </c>
      <c r="O185" s="26">
        <v>0</v>
      </c>
      <c r="P185" s="26" t="s">
        <v>57</v>
      </c>
      <c r="Q185" s="26">
        <v>150</v>
      </c>
      <c r="R185" s="26" t="s">
        <v>174</v>
      </c>
      <c r="S185" s="26">
        <v>27</v>
      </c>
      <c r="T185" s="26" t="s">
        <v>58</v>
      </c>
      <c r="U185" s="26" t="s">
        <v>59</v>
      </c>
      <c r="V185" s="28">
        <v>46156.815254629626</v>
      </c>
      <c r="W185" s="28">
        <v>46156.815254629626</v>
      </c>
      <c r="X185" s="28">
        <v>46156.827916666669</v>
      </c>
      <c r="Y185" s="26" t="s">
        <v>117</v>
      </c>
      <c r="Z185" s="26" t="s">
        <v>565</v>
      </c>
      <c r="AA185" s="26" t="s">
        <v>53</v>
      </c>
      <c r="AB185" s="26" t="s">
        <v>60</v>
      </c>
      <c r="AC185" s="26" t="s">
        <v>900</v>
      </c>
      <c r="AD185" s="26" t="s">
        <v>118</v>
      </c>
      <c r="AE185" s="26" t="s">
        <v>61</v>
      </c>
      <c r="AF185" s="26" t="s">
        <v>62</v>
      </c>
      <c r="AG185" s="26" t="s">
        <v>63</v>
      </c>
      <c r="AH185" s="26">
        <v>0</v>
      </c>
      <c r="AI185" s="26">
        <v>0</v>
      </c>
      <c r="AJ185" s="26">
        <v>0</v>
      </c>
      <c r="AK185" s="26">
        <v>0</v>
      </c>
      <c r="AL185" s="26" t="s">
        <v>64</v>
      </c>
      <c r="AM185" s="26">
        <v>3</v>
      </c>
      <c r="AN185" s="26">
        <v>1094</v>
      </c>
      <c r="AO185" s="26" t="s">
        <v>65</v>
      </c>
      <c r="AP185" s="26">
        <v>37</v>
      </c>
      <c r="AQ185" s="26">
        <v>201</v>
      </c>
      <c r="AR185" s="26">
        <v>2497019</v>
      </c>
      <c r="AS185" s="26" t="s">
        <v>118</v>
      </c>
      <c r="AT185" s="26" t="s">
        <v>901</v>
      </c>
      <c r="AU185" s="29" t="s">
        <v>118</v>
      </c>
    </row>
    <row r="186" spans="1:47" x14ac:dyDescent="0.25">
      <c r="A186" s="7">
        <f>+CONCATENATE(DAY(V186),"/",MONTH(V186),"/",YEAR(V186),"")*1</f>
        <v>46156</v>
      </c>
      <c r="B186" s="23">
        <f>+Z186*1</f>
        <v>2994677292</v>
      </c>
      <c r="C186" s="21" t="str">
        <f>+AA186</f>
        <v>ENTRANTE</v>
      </c>
      <c r="D186" s="3" t="str">
        <f>VLOOKUP(Q186,Code!E:F,2,0)</f>
        <v>Admisiones</v>
      </c>
      <c r="E186" s="3" t="s">
        <v>55</v>
      </c>
      <c r="F186" s="3">
        <f>+AP186</f>
        <v>37</v>
      </c>
      <c r="G186" s="3">
        <f>+S186</f>
        <v>27</v>
      </c>
      <c r="H186" s="22">
        <f>+HOUR(V186)</f>
        <v>16</v>
      </c>
      <c r="I186" s="22">
        <f>IFERROR(VLOOKUP(B186,MATRICULAS!A:B,2,0),0)*1</f>
        <v>0</v>
      </c>
      <c r="J186" s="26">
        <v>20260514</v>
      </c>
      <c r="K186" s="26">
        <v>149212541</v>
      </c>
      <c r="L186" s="26" t="s">
        <v>134</v>
      </c>
      <c r="M186" s="26" t="s">
        <v>56</v>
      </c>
      <c r="N186" s="26">
        <v>0</v>
      </c>
      <c r="O186" s="26">
        <v>0</v>
      </c>
      <c r="P186" s="26" t="s">
        <v>57</v>
      </c>
      <c r="Q186" s="26">
        <v>150</v>
      </c>
      <c r="R186" s="26" t="s">
        <v>174</v>
      </c>
      <c r="S186" s="26">
        <v>27</v>
      </c>
      <c r="T186" s="26" t="s">
        <v>58</v>
      </c>
      <c r="U186" s="26" t="s">
        <v>59</v>
      </c>
      <c r="V186" s="28">
        <v>46156.707303240742</v>
      </c>
      <c r="W186" s="28">
        <v>46156.707303240742</v>
      </c>
      <c r="X186" s="28">
        <v>46156.709178240744</v>
      </c>
      <c r="Y186" s="26" t="s">
        <v>117</v>
      </c>
      <c r="Z186" s="26" t="s">
        <v>902</v>
      </c>
      <c r="AA186" s="26" t="s">
        <v>53</v>
      </c>
      <c r="AB186" s="26" t="s">
        <v>60</v>
      </c>
      <c r="AC186" s="26" t="s">
        <v>903</v>
      </c>
      <c r="AD186" s="26" t="s">
        <v>118</v>
      </c>
      <c r="AE186" s="26" t="s">
        <v>61</v>
      </c>
      <c r="AF186" s="26" t="s">
        <v>62</v>
      </c>
      <c r="AG186" s="26" t="s">
        <v>63</v>
      </c>
      <c r="AH186" s="26">
        <v>0</v>
      </c>
      <c r="AI186" s="26">
        <v>0</v>
      </c>
      <c r="AJ186" s="26">
        <v>0</v>
      </c>
      <c r="AK186" s="26">
        <v>0</v>
      </c>
      <c r="AL186" s="26" t="s">
        <v>64</v>
      </c>
      <c r="AM186" s="26">
        <v>3</v>
      </c>
      <c r="AN186" s="26">
        <v>163</v>
      </c>
      <c r="AO186" s="26" t="s">
        <v>65</v>
      </c>
      <c r="AP186" s="26">
        <v>37</v>
      </c>
      <c r="AQ186" s="26">
        <v>122</v>
      </c>
      <c r="AR186" s="26">
        <v>875866</v>
      </c>
      <c r="AS186" s="26" t="s">
        <v>118</v>
      </c>
      <c r="AT186" s="26" t="s">
        <v>904</v>
      </c>
      <c r="AU186" s="29" t="s">
        <v>118</v>
      </c>
    </row>
    <row r="187" spans="1:47" x14ac:dyDescent="0.25">
      <c r="A187" s="7">
        <f>+CONCATENATE(DAY(V187),"/",MONTH(V187),"/",YEAR(V187),"")*1</f>
        <v>46156</v>
      </c>
      <c r="B187" s="23">
        <f>+Z187*1</f>
        <v>1161135751</v>
      </c>
      <c r="C187" s="21" t="str">
        <f>+AA187</f>
        <v>ENTRANTE</v>
      </c>
      <c r="D187" s="3" t="str">
        <f>VLOOKUP(Q187,Code!E:F,2,0)</f>
        <v>Admisiones</v>
      </c>
      <c r="E187" s="3" t="s">
        <v>55</v>
      </c>
      <c r="F187" s="3">
        <f>+AP187</f>
        <v>37</v>
      </c>
      <c r="G187" s="3">
        <f>+S187</f>
        <v>27</v>
      </c>
      <c r="H187" s="22">
        <f>+HOUR(V187)</f>
        <v>16</v>
      </c>
      <c r="I187" s="22">
        <f>IFERROR(VLOOKUP(B187,MATRICULAS!A:B,2,0),0)*1</f>
        <v>0</v>
      </c>
      <c r="J187" s="27">
        <v>20260514</v>
      </c>
      <c r="K187" s="27">
        <v>149212231</v>
      </c>
      <c r="L187" s="27" t="s">
        <v>134</v>
      </c>
      <c r="M187" s="27" t="s">
        <v>56</v>
      </c>
      <c r="N187" s="27">
        <v>0</v>
      </c>
      <c r="O187" s="27">
        <v>0</v>
      </c>
      <c r="P187" s="27" t="s">
        <v>57</v>
      </c>
      <c r="Q187" s="27">
        <v>150</v>
      </c>
      <c r="R187" s="27" t="s">
        <v>174</v>
      </c>
      <c r="S187" s="27">
        <v>27</v>
      </c>
      <c r="T187" s="27" t="s">
        <v>58</v>
      </c>
      <c r="U187" s="27" t="s">
        <v>59</v>
      </c>
      <c r="V187" s="30">
        <v>46156.700844907406</v>
      </c>
      <c r="W187" s="30">
        <v>46156.700844907406</v>
      </c>
      <c r="X187" s="30">
        <v>46156.701990740738</v>
      </c>
      <c r="Y187" s="27" t="s">
        <v>117</v>
      </c>
      <c r="Z187" s="27" t="s">
        <v>905</v>
      </c>
      <c r="AA187" s="27" t="s">
        <v>53</v>
      </c>
      <c r="AB187" s="27" t="s">
        <v>60</v>
      </c>
      <c r="AC187" s="27" t="s">
        <v>906</v>
      </c>
      <c r="AD187" s="27" t="s">
        <v>118</v>
      </c>
      <c r="AE187" s="27" t="s">
        <v>61</v>
      </c>
      <c r="AF187" s="27" t="s">
        <v>62</v>
      </c>
      <c r="AG187" s="27" t="s">
        <v>63</v>
      </c>
      <c r="AH187" s="27">
        <v>0</v>
      </c>
      <c r="AI187" s="27">
        <v>0</v>
      </c>
      <c r="AJ187" s="27">
        <v>0</v>
      </c>
      <c r="AK187" s="27">
        <v>0</v>
      </c>
      <c r="AL187" s="27" t="s">
        <v>64</v>
      </c>
      <c r="AM187" s="27">
        <v>3</v>
      </c>
      <c r="AN187" s="27">
        <v>100</v>
      </c>
      <c r="AO187" s="27" t="s">
        <v>65</v>
      </c>
      <c r="AP187" s="27">
        <v>37</v>
      </c>
      <c r="AQ187" s="27">
        <v>73</v>
      </c>
      <c r="AR187" s="27">
        <v>523816</v>
      </c>
      <c r="AS187" s="27" t="s">
        <v>118</v>
      </c>
      <c r="AT187" s="27" t="s">
        <v>907</v>
      </c>
      <c r="AU187" s="31" t="s">
        <v>118</v>
      </c>
    </row>
    <row r="188" spans="1:47" x14ac:dyDescent="0.25">
      <c r="A188" s="7">
        <f>+CONCATENATE(DAY(V188),"/",MONTH(V188),"/",YEAR(V188),"")*1</f>
        <v>46156</v>
      </c>
      <c r="B188" s="23">
        <f>+Z188*1</f>
        <v>3854829125</v>
      </c>
      <c r="C188" s="21" t="str">
        <f>+AA188</f>
        <v>ENTRANTE</v>
      </c>
      <c r="D188" s="3" t="str">
        <f>VLOOKUP(Q188,Code!E:F,2,0)</f>
        <v>Admisiones</v>
      </c>
      <c r="E188" s="3" t="s">
        <v>55</v>
      </c>
      <c r="F188" s="3">
        <f>+AP188</f>
        <v>37</v>
      </c>
      <c r="G188" s="3">
        <f>+S188</f>
        <v>27</v>
      </c>
      <c r="H188" s="22">
        <f>+HOUR(V188)</f>
        <v>16</v>
      </c>
      <c r="I188" s="22">
        <f>IFERROR(VLOOKUP(B188,MATRICULAS!A:B,2,0),0)*1</f>
        <v>0</v>
      </c>
      <c r="J188" s="26">
        <v>20260514</v>
      </c>
      <c r="K188" s="26">
        <v>149211051</v>
      </c>
      <c r="L188" s="26" t="s">
        <v>134</v>
      </c>
      <c r="M188" s="26" t="s">
        <v>56</v>
      </c>
      <c r="N188" s="26">
        <v>0</v>
      </c>
      <c r="O188" s="26">
        <v>0</v>
      </c>
      <c r="P188" s="26" t="s">
        <v>57</v>
      </c>
      <c r="Q188" s="26">
        <v>150</v>
      </c>
      <c r="R188" s="26" t="s">
        <v>163</v>
      </c>
      <c r="S188" s="26">
        <v>27</v>
      </c>
      <c r="T188" s="26" t="s">
        <v>58</v>
      </c>
      <c r="U188" s="26" t="s">
        <v>59</v>
      </c>
      <c r="V188" s="28">
        <v>46156.674155092594</v>
      </c>
      <c r="W188" s="28">
        <v>46156.674155092594</v>
      </c>
      <c r="X188" s="28">
        <v>46156.686932870369</v>
      </c>
      <c r="Y188" s="26" t="s">
        <v>117</v>
      </c>
      <c r="Z188" s="26" t="s">
        <v>908</v>
      </c>
      <c r="AA188" s="26" t="s">
        <v>53</v>
      </c>
      <c r="AB188" s="26" t="s">
        <v>60</v>
      </c>
      <c r="AC188" s="26" t="s">
        <v>909</v>
      </c>
      <c r="AD188" s="26" t="s">
        <v>118</v>
      </c>
      <c r="AE188" s="26" t="s">
        <v>61</v>
      </c>
      <c r="AF188" s="26" t="s">
        <v>62</v>
      </c>
      <c r="AG188" s="26" t="s">
        <v>63</v>
      </c>
      <c r="AH188" s="26">
        <v>0</v>
      </c>
      <c r="AI188" s="26">
        <v>0</v>
      </c>
      <c r="AJ188" s="26">
        <v>0</v>
      </c>
      <c r="AK188" s="26">
        <v>0</v>
      </c>
      <c r="AL188" s="26" t="s">
        <v>64</v>
      </c>
      <c r="AM188" s="26">
        <v>3</v>
      </c>
      <c r="AN188" s="26">
        <v>1105</v>
      </c>
      <c r="AO188" s="26" t="s">
        <v>65</v>
      </c>
      <c r="AP188" s="26">
        <v>37</v>
      </c>
      <c r="AQ188" s="26">
        <v>155</v>
      </c>
      <c r="AR188" s="26">
        <v>1580130</v>
      </c>
      <c r="AS188" s="26" t="s">
        <v>118</v>
      </c>
      <c r="AT188" s="26" t="s">
        <v>910</v>
      </c>
      <c r="AU188" s="29" t="s">
        <v>118</v>
      </c>
    </row>
    <row r="189" spans="1:47" x14ac:dyDescent="0.25">
      <c r="A189" s="7">
        <f>+CONCATENATE(DAY(V189),"/",MONTH(V189),"/",YEAR(V189),"")*1</f>
        <v>46156</v>
      </c>
      <c r="B189" s="23">
        <f>+Z189*1</f>
        <v>1132797338</v>
      </c>
      <c r="C189" s="21" t="str">
        <f>+AA189</f>
        <v>ENTRANTE</v>
      </c>
      <c r="D189" s="3" t="str">
        <f>VLOOKUP(Q189,Code!E:F,2,0)</f>
        <v>Admisiones</v>
      </c>
      <c r="E189" s="3" t="s">
        <v>55</v>
      </c>
      <c r="F189" s="3">
        <f>+AP189</f>
        <v>37</v>
      </c>
      <c r="G189" s="3">
        <f>+S189</f>
        <v>26</v>
      </c>
      <c r="H189" s="22">
        <f>+HOUR(V189)</f>
        <v>14</v>
      </c>
      <c r="I189" s="22">
        <f>IFERROR(VLOOKUP(B189,MATRICULAS!A:B,2,0),0)*1</f>
        <v>1</v>
      </c>
      <c r="J189" s="27">
        <v>20260514</v>
      </c>
      <c r="K189" s="27">
        <v>149209325</v>
      </c>
      <c r="L189" s="27" t="s">
        <v>134</v>
      </c>
      <c r="M189" s="27" t="s">
        <v>56</v>
      </c>
      <c r="N189" s="27">
        <v>0</v>
      </c>
      <c r="O189" s="27">
        <v>0</v>
      </c>
      <c r="P189" s="27" t="s">
        <v>57</v>
      </c>
      <c r="Q189" s="27">
        <v>150</v>
      </c>
      <c r="R189" s="27" t="s">
        <v>153</v>
      </c>
      <c r="S189" s="27">
        <v>26</v>
      </c>
      <c r="T189" s="27" t="s">
        <v>58</v>
      </c>
      <c r="U189" s="27" t="s">
        <v>59</v>
      </c>
      <c r="V189" s="30">
        <v>46156.623310185183</v>
      </c>
      <c r="W189" s="30">
        <v>46156.623310185183</v>
      </c>
      <c r="X189" s="30">
        <v>46156.628368055557</v>
      </c>
      <c r="Y189" s="27" t="s">
        <v>117</v>
      </c>
      <c r="Z189" s="27" t="s">
        <v>911</v>
      </c>
      <c r="AA189" s="27" t="s">
        <v>53</v>
      </c>
      <c r="AB189" s="27" t="s">
        <v>60</v>
      </c>
      <c r="AC189" s="27" t="s">
        <v>912</v>
      </c>
      <c r="AD189" s="27" t="s">
        <v>118</v>
      </c>
      <c r="AE189" s="27" t="s">
        <v>61</v>
      </c>
      <c r="AF189" s="27" t="s">
        <v>62</v>
      </c>
      <c r="AG189" s="27" t="s">
        <v>63</v>
      </c>
      <c r="AH189" s="27">
        <v>0</v>
      </c>
      <c r="AI189" s="27">
        <v>0</v>
      </c>
      <c r="AJ189" s="27">
        <v>0</v>
      </c>
      <c r="AK189" s="27">
        <v>0</v>
      </c>
      <c r="AL189" s="27" t="s">
        <v>64</v>
      </c>
      <c r="AM189" s="27">
        <v>3</v>
      </c>
      <c r="AN189" s="27">
        <v>438</v>
      </c>
      <c r="AO189" s="27" t="s">
        <v>65</v>
      </c>
      <c r="AP189" s="27">
        <v>37</v>
      </c>
      <c r="AQ189" s="27">
        <v>1</v>
      </c>
      <c r="AR189" s="27">
        <v>2497554</v>
      </c>
      <c r="AS189" s="27" t="s">
        <v>118</v>
      </c>
      <c r="AT189" s="27" t="s">
        <v>913</v>
      </c>
      <c r="AU189" s="31" t="s">
        <v>118</v>
      </c>
    </row>
    <row r="190" spans="1:47" x14ac:dyDescent="0.25">
      <c r="A190" s="7">
        <f>+CONCATENATE(DAY(V190),"/",MONTH(V190),"/",YEAR(V190),"")*1</f>
        <v>46156</v>
      </c>
      <c r="B190" s="23">
        <f>+Z190*1</f>
        <v>3804555408</v>
      </c>
      <c r="C190" s="21" t="str">
        <f>+AA190</f>
        <v>ENTRANTE</v>
      </c>
      <c r="D190" s="3" t="str">
        <f>VLOOKUP(Q190,Code!E:F,2,0)</f>
        <v>Admisiones</v>
      </c>
      <c r="E190" s="3" t="s">
        <v>55</v>
      </c>
      <c r="F190" s="3">
        <f>+AP190</f>
        <v>37</v>
      </c>
      <c r="G190" s="3">
        <f>+S190</f>
        <v>26</v>
      </c>
      <c r="H190" s="22">
        <f>+HOUR(V190)</f>
        <v>14</v>
      </c>
      <c r="I190" s="22">
        <f>IFERROR(VLOOKUP(B190,MATRICULAS!A:B,2,0),0)*1</f>
        <v>1</v>
      </c>
      <c r="J190" s="26">
        <v>20260514</v>
      </c>
      <c r="K190" s="26">
        <v>149208136</v>
      </c>
      <c r="L190" s="26" t="s">
        <v>134</v>
      </c>
      <c r="M190" s="26" t="s">
        <v>56</v>
      </c>
      <c r="N190" s="26">
        <v>0</v>
      </c>
      <c r="O190" s="26">
        <v>0</v>
      </c>
      <c r="P190" s="26" t="s">
        <v>57</v>
      </c>
      <c r="Q190" s="26">
        <v>150</v>
      </c>
      <c r="R190" s="26" t="s">
        <v>127</v>
      </c>
      <c r="S190" s="26">
        <v>26</v>
      </c>
      <c r="T190" s="26" t="s">
        <v>58</v>
      </c>
      <c r="U190" s="26" t="s">
        <v>59</v>
      </c>
      <c r="V190" s="28">
        <v>46156.590277777781</v>
      </c>
      <c r="W190" s="28">
        <v>46156.590277777781</v>
      </c>
      <c r="X190" s="28">
        <v>46156.602106481485</v>
      </c>
      <c r="Y190" s="26" t="s">
        <v>117</v>
      </c>
      <c r="Z190" s="26" t="s">
        <v>914</v>
      </c>
      <c r="AA190" s="26" t="s">
        <v>53</v>
      </c>
      <c r="AB190" s="26" t="s">
        <v>60</v>
      </c>
      <c r="AC190" s="26" t="s">
        <v>915</v>
      </c>
      <c r="AD190" s="26" t="s">
        <v>118</v>
      </c>
      <c r="AE190" s="26" t="s">
        <v>61</v>
      </c>
      <c r="AF190" s="26" t="s">
        <v>62</v>
      </c>
      <c r="AG190" s="26" t="s">
        <v>63</v>
      </c>
      <c r="AH190" s="26">
        <v>0</v>
      </c>
      <c r="AI190" s="26">
        <v>0</v>
      </c>
      <c r="AJ190" s="26">
        <v>0</v>
      </c>
      <c r="AK190" s="26">
        <v>0</v>
      </c>
      <c r="AL190" s="26" t="s">
        <v>64</v>
      </c>
      <c r="AM190" s="26">
        <v>3</v>
      </c>
      <c r="AN190" s="26">
        <v>1022</v>
      </c>
      <c r="AO190" s="26" t="s">
        <v>65</v>
      </c>
      <c r="AP190" s="26">
        <v>37</v>
      </c>
      <c r="AQ190" s="26">
        <v>1</v>
      </c>
      <c r="AR190" s="26">
        <v>2497515</v>
      </c>
      <c r="AS190" s="26" t="s">
        <v>118</v>
      </c>
      <c r="AT190" s="26" t="s">
        <v>916</v>
      </c>
      <c r="AU190" s="29" t="s">
        <v>118</v>
      </c>
    </row>
    <row r="191" spans="1:47" x14ac:dyDescent="0.25">
      <c r="A191" s="7">
        <f>+CONCATENATE(DAY(V191),"/",MONTH(V191),"/",YEAR(V191),"")*1</f>
        <v>46156</v>
      </c>
      <c r="B191" s="23">
        <f>+Z191*1</f>
        <v>2804393011</v>
      </c>
      <c r="C191" s="21" t="str">
        <f>+AA191</f>
        <v>ENTRANTE</v>
      </c>
      <c r="D191" s="3" t="str">
        <f>VLOOKUP(Q191,Code!E:F,2,0)</f>
        <v>Admisiones</v>
      </c>
      <c r="E191" s="3" t="s">
        <v>55</v>
      </c>
      <c r="F191" s="3">
        <f>+AP191</f>
        <v>37</v>
      </c>
      <c r="G191" s="3">
        <f>+S191</f>
        <v>26</v>
      </c>
      <c r="H191" s="22">
        <f>+HOUR(V191)</f>
        <v>13</v>
      </c>
      <c r="I191" s="22">
        <f>IFERROR(VLOOKUP(B191,MATRICULAS!A:B,2,0),0)*1</f>
        <v>1</v>
      </c>
      <c r="J191" s="27">
        <v>20260514</v>
      </c>
      <c r="K191" s="27">
        <v>149206811</v>
      </c>
      <c r="L191" s="27" t="s">
        <v>134</v>
      </c>
      <c r="M191" s="27" t="s">
        <v>56</v>
      </c>
      <c r="N191" s="27">
        <v>0</v>
      </c>
      <c r="O191" s="27">
        <v>0</v>
      </c>
      <c r="P191" s="27" t="s">
        <v>57</v>
      </c>
      <c r="Q191" s="27">
        <v>150</v>
      </c>
      <c r="R191" s="27" t="s">
        <v>151</v>
      </c>
      <c r="S191" s="27">
        <v>26</v>
      </c>
      <c r="T191" s="27" t="s">
        <v>58</v>
      </c>
      <c r="U191" s="27" t="s">
        <v>59</v>
      </c>
      <c r="V191" s="30">
        <v>46156.553831018522</v>
      </c>
      <c r="W191" s="30">
        <v>46156.553842592592</v>
      </c>
      <c r="X191" s="30">
        <v>46156.560370370367</v>
      </c>
      <c r="Y191" s="27" t="s">
        <v>117</v>
      </c>
      <c r="Z191" s="27" t="s">
        <v>917</v>
      </c>
      <c r="AA191" s="27" t="s">
        <v>53</v>
      </c>
      <c r="AB191" s="27" t="s">
        <v>60</v>
      </c>
      <c r="AC191" s="27" t="s">
        <v>918</v>
      </c>
      <c r="AD191" s="27" t="s">
        <v>118</v>
      </c>
      <c r="AE191" s="27" t="s">
        <v>61</v>
      </c>
      <c r="AF191" s="27" t="s">
        <v>62</v>
      </c>
      <c r="AG191" s="27" t="s">
        <v>63</v>
      </c>
      <c r="AH191" s="27">
        <v>0</v>
      </c>
      <c r="AI191" s="27">
        <v>0</v>
      </c>
      <c r="AJ191" s="27">
        <v>0</v>
      </c>
      <c r="AK191" s="27">
        <v>0</v>
      </c>
      <c r="AL191" s="27" t="s">
        <v>64</v>
      </c>
      <c r="AM191" s="27">
        <v>3</v>
      </c>
      <c r="AN191" s="27">
        <v>565</v>
      </c>
      <c r="AO191" s="27" t="s">
        <v>65</v>
      </c>
      <c r="AP191" s="27">
        <v>37</v>
      </c>
      <c r="AQ191" s="27">
        <v>184</v>
      </c>
      <c r="AR191" s="27">
        <v>2237324</v>
      </c>
      <c r="AS191" s="27" t="s">
        <v>118</v>
      </c>
      <c r="AT191" s="27" t="s">
        <v>919</v>
      </c>
      <c r="AU191" s="31" t="s">
        <v>118</v>
      </c>
    </row>
    <row r="192" spans="1:47" x14ac:dyDescent="0.25">
      <c r="A192" s="7">
        <f>+CONCATENATE(DAY(V192),"/",MONTH(V192),"/",YEAR(V192),"")*1</f>
        <v>46156</v>
      </c>
      <c r="B192" s="23">
        <f>+Z192*1</f>
        <v>3513150205</v>
      </c>
      <c r="C192" s="21" t="str">
        <f>+AA192</f>
        <v>ENTRANTE</v>
      </c>
      <c r="D192" s="3" t="str">
        <f>VLOOKUP(Q192,Code!E:F,2,0)</f>
        <v>Admisiones</v>
      </c>
      <c r="E192" s="3" t="s">
        <v>55</v>
      </c>
      <c r="F192" s="3">
        <f>+AP192</f>
        <v>37</v>
      </c>
      <c r="G192" s="3">
        <f>+S192</f>
        <v>26</v>
      </c>
      <c r="H192" s="22">
        <f>+HOUR(V192)</f>
        <v>13</v>
      </c>
      <c r="I192" s="22">
        <f>IFERROR(VLOOKUP(B192,MATRICULAS!A:B,2,0),0)*1</f>
        <v>0</v>
      </c>
      <c r="J192" s="26">
        <v>20260514</v>
      </c>
      <c r="K192" s="26">
        <v>149206798</v>
      </c>
      <c r="L192" s="26" t="s">
        <v>134</v>
      </c>
      <c r="M192" s="26" t="s">
        <v>56</v>
      </c>
      <c r="N192" s="26">
        <v>0</v>
      </c>
      <c r="O192" s="26">
        <v>0</v>
      </c>
      <c r="P192" s="26" t="s">
        <v>57</v>
      </c>
      <c r="Q192" s="26">
        <v>150</v>
      </c>
      <c r="R192" s="26" t="s">
        <v>153</v>
      </c>
      <c r="S192" s="26">
        <v>26</v>
      </c>
      <c r="T192" s="26" t="s">
        <v>58</v>
      </c>
      <c r="U192" s="26" t="s">
        <v>59</v>
      </c>
      <c r="V192" s="28">
        <v>46156.553668981483</v>
      </c>
      <c r="W192" s="28">
        <v>46156.553668981483</v>
      </c>
      <c r="X192" s="28">
        <v>46156.558611111112</v>
      </c>
      <c r="Y192" s="26" t="s">
        <v>117</v>
      </c>
      <c r="Z192" s="26" t="s">
        <v>842</v>
      </c>
      <c r="AA192" s="26" t="s">
        <v>53</v>
      </c>
      <c r="AB192" s="26" t="s">
        <v>60</v>
      </c>
      <c r="AC192" s="26" t="s">
        <v>920</v>
      </c>
      <c r="AD192" s="26" t="s">
        <v>118</v>
      </c>
      <c r="AE192" s="26" t="s">
        <v>61</v>
      </c>
      <c r="AF192" s="26" t="s">
        <v>62</v>
      </c>
      <c r="AG192" s="26" t="s">
        <v>63</v>
      </c>
      <c r="AH192" s="26">
        <v>0</v>
      </c>
      <c r="AI192" s="26">
        <v>0</v>
      </c>
      <c r="AJ192" s="26">
        <v>0</v>
      </c>
      <c r="AK192" s="26">
        <v>0</v>
      </c>
      <c r="AL192" s="26" t="s">
        <v>64</v>
      </c>
      <c r="AM192" s="26">
        <v>3</v>
      </c>
      <c r="AN192" s="26">
        <v>427</v>
      </c>
      <c r="AO192" s="26" t="s">
        <v>65</v>
      </c>
      <c r="AP192" s="26">
        <v>37</v>
      </c>
      <c r="AQ192" s="26">
        <v>201</v>
      </c>
      <c r="AR192" s="26">
        <v>2497484</v>
      </c>
      <c r="AS192" s="26" t="s">
        <v>118</v>
      </c>
      <c r="AT192" s="26" t="s">
        <v>921</v>
      </c>
      <c r="AU192" s="29" t="s">
        <v>118</v>
      </c>
    </row>
    <row r="193" spans="1:47" x14ac:dyDescent="0.25">
      <c r="A193" s="7">
        <f>+CONCATENATE(DAY(V193),"/",MONTH(V193),"/",YEAR(V193),"")*1</f>
        <v>46156</v>
      </c>
      <c r="B193" s="23">
        <f>+Z193*1</f>
        <v>2976241593</v>
      </c>
      <c r="C193" s="21" t="str">
        <f>+AA193</f>
        <v>ENTRANTE</v>
      </c>
      <c r="D193" s="3" t="str">
        <f>VLOOKUP(Q193,Code!E:F,2,0)</f>
        <v>Admisiones</v>
      </c>
      <c r="E193" s="3" t="s">
        <v>55</v>
      </c>
      <c r="F193" s="3">
        <f>+AP193</f>
        <v>37</v>
      </c>
      <c r="G193" s="3">
        <f>+S193</f>
        <v>26</v>
      </c>
      <c r="H193" s="22">
        <f>+HOUR(V193)</f>
        <v>13</v>
      </c>
      <c r="I193" s="22">
        <f>IFERROR(VLOOKUP(B193,MATRICULAS!A:B,2,0),0)*1</f>
        <v>1</v>
      </c>
      <c r="J193" s="27">
        <v>20260514</v>
      </c>
      <c r="K193" s="27">
        <v>149206512</v>
      </c>
      <c r="L193" s="27" t="s">
        <v>134</v>
      </c>
      <c r="M193" s="27" t="s">
        <v>56</v>
      </c>
      <c r="N193" s="27">
        <v>0</v>
      </c>
      <c r="O193" s="27">
        <v>0</v>
      </c>
      <c r="P193" s="27" t="s">
        <v>57</v>
      </c>
      <c r="Q193" s="27">
        <v>150</v>
      </c>
      <c r="R193" s="27" t="s">
        <v>127</v>
      </c>
      <c r="S193" s="27">
        <v>26</v>
      </c>
      <c r="T193" s="27" t="s">
        <v>58</v>
      </c>
      <c r="U193" s="27" t="s">
        <v>59</v>
      </c>
      <c r="V193" s="30">
        <v>46156.545219907406</v>
      </c>
      <c r="W193" s="30">
        <v>46156.545219907406</v>
      </c>
      <c r="X193" s="30">
        <v>46156.560891203706</v>
      </c>
      <c r="Y193" s="27" t="s">
        <v>117</v>
      </c>
      <c r="Z193" s="27" t="s">
        <v>922</v>
      </c>
      <c r="AA193" s="27" t="s">
        <v>53</v>
      </c>
      <c r="AB193" s="27" t="s">
        <v>60</v>
      </c>
      <c r="AC193" s="27" t="s">
        <v>923</v>
      </c>
      <c r="AD193" s="27" t="s">
        <v>118</v>
      </c>
      <c r="AE193" s="27" t="s">
        <v>61</v>
      </c>
      <c r="AF193" s="27" t="s">
        <v>62</v>
      </c>
      <c r="AG193" s="27" t="s">
        <v>63</v>
      </c>
      <c r="AH193" s="27">
        <v>0</v>
      </c>
      <c r="AI193" s="27">
        <v>0</v>
      </c>
      <c r="AJ193" s="27">
        <v>0</v>
      </c>
      <c r="AK193" s="27">
        <v>0</v>
      </c>
      <c r="AL193" s="27" t="s">
        <v>64</v>
      </c>
      <c r="AM193" s="27">
        <v>3</v>
      </c>
      <c r="AN193" s="27">
        <v>1355</v>
      </c>
      <c r="AO193" s="27" t="s">
        <v>65</v>
      </c>
      <c r="AP193" s="27">
        <v>37</v>
      </c>
      <c r="AQ193" s="27">
        <v>201</v>
      </c>
      <c r="AR193" s="27">
        <v>2492528</v>
      </c>
      <c r="AS193" s="27" t="s">
        <v>118</v>
      </c>
      <c r="AT193" s="27" t="s">
        <v>924</v>
      </c>
      <c r="AU193" s="31" t="s">
        <v>118</v>
      </c>
    </row>
    <row r="194" spans="1:47" x14ac:dyDescent="0.25">
      <c r="A194" s="7">
        <f>+CONCATENATE(DAY(V194),"/",MONTH(V194),"/",YEAR(V194),"")*1</f>
        <v>46156</v>
      </c>
      <c r="B194" s="23">
        <f>+Z194*1</f>
        <v>3873531448</v>
      </c>
      <c r="C194" s="21" t="str">
        <f>+AA194</f>
        <v>ENTRANTE</v>
      </c>
      <c r="D194" s="3" t="str">
        <f>VLOOKUP(Q194,Code!E:F,2,0)</f>
        <v>Admisiones</v>
      </c>
      <c r="E194" s="3" t="s">
        <v>55</v>
      </c>
      <c r="F194" s="3">
        <f>+AP194</f>
        <v>37</v>
      </c>
      <c r="G194" s="3">
        <f>+S194</f>
        <v>5</v>
      </c>
      <c r="H194" s="22">
        <f>+HOUR(V194)</f>
        <v>10</v>
      </c>
      <c r="I194" s="22">
        <f>IFERROR(VLOOKUP(B194,MATRICULAS!A:B,2,0),0)*1</f>
        <v>0</v>
      </c>
      <c r="J194" s="26">
        <v>20260514</v>
      </c>
      <c r="K194" s="26">
        <v>149203549</v>
      </c>
      <c r="L194" s="26" t="s">
        <v>134</v>
      </c>
      <c r="M194" s="26" t="s">
        <v>56</v>
      </c>
      <c r="N194" s="26">
        <v>0</v>
      </c>
      <c r="O194" s="26">
        <v>0</v>
      </c>
      <c r="P194" s="26" t="s">
        <v>57</v>
      </c>
      <c r="Q194" s="26">
        <v>150</v>
      </c>
      <c r="R194" s="26" t="s">
        <v>127</v>
      </c>
      <c r="S194" s="26">
        <v>5</v>
      </c>
      <c r="T194" s="26" t="s">
        <v>58</v>
      </c>
      <c r="U194" s="26" t="s">
        <v>59</v>
      </c>
      <c r="V194" s="28">
        <v>46156.457048611112</v>
      </c>
      <c r="W194" s="28">
        <v>46156.457048611112</v>
      </c>
      <c r="X194" s="28">
        <v>46156.458148148151</v>
      </c>
      <c r="Y194" s="26" t="s">
        <v>117</v>
      </c>
      <c r="Z194" s="26" t="s">
        <v>925</v>
      </c>
      <c r="AA194" s="26" t="s">
        <v>53</v>
      </c>
      <c r="AB194" s="26" t="s">
        <v>60</v>
      </c>
      <c r="AC194" s="26" t="s">
        <v>926</v>
      </c>
      <c r="AD194" s="26" t="s">
        <v>118</v>
      </c>
      <c r="AE194" s="26" t="s">
        <v>61</v>
      </c>
      <c r="AF194" s="26" t="s">
        <v>62</v>
      </c>
      <c r="AG194" s="26" t="s">
        <v>63</v>
      </c>
      <c r="AH194" s="26">
        <v>0</v>
      </c>
      <c r="AI194" s="26">
        <v>0</v>
      </c>
      <c r="AJ194" s="26">
        <v>0</v>
      </c>
      <c r="AK194" s="26">
        <v>0</v>
      </c>
      <c r="AL194" s="26" t="s">
        <v>64</v>
      </c>
      <c r="AM194" s="26">
        <v>3</v>
      </c>
      <c r="AN194" s="26">
        <v>96</v>
      </c>
      <c r="AO194" s="26" t="s">
        <v>65</v>
      </c>
      <c r="AP194" s="26">
        <v>37</v>
      </c>
      <c r="AQ194" s="26">
        <v>198</v>
      </c>
      <c r="AR194" s="26">
        <v>2472176</v>
      </c>
      <c r="AS194" s="26" t="s">
        <v>118</v>
      </c>
      <c r="AT194" s="26" t="s">
        <v>927</v>
      </c>
      <c r="AU194" s="29" t="s">
        <v>118</v>
      </c>
    </row>
    <row r="195" spans="1:47" x14ac:dyDescent="0.25">
      <c r="A195" s="7">
        <f>+CONCATENATE(DAY(V195),"/",MONTH(V195),"/",YEAR(V195),"")*1</f>
        <v>46156</v>
      </c>
      <c r="B195" s="23">
        <f>+Z195*1</f>
        <v>3513903341</v>
      </c>
      <c r="C195" s="21" t="str">
        <f>+AA195</f>
        <v>ENTRANTE</v>
      </c>
      <c r="D195" s="3" t="str">
        <f>VLOOKUP(Q195,Code!E:F,2,0)</f>
        <v>Admisiones</v>
      </c>
      <c r="E195" s="3" t="s">
        <v>55</v>
      </c>
      <c r="F195" s="3">
        <f>+AP195</f>
        <v>37</v>
      </c>
      <c r="G195" s="3">
        <f>+S195</f>
        <v>26</v>
      </c>
      <c r="H195" s="22">
        <f>+HOUR(V195)</f>
        <v>10</v>
      </c>
      <c r="I195" s="22">
        <f>IFERROR(VLOOKUP(B195,MATRICULAS!A:B,2,0),0)*1</f>
        <v>0</v>
      </c>
      <c r="J195" s="27">
        <v>20260514</v>
      </c>
      <c r="K195" s="27">
        <v>149202878</v>
      </c>
      <c r="L195" s="27" t="s">
        <v>134</v>
      </c>
      <c r="M195" s="27" t="s">
        <v>56</v>
      </c>
      <c r="N195" s="27">
        <v>0</v>
      </c>
      <c r="O195" s="27">
        <v>0</v>
      </c>
      <c r="P195" s="27" t="s">
        <v>57</v>
      </c>
      <c r="Q195" s="27">
        <v>150</v>
      </c>
      <c r="R195" s="27" t="s">
        <v>145</v>
      </c>
      <c r="S195" s="27">
        <v>26</v>
      </c>
      <c r="T195" s="27" t="s">
        <v>58</v>
      </c>
      <c r="U195" s="27" t="s">
        <v>59</v>
      </c>
      <c r="V195" s="30">
        <v>46156.440937500003</v>
      </c>
      <c r="W195" s="30">
        <v>46156.440937500003</v>
      </c>
      <c r="X195" s="30">
        <v>46156.442442129628</v>
      </c>
      <c r="Y195" s="27" t="s">
        <v>117</v>
      </c>
      <c r="Z195" s="27" t="s">
        <v>928</v>
      </c>
      <c r="AA195" s="27" t="s">
        <v>53</v>
      </c>
      <c r="AB195" s="27" t="s">
        <v>60</v>
      </c>
      <c r="AC195" s="27" t="s">
        <v>929</v>
      </c>
      <c r="AD195" s="27" t="s">
        <v>118</v>
      </c>
      <c r="AE195" s="27" t="s">
        <v>61</v>
      </c>
      <c r="AF195" s="27" t="s">
        <v>62</v>
      </c>
      <c r="AG195" s="27" t="s">
        <v>63</v>
      </c>
      <c r="AH195" s="27">
        <v>0</v>
      </c>
      <c r="AI195" s="27">
        <v>0</v>
      </c>
      <c r="AJ195" s="27">
        <v>0</v>
      </c>
      <c r="AK195" s="27">
        <v>0</v>
      </c>
      <c r="AL195" s="27" t="s">
        <v>64</v>
      </c>
      <c r="AM195" s="27">
        <v>3</v>
      </c>
      <c r="AN195" s="27">
        <v>131</v>
      </c>
      <c r="AO195" s="27" t="s">
        <v>65</v>
      </c>
      <c r="AP195" s="27">
        <v>37</v>
      </c>
      <c r="AQ195" s="27">
        <v>187</v>
      </c>
      <c r="AR195" s="27">
        <v>2248891</v>
      </c>
      <c r="AS195" s="27" t="s">
        <v>118</v>
      </c>
      <c r="AT195" s="27" t="s">
        <v>930</v>
      </c>
      <c r="AU195" s="31" t="s">
        <v>118</v>
      </c>
    </row>
    <row r="196" spans="1:47" x14ac:dyDescent="0.25">
      <c r="A196" s="7">
        <f>+CONCATENATE(DAY(V196),"/",MONTH(V196),"/",YEAR(V196),"")*1</f>
        <v>46156</v>
      </c>
      <c r="B196" s="23">
        <f>+Z196*1</f>
        <v>3854060959</v>
      </c>
      <c r="C196" s="21" t="str">
        <f>+AA196</f>
        <v>ENTRANTE</v>
      </c>
      <c r="D196" s="3" t="str">
        <f>VLOOKUP(Q196,Code!E:F,2,0)</f>
        <v>Admisiones</v>
      </c>
      <c r="E196" s="3" t="s">
        <v>55</v>
      </c>
      <c r="F196" s="3">
        <f>+AP196</f>
        <v>37</v>
      </c>
      <c r="G196" s="3">
        <f>+S196</f>
        <v>5</v>
      </c>
      <c r="H196" s="22">
        <f>+HOUR(V196)</f>
        <v>10</v>
      </c>
      <c r="I196" s="22">
        <f>IFERROR(VLOOKUP(B196,MATRICULAS!A:B,2,0),0)*1</f>
        <v>0</v>
      </c>
      <c r="J196" s="26">
        <v>20260514</v>
      </c>
      <c r="K196" s="26">
        <v>149202374</v>
      </c>
      <c r="L196" s="26" t="s">
        <v>134</v>
      </c>
      <c r="M196" s="26" t="s">
        <v>56</v>
      </c>
      <c r="N196" s="26">
        <v>0</v>
      </c>
      <c r="O196" s="26">
        <v>0</v>
      </c>
      <c r="P196" s="26" t="s">
        <v>57</v>
      </c>
      <c r="Q196" s="26">
        <v>150</v>
      </c>
      <c r="R196" s="26" t="s">
        <v>127</v>
      </c>
      <c r="S196" s="26">
        <v>5</v>
      </c>
      <c r="T196" s="26" t="s">
        <v>58</v>
      </c>
      <c r="U196" s="26" t="s">
        <v>59</v>
      </c>
      <c r="V196" s="28">
        <v>46156.426296296297</v>
      </c>
      <c r="W196" s="28">
        <v>46156.426296296297</v>
      </c>
      <c r="X196" s="28">
        <v>46156.432615740741</v>
      </c>
      <c r="Y196" s="26" t="s">
        <v>117</v>
      </c>
      <c r="Z196" s="26" t="s">
        <v>931</v>
      </c>
      <c r="AA196" s="26" t="s">
        <v>53</v>
      </c>
      <c r="AB196" s="26" t="s">
        <v>60</v>
      </c>
      <c r="AC196" s="26" t="s">
        <v>932</v>
      </c>
      <c r="AD196" s="26" t="s">
        <v>118</v>
      </c>
      <c r="AE196" s="26" t="s">
        <v>61</v>
      </c>
      <c r="AF196" s="26" t="s">
        <v>62</v>
      </c>
      <c r="AG196" s="26" t="s">
        <v>63</v>
      </c>
      <c r="AH196" s="26">
        <v>0</v>
      </c>
      <c r="AI196" s="26">
        <v>0</v>
      </c>
      <c r="AJ196" s="26">
        <v>0</v>
      </c>
      <c r="AK196" s="26">
        <v>0</v>
      </c>
      <c r="AL196" s="26" t="s">
        <v>64</v>
      </c>
      <c r="AM196" s="26">
        <v>3</v>
      </c>
      <c r="AN196" s="26">
        <v>546</v>
      </c>
      <c r="AO196" s="26" t="s">
        <v>65</v>
      </c>
      <c r="AP196" s="26">
        <v>37</v>
      </c>
      <c r="AQ196" s="26">
        <v>0</v>
      </c>
      <c r="AR196" s="26">
        <v>0</v>
      </c>
      <c r="AS196" s="26" t="s">
        <v>118</v>
      </c>
      <c r="AT196" s="26" t="s">
        <v>933</v>
      </c>
      <c r="AU196" s="29" t="s">
        <v>118</v>
      </c>
    </row>
    <row r="197" spans="1:47" x14ac:dyDescent="0.25">
      <c r="A197" s="7">
        <f>+CONCATENATE(DAY(V197),"/",MONTH(V197),"/",YEAR(V197),"")*1</f>
        <v>46156</v>
      </c>
      <c r="B197" s="23">
        <f>+Z197*1</f>
        <v>3813926275</v>
      </c>
      <c r="C197" s="21" t="str">
        <f>+AA197</f>
        <v>ENTRANTE</v>
      </c>
      <c r="D197" s="3" t="str">
        <f>VLOOKUP(Q197,Code!E:F,2,0)</f>
        <v>Admisiones</v>
      </c>
      <c r="E197" s="3" t="s">
        <v>55</v>
      </c>
      <c r="F197" s="3">
        <f>+AP197</f>
        <v>37</v>
      </c>
      <c r="G197" s="3">
        <f>+S197</f>
        <v>26</v>
      </c>
      <c r="H197" s="22">
        <f>+HOUR(V197)</f>
        <v>9</v>
      </c>
      <c r="I197" s="22">
        <f>IFERROR(VLOOKUP(B197,MATRICULAS!A:B,2,0),0)*1</f>
        <v>0</v>
      </c>
      <c r="J197" s="27">
        <v>20260514</v>
      </c>
      <c r="K197" s="27">
        <v>149201751</v>
      </c>
      <c r="L197" s="27" t="s">
        <v>134</v>
      </c>
      <c r="M197" s="27" t="s">
        <v>56</v>
      </c>
      <c r="N197" s="27">
        <v>0</v>
      </c>
      <c r="O197" s="27">
        <v>0</v>
      </c>
      <c r="P197" s="27" t="s">
        <v>57</v>
      </c>
      <c r="Q197" s="27">
        <v>150</v>
      </c>
      <c r="R197" s="27" t="s">
        <v>145</v>
      </c>
      <c r="S197" s="27">
        <v>26</v>
      </c>
      <c r="T197" s="27" t="s">
        <v>58</v>
      </c>
      <c r="U197" s="27" t="s">
        <v>59</v>
      </c>
      <c r="V197" s="30">
        <v>46156.40797453704</v>
      </c>
      <c r="W197" s="30">
        <v>46156.40797453704</v>
      </c>
      <c r="X197" s="30">
        <v>46156.412592592591</v>
      </c>
      <c r="Y197" s="27" t="s">
        <v>117</v>
      </c>
      <c r="Z197" s="27" t="s">
        <v>934</v>
      </c>
      <c r="AA197" s="27" t="s">
        <v>53</v>
      </c>
      <c r="AB197" s="27" t="s">
        <v>60</v>
      </c>
      <c r="AC197" s="27" t="s">
        <v>935</v>
      </c>
      <c r="AD197" s="27" t="s">
        <v>118</v>
      </c>
      <c r="AE197" s="27" t="s">
        <v>70</v>
      </c>
      <c r="AF197" s="27" t="s">
        <v>138</v>
      </c>
      <c r="AG197" s="27" t="s">
        <v>139</v>
      </c>
      <c r="AH197" s="27">
        <v>0</v>
      </c>
      <c r="AI197" s="27">
        <v>0</v>
      </c>
      <c r="AJ197" s="27">
        <v>0</v>
      </c>
      <c r="AK197" s="27">
        <v>0</v>
      </c>
      <c r="AL197" s="27" t="s">
        <v>64</v>
      </c>
      <c r="AM197" s="27">
        <v>3</v>
      </c>
      <c r="AN197" s="27">
        <v>400</v>
      </c>
      <c r="AO197" s="27" t="s">
        <v>65</v>
      </c>
      <c r="AP197" s="27">
        <v>37</v>
      </c>
      <c r="AQ197" s="27">
        <v>202</v>
      </c>
      <c r="AR197" s="27">
        <v>2496870</v>
      </c>
      <c r="AS197" s="27" t="s">
        <v>118</v>
      </c>
      <c r="AT197" s="27" t="s">
        <v>936</v>
      </c>
      <c r="AU197" s="31" t="s">
        <v>118</v>
      </c>
    </row>
    <row r="198" spans="1:47" x14ac:dyDescent="0.25">
      <c r="A198" s="7">
        <f>+CONCATENATE(DAY(V198),"/",MONTH(V198),"/",YEAR(V198),"")*1</f>
        <v>46157</v>
      </c>
      <c r="B198" s="23">
        <f>+Z198*1</f>
        <v>3812590552</v>
      </c>
      <c r="C198" s="21" t="str">
        <f>+AA198</f>
        <v>ENTRANTE</v>
      </c>
      <c r="D198" s="3" t="str">
        <f>VLOOKUP(Q198,Code!E:F,2,0)</f>
        <v>Admisiones</v>
      </c>
      <c r="E198" s="3" t="s">
        <v>55</v>
      </c>
      <c r="F198" s="3">
        <f>+AP198</f>
        <v>37</v>
      </c>
      <c r="G198" s="3">
        <f>+S198</f>
        <v>27</v>
      </c>
      <c r="H198" s="22">
        <f>+HOUR(V198)</f>
        <v>19</v>
      </c>
      <c r="I198" s="22">
        <f>IFERROR(VLOOKUP(B198,MATRICULAS!A:B,2,0),0)*1</f>
        <v>0</v>
      </c>
      <c r="J198" s="26">
        <v>20260515</v>
      </c>
      <c r="K198" s="26">
        <v>149236656</v>
      </c>
      <c r="L198" s="26" t="s">
        <v>134</v>
      </c>
      <c r="M198" s="26" t="s">
        <v>56</v>
      </c>
      <c r="N198" s="26">
        <v>0</v>
      </c>
      <c r="O198" s="26">
        <v>0</v>
      </c>
      <c r="P198" s="26" t="s">
        <v>57</v>
      </c>
      <c r="Q198" s="26">
        <v>150</v>
      </c>
      <c r="R198" s="26" t="s">
        <v>163</v>
      </c>
      <c r="S198" s="26">
        <v>27</v>
      </c>
      <c r="T198" s="26" t="s">
        <v>58</v>
      </c>
      <c r="U198" s="26" t="s">
        <v>59</v>
      </c>
      <c r="V198" s="28">
        <v>46157.828425925924</v>
      </c>
      <c r="W198" s="28">
        <v>46157.828425925924</v>
      </c>
      <c r="X198" s="28">
        <v>46157.829976851855</v>
      </c>
      <c r="Y198" s="26" t="s">
        <v>117</v>
      </c>
      <c r="Z198" s="26" t="s">
        <v>829</v>
      </c>
      <c r="AA198" s="26" t="s">
        <v>53</v>
      </c>
      <c r="AB198" s="26" t="s">
        <v>60</v>
      </c>
      <c r="AC198" s="26" t="s">
        <v>830</v>
      </c>
      <c r="AD198" s="26" t="s">
        <v>118</v>
      </c>
      <c r="AE198" s="26" t="s">
        <v>70</v>
      </c>
      <c r="AF198" s="26" t="s">
        <v>138</v>
      </c>
      <c r="AG198" s="26" t="s">
        <v>139</v>
      </c>
      <c r="AH198" s="26">
        <v>0</v>
      </c>
      <c r="AI198" s="26">
        <v>0</v>
      </c>
      <c r="AJ198" s="26">
        <v>0</v>
      </c>
      <c r="AK198" s="26">
        <v>0</v>
      </c>
      <c r="AL198" s="26" t="s">
        <v>64</v>
      </c>
      <c r="AM198" s="26">
        <v>3</v>
      </c>
      <c r="AN198" s="26">
        <v>135</v>
      </c>
      <c r="AO198" s="26" t="s">
        <v>65</v>
      </c>
      <c r="AP198" s="26">
        <v>37</v>
      </c>
      <c r="AQ198" s="26">
        <v>0</v>
      </c>
      <c r="AR198" s="26">
        <v>0</v>
      </c>
      <c r="AS198" s="26" t="s">
        <v>118</v>
      </c>
      <c r="AT198" s="26" t="s">
        <v>831</v>
      </c>
      <c r="AU198" s="29" t="s">
        <v>118</v>
      </c>
    </row>
    <row r="199" spans="1:47" x14ac:dyDescent="0.25">
      <c r="A199" s="7">
        <f>+CONCATENATE(DAY(V199),"/",MONTH(V199),"/",YEAR(V199),"")*1</f>
        <v>46157</v>
      </c>
      <c r="B199" s="23">
        <f>+Z199*1</f>
        <v>1132101845</v>
      </c>
      <c r="C199" s="21" t="str">
        <f>+AA199</f>
        <v>ENTRANTE</v>
      </c>
      <c r="D199" s="3" t="str">
        <f>VLOOKUP(Q199,Code!E:F,2,0)</f>
        <v>Admisiones</v>
      </c>
      <c r="E199" s="3" t="s">
        <v>55</v>
      </c>
      <c r="F199" s="3">
        <f>+AP199</f>
        <v>37</v>
      </c>
      <c r="G199" s="3">
        <f>+S199</f>
        <v>27</v>
      </c>
      <c r="H199" s="22">
        <f>+HOUR(V199)</f>
        <v>19</v>
      </c>
      <c r="I199" s="22">
        <f>IFERROR(VLOOKUP(B199,MATRICULAS!A:B,2,0),0)*1</f>
        <v>1</v>
      </c>
      <c r="J199" s="27">
        <v>20260515</v>
      </c>
      <c r="K199" s="27">
        <v>149236654</v>
      </c>
      <c r="L199" s="27" t="s">
        <v>134</v>
      </c>
      <c r="M199" s="27" t="s">
        <v>56</v>
      </c>
      <c r="N199" s="27">
        <v>0</v>
      </c>
      <c r="O199" s="27">
        <v>0</v>
      </c>
      <c r="P199" s="27" t="s">
        <v>57</v>
      </c>
      <c r="Q199" s="27">
        <v>150</v>
      </c>
      <c r="R199" s="27" t="s">
        <v>174</v>
      </c>
      <c r="S199" s="27">
        <v>27</v>
      </c>
      <c r="T199" s="27" t="s">
        <v>58</v>
      </c>
      <c r="U199" s="27" t="s">
        <v>59</v>
      </c>
      <c r="V199" s="30">
        <v>46157.827638888892</v>
      </c>
      <c r="W199" s="30">
        <v>46157.827638888892</v>
      </c>
      <c r="X199" s="30">
        <v>46157.829583333332</v>
      </c>
      <c r="Y199" s="27" t="s">
        <v>117</v>
      </c>
      <c r="Z199" s="27" t="s">
        <v>832</v>
      </c>
      <c r="AA199" s="27" t="s">
        <v>53</v>
      </c>
      <c r="AB199" s="27" t="s">
        <v>60</v>
      </c>
      <c r="AC199" s="27" t="s">
        <v>833</v>
      </c>
      <c r="AD199" s="27" t="s">
        <v>118</v>
      </c>
      <c r="AE199" s="27" t="s">
        <v>61</v>
      </c>
      <c r="AF199" s="27" t="s">
        <v>62</v>
      </c>
      <c r="AG199" s="27" t="s">
        <v>63</v>
      </c>
      <c r="AH199" s="27">
        <v>0</v>
      </c>
      <c r="AI199" s="27">
        <v>0</v>
      </c>
      <c r="AJ199" s="27">
        <v>0</v>
      </c>
      <c r="AK199" s="27">
        <v>0</v>
      </c>
      <c r="AL199" s="27" t="s">
        <v>64</v>
      </c>
      <c r="AM199" s="27">
        <v>3</v>
      </c>
      <c r="AN199" s="27">
        <v>169</v>
      </c>
      <c r="AO199" s="27" t="s">
        <v>65</v>
      </c>
      <c r="AP199" s="27">
        <v>37</v>
      </c>
      <c r="AQ199" s="27">
        <v>1</v>
      </c>
      <c r="AR199" s="27">
        <v>2498498</v>
      </c>
      <c r="AS199" s="27" t="s">
        <v>834</v>
      </c>
      <c r="AT199" s="27" t="s">
        <v>835</v>
      </c>
      <c r="AU199" s="31" t="s">
        <v>118</v>
      </c>
    </row>
    <row r="200" spans="1:47" x14ac:dyDescent="0.25">
      <c r="A200" s="7">
        <f>+CONCATENATE(DAY(V200),"/",MONTH(V200),"/",YEAR(V200),"")*1</f>
        <v>46157</v>
      </c>
      <c r="B200" s="23">
        <f>+Z200*1</f>
        <v>1165440773</v>
      </c>
      <c r="C200" s="21" t="str">
        <f>+AA200</f>
        <v>ENTRANTE</v>
      </c>
      <c r="D200" s="3" t="str">
        <f>VLOOKUP(Q200,Code!E:F,2,0)</f>
        <v>Admisiones</v>
      </c>
      <c r="E200" s="3" t="s">
        <v>55</v>
      </c>
      <c r="F200" s="3">
        <f>+AP200</f>
        <v>37</v>
      </c>
      <c r="G200" s="3">
        <f>+S200</f>
        <v>27</v>
      </c>
      <c r="H200" s="22">
        <f>+HOUR(V200)</f>
        <v>19</v>
      </c>
      <c r="I200" s="22">
        <f>IFERROR(VLOOKUP(B200,MATRICULAS!A:B,2,0),0)*1</f>
        <v>0</v>
      </c>
      <c r="J200" s="26">
        <v>20260515</v>
      </c>
      <c r="K200" s="26">
        <v>149236374</v>
      </c>
      <c r="L200" s="26" t="s">
        <v>134</v>
      </c>
      <c r="M200" s="26" t="s">
        <v>56</v>
      </c>
      <c r="N200" s="26">
        <v>0</v>
      </c>
      <c r="O200" s="26">
        <v>0</v>
      </c>
      <c r="P200" s="26" t="s">
        <v>57</v>
      </c>
      <c r="Q200" s="26">
        <v>150</v>
      </c>
      <c r="R200" s="26" t="s">
        <v>174</v>
      </c>
      <c r="S200" s="26">
        <v>27</v>
      </c>
      <c r="T200" s="26" t="s">
        <v>58</v>
      </c>
      <c r="U200" s="26" t="s">
        <v>59</v>
      </c>
      <c r="V200" s="28">
        <v>46157.81486111111</v>
      </c>
      <c r="W200" s="28">
        <v>46157.81486111111</v>
      </c>
      <c r="X200" s="28">
        <v>46157.817141203705</v>
      </c>
      <c r="Y200" s="26" t="s">
        <v>117</v>
      </c>
      <c r="Z200" s="26" t="s">
        <v>836</v>
      </c>
      <c r="AA200" s="26" t="s">
        <v>53</v>
      </c>
      <c r="AB200" s="26" t="s">
        <v>60</v>
      </c>
      <c r="AC200" s="26" t="s">
        <v>837</v>
      </c>
      <c r="AD200" s="26" t="s">
        <v>118</v>
      </c>
      <c r="AE200" s="26" t="s">
        <v>61</v>
      </c>
      <c r="AF200" s="26" t="s">
        <v>62</v>
      </c>
      <c r="AG200" s="26" t="s">
        <v>63</v>
      </c>
      <c r="AH200" s="26">
        <v>0</v>
      </c>
      <c r="AI200" s="26">
        <v>0</v>
      </c>
      <c r="AJ200" s="26">
        <v>0</v>
      </c>
      <c r="AK200" s="26">
        <v>0</v>
      </c>
      <c r="AL200" s="26" t="s">
        <v>64</v>
      </c>
      <c r="AM200" s="26">
        <v>3</v>
      </c>
      <c r="AN200" s="26">
        <v>197</v>
      </c>
      <c r="AO200" s="26" t="s">
        <v>65</v>
      </c>
      <c r="AP200" s="26">
        <v>37</v>
      </c>
      <c r="AQ200" s="26">
        <v>201</v>
      </c>
      <c r="AR200" s="26">
        <v>2494572</v>
      </c>
      <c r="AS200" s="26" t="s">
        <v>118</v>
      </c>
      <c r="AT200" s="26" t="s">
        <v>838</v>
      </c>
      <c r="AU200" s="29" t="s">
        <v>118</v>
      </c>
    </row>
    <row r="201" spans="1:47" x14ac:dyDescent="0.25">
      <c r="A201" s="7">
        <f>+CONCATENATE(DAY(V201),"/",MONTH(V201),"/",YEAR(V201),"")*1</f>
        <v>46157</v>
      </c>
      <c r="B201" s="23">
        <f>+Z201*1</f>
        <v>1132955083</v>
      </c>
      <c r="C201" s="21" t="str">
        <f>+AA201</f>
        <v>ENTRANTE</v>
      </c>
      <c r="D201" s="3" t="str">
        <f>VLOOKUP(Q201,Code!E:F,2,0)</f>
        <v>Admisiones</v>
      </c>
      <c r="E201" s="3" t="s">
        <v>55</v>
      </c>
      <c r="F201" s="3">
        <f>+AP201</f>
        <v>37</v>
      </c>
      <c r="G201" s="3">
        <f>+S201</f>
        <v>27</v>
      </c>
      <c r="H201" s="22">
        <f>+HOUR(V201)</f>
        <v>19</v>
      </c>
      <c r="I201" s="22">
        <f>IFERROR(VLOOKUP(B201,MATRICULAS!A:B,2,0),0)*1</f>
        <v>0</v>
      </c>
      <c r="J201" s="27">
        <v>20260515</v>
      </c>
      <c r="K201" s="27">
        <v>149236153</v>
      </c>
      <c r="L201" s="27" t="s">
        <v>134</v>
      </c>
      <c r="M201" s="27" t="s">
        <v>56</v>
      </c>
      <c r="N201" s="27">
        <v>0</v>
      </c>
      <c r="O201" s="27">
        <v>0</v>
      </c>
      <c r="P201" s="27" t="s">
        <v>57</v>
      </c>
      <c r="Q201" s="27">
        <v>150</v>
      </c>
      <c r="R201" s="27" t="s">
        <v>174</v>
      </c>
      <c r="S201" s="27">
        <v>27</v>
      </c>
      <c r="T201" s="27" t="s">
        <v>58</v>
      </c>
      <c r="U201" s="27" t="s">
        <v>59</v>
      </c>
      <c r="V201" s="30">
        <v>46157.808136574073</v>
      </c>
      <c r="W201" s="30">
        <v>46157.808136574073</v>
      </c>
      <c r="X201" s="30">
        <v>46157.813587962963</v>
      </c>
      <c r="Y201" s="27" t="s">
        <v>117</v>
      </c>
      <c r="Z201" s="27" t="s">
        <v>839</v>
      </c>
      <c r="AA201" s="27" t="s">
        <v>53</v>
      </c>
      <c r="AB201" s="27" t="s">
        <v>60</v>
      </c>
      <c r="AC201" s="27" t="s">
        <v>840</v>
      </c>
      <c r="AD201" s="27" t="s">
        <v>118</v>
      </c>
      <c r="AE201" s="27" t="s">
        <v>61</v>
      </c>
      <c r="AF201" s="27" t="s">
        <v>62</v>
      </c>
      <c r="AG201" s="27" t="s">
        <v>63</v>
      </c>
      <c r="AH201" s="27">
        <v>0</v>
      </c>
      <c r="AI201" s="27">
        <v>0</v>
      </c>
      <c r="AJ201" s="27">
        <v>0</v>
      </c>
      <c r="AK201" s="27">
        <v>0</v>
      </c>
      <c r="AL201" s="27" t="s">
        <v>64</v>
      </c>
      <c r="AM201" s="27">
        <v>3</v>
      </c>
      <c r="AN201" s="27">
        <v>471</v>
      </c>
      <c r="AO201" s="27" t="s">
        <v>65</v>
      </c>
      <c r="AP201" s="27">
        <v>37</v>
      </c>
      <c r="AQ201" s="27">
        <v>1</v>
      </c>
      <c r="AR201" s="27">
        <v>2498576</v>
      </c>
      <c r="AS201" s="27" t="s">
        <v>118</v>
      </c>
      <c r="AT201" s="27" t="s">
        <v>841</v>
      </c>
      <c r="AU201" s="31" t="s">
        <v>118</v>
      </c>
    </row>
    <row r="202" spans="1:47" x14ac:dyDescent="0.25">
      <c r="A202" s="7">
        <f>+CONCATENATE(DAY(V202),"/",MONTH(V202),"/",YEAR(V202),"")*1</f>
        <v>46157</v>
      </c>
      <c r="B202" s="23">
        <f>+Z202*1</f>
        <v>1161471726</v>
      </c>
      <c r="C202" s="21" t="str">
        <f>+AA202</f>
        <v>ENTRANTE</v>
      </c>
      <c r="D202" s="3" t="str">
        <f>VLOOKUP(Q202,Code!E:F,2,0)</f>
        <v>Admisiones</v>
      </c>
      <c r="E202" s="3" t="s">
        <v>55</v>
      </c>
      <c r="F202" s="3">
        <f>+AP202</f>
        <v>37</v>
      </c>
      <c r="G202" s="3">
        <f>+S202</f>
        <v>27</v>
      </c>
      <c r="H202" s="22">
        <f>+HOUR(V202)</f>
        <v>17</v>
      </c>
      <c r="I202" s="22">
        <f>IFERROR(VLOOKUP(B202,MATRICULAS!A:B,2,0),0)*1</f>
        <v>0</v>
      </c>
      <c r="J202" s="27">
        <v>20260515</v>
      </c>
      <c r="K202" s="27">
        <v>149232633</v>
      </c>
      <c r="L202" s="27" t="s">
        <v>134</v>
      </c>
      <c r="M202" s="27" t="s">
        <v>56</v>
      </c>
      <c r="N202" s="27">
        <v>0</v>
      </c>
      <c r="O202" s="27">
        <v>0</v>
      </c>
      <c r="P202" s="27" t="s">
        <v>57</v>
      </c>
      <c r="Q202" s="27">
        <v>150</v>
      </c>
      <c r="R202" s="27" t="s">
        <v>174</v>
      </c>
      <c r="S202" s="27">
        <v>27</v>
      </c>
      <c r="T202" s="27" t="s">
        <v>58</v>
      </c>
      <c r="U202" s="27" t="s">
        <v>59</v>
      </c>
      <c r="V202" s="30">
        <v>46157.727662037039</v>
      </c>
      <c r="W202" s="30">
        <v>46157.727662037039</v>
      </c>
      <c r="X202" s="30">
        <v>46157.731041666666</v>
      </c>
      <c r="Y202" s="27" t="s">
        <v>117</v>
      </c>
      <c r="Z202" s="27" t="s">
        <v>843</v>
      </c>
      <c r="AA202" s="27" t="s">
        <v>53</v>
      </c>
      <c r="AB202" s="27" t="s">
        <v>60</v>
      </c>
      <c r="AC202" s="27" t="s">
        <v>844</v>
      </c>
      <c r="AD202" s="27" t="s">
        <v>118</v>
      </c>
      <c r="AE202" s="27" t="s">
        <v>61</v>
      </c>
      <c r="AF202" s="27" t="s">
        <v>62</v>
      </c>
      <c r="AG202" s="27" t="s">
        <v>63</v>
      </c>
      <c r="AH202" s="27">
        <v>0</v>
      </c>
      <c r="AI202" s="27">
        <v>0</v>
      </c>
      <c r="AJ202" s="27">
        <v>0</v>
      </c>
      <c r="AK202" s="27">
        <v>0</v>
      </c>
      <c r="AL202" s="27" t="s">
        <v>64</v>
      </c>
      <c r="AM202" s="27">
        <v>3</v>
      </c>
      <c r="AN202" s="27">
        <v>292</v>
      </c>
      <c r="AO202" s="27" t="s">
        <v>65</v>
      </c>
      <c r="AP202" s="27">
        <v>37</v>
      </c>
      <c r="AQ202" s="27">
        <v>202</v>
      </c>
      <c r="AR202" s="27">
        <v>2498490</v>
      </c>
      <c r="AS202" s="27" t="s">
        <v>118</v>
      </c>
      <c r="AT202" s="27" t="s">
        <v>845</v>
      </c>
      <c r="AU202" s="31" t="s">
        <v>118</v>
      </c>
    </row>
    <row r="203" spans="1:47" x14ac:dyDescent="0.25">
      <c r="A203" s="7">
        <f>+CONCATENATE(DAY(V203),"/",MONTH(V203),"/",YEAR(V203),"")*1</f>
        <v>46157</v>
      </c>
      <c r="B203" s="23">
        <f>+Z203*1</f>
        <v>3584909230</v>
      </c>
      <c r="C203" s="21" t="str">
        <f>+AA203</f>
        <v>ENTRANTE</v>
      </c>
      <c r="D203" s="3" t="str">
        <f>VLOOKUP(Q203,Code!E:F,2,0)</f>
        <v>Admisiones</v>
      </c>
      <c r="E203" s="3" t="s">
        <v>55</v>
      </c>
      <c r="F203" s="3">
        <f>+AP203</f>
        <v>37</v>
      </c>
      <c r="G203" s="3">
        <f>+S203</f>
        <v>27</v>
      </c>
      <c r="H203" s="22">
        <f>+HOUR(V203)</f>
        <v>17</v>
      </c>
      <c r="I203" s="22">
        <f>IFERROR(VLOOKUP(B203,MATRICULAS!A:B,2,0),0)*1</f>
        <v>0</v>
      </c>
      <c r="J203" s="26">
        <v>20260515</v>
      </c>
      <c r="K203" s="26">
        <v>149232425</v>
      </c>
      <c r="L203" s="26" t="s">
        <v>134</v>
      </c>
      <c r="M203" s="26" t="s">
        <v>56</v>
      </c>
      <c r="N203" s="26">
        <v>0</v>
      </c>
      <c r="O203" s="26">
        <v>0</v>
      </c>
      <c r="P203" s="26" t="s">
        <v>57</v>
      </c>
      <c r="Q203" s="26">
        <v>150</v>
      </c>
      <c r="R203" s="26" t="s">
        <v>174</v>
      </c>
      <c r="S203" s="26">
        <v>27</v>
      </c>
      <c r="T203" s="26" t="s">
        <v>58</v>
      </c>
      <c r="U203" s="26" t="s">
        <v>59</v>
      </c>
      <c r="V203" s="28">
        <v>46157.721585648149</v>
      </c>
      <c r="W203" s="28">
        <v>46157.721585648149</v>
      </c>
      <c r="X203" s="28">
        <v>46157.724293981482</v>
      </c>
      <c r="Y203" s="26" t="s">
        <v>117</v>
      </c>
      <c r="Z203" s="26" t="s">
        <v>846</v>
      </c>
      <c r="AA203" s="26" t="s">
        <v>53</v>
      </c>
      <c r="AB203" s="26" t="s">
        <v>60</v>
      </c>
      <c r="AC203" s="26" t="s">
        <v>847</v>
      </c>
      <c r="AD203" s="26" t="s">
        <v>118</v>
      </c>
      <c r="AE203" s="26" t="s">
        <v>61</v>
      </c>
      <c r="AF203" s="26" t="s">
        <v>62</v>
      </c>
      <c r="AG203" s="26" t="s">
        <v>63</v>
      </c>
      <c r="AH203" s="26">
        <v>0</v>
      </c>
      <c r="AI203" s="26">
        <v>0</v>
      </c>
      <c r="AJ203" s="26">
        <v>0</v>
      </c>
      <c r="AK203" s="26">
        <v>0</v>
      </c>
      <c r="AL203" s="26" t="s">
        <v>64</v>
      </c>
      <c r="AM203" s="26">
        <v>3</v>
      </c>
      <c r="AN203" s="26">
        <v>234</v>
      </c>
      <c r="AO203" s="26" t="s">
        <v>65</v>
      </c>
      <c r="AP203" s="26">
        <v>37</v>
      </c>
      <c r="AQ203" s="26">
        <v>0</v>
      </c>
      <c r="AR203" s="26">
        <v>0</v>
      </c>
      <c r="AS203" s="26" t="s">
        <v>118</v>
      </c>
      <c r="AT203" s="26" t="s">
        <v>848</v>
      </c>
      <c r="AU203" s="29" t="s">
        <v>118</v>
      </c>
    </row>
    <row r="204" spans="1:47" x14ac:dyDescent="0.25">
      <c r="A204" s="7">
        <f>+CONCATENATE(DAY(V204),"/",MONTH(V204),"/",YEAR(V204),"")*1</f>
        <v>46157</v>
      </c>
      <c r="B204" s="23">
        <f>+Z204*1</f>
        <v>2241465236</v>
      </c>
      <c r="C204" s="21" t="str">
        <f>+AA204</f>
        <v>ENTRANTE</v>
      </c>
      <c r="D204" s="3" t="str">
        <f>VLOOKUP(Q204,Code!E:F,2,0)</f>
        <v>Admisiones</v>
      </c>
      <c r="E204" s="3" t="s">
        <v>55</v>
      </c>
      <c r="F204" s="3">
        <f>+AP204</f>
        <v>37</v>
      </c>
      <c r="G204" s="3">
        <f>+S204</f>
        <v>27</v>
      </c>
      <c r="H204" s="22">
        <f>+HOUR(V204)</f>
        <v>17</v>
      </c>
      <c r="I204" s="22">
        <f>IFERROR(VLOOKUP(B204,MATRICULAS!A:B,2,0),0)*1</f>
        <v>0</v>
      </c>
      <c r="J204" s="27">
        <v>20260515</v>
      </c>
      <c r="K204" s="27">
        <v>149232173</v>
      </c>
      <c r="L204" s="27" t="s">
        <v>134</v>
      </c>
      <c r="M204" s="27" t="s">
        <v>56</v>
      </c>
      <c r="N204" s="27">
        <v>0</v>
      </c>
      <c r="O204" s="27">
        <v>0</v>
      </c>
      <c r="P204" s="27" t="s">
        <v>57</v>
      </c>
      <c r="Q204" s="27">
        <v>150</v>
      </c>
      <c r="R204" s="27" t="s">
        <v>174</v>
      </c>
      <c r="S204" s="27">
        <v>27</v>
      </c>
      <c r="T204" s="27" t="s">
        <v>58</v>
      </c>
      <c r="U204" s="27" t="s">
        <v>59</v>
      </c>
      <c r="V204" s="30">
        <v>46157.714039351849</v>
      </c>
      <c r="W204" s="30">
        <v>46157.714050925926</v>
      </c>
      <c r="X204" s="30">
        <v>46157.714398148149</v>
      </c>
      <c r="Y204" s="27" t="s">
        <v>117</v>
      </c>
      <c r="Z204" s="27" t="s">
        <v>849</v>
      </c>
      <c r="AA204" s="27" t="s">
        <v>53</v>
      </c>
      <c r="AB204" s="27" t="s">
        <v>60</v>
      </c>
      <c r="AC204" s="27" t="s">
        <v>850</v>
      </c>
      <c r="AD204" s="27" t="s">
        <v>118</v>
      </c>
      <c r="AE204" s="27" t="s">
        <v>61</v>
      </c>
      <c r="AF204" s="27" t="s">
        <v>62</v>
      </c>
      <c r="AG204" s="27" t="s">
        <v>63</v>
      </c>
      <c r="AH204" s="27">
        <v>0</v>
      </c>
      <c r="AI204" s="27">
        <v>0</v>
      </c>
      <c r="AJ204" s="27">
        <v>0</v>
      </c>
      <c r="AK204" s="27">
        <v>0</v>
      </c>
      <c r="AL204" s="27" t="s">
        <v>64</v>
      </c>
      <c r="AM204" s="27">
        <v>3</v>
      </c>
      <c r="AN204" s="27">
        <v>31</v>
      </c>
      <c r="AO204" s="27" t="s">
        <v>65</v>
      </c>
      <c r="AP204" s="27">
        <v>37</v>
      </c>
      <c r="AQ204" s="27">
        <v>188</v>
      </c>
      <c r="AR204" s="27">
        <v>2263178</v>
      </c>
      <c r="AS204" s="27" t="s">
        <v>118</v>
      </c>
      <c r="AT204" s="27" t="s">
        <v>851</v>
      </c>
      <c r="AU204" s="31" t="s">
        <v>118</v>
      </c>
    </row>
    <row r="205" spans="1:47" x14ac:dyDescent="0.25">
      <c r="A205" s="7">
        <f>+CONCATENATE(DAY(V205),"/",MONTH(V205),"/",YEAR(V205),"")*1</f>
        <v>46157</v>
      </c>
      <c r="B205" s="23">
        <f>+Z205*1</f>
        <v>1160056437</v>
      </c>
      <c r="C205" s="21" t="str">
        <f>+AA205</f>
        <v>ENTRANTE</v>
      </c>
      <c r="D205" s="3" t="str">
        <f>VLOOKUP(Q205,Code!E:F,2,0)</f>
        <v>Admisiones</v>
      </c>
      <c r="E205" s="3" t="s">
        <v>55</v>
      </c>
      <c r="F205" s="3">
        <f>+AP205</f>
        <v>37</v>
      </c>
      <c r="G205" s="3">
        <f>+S205</f>
        <v>27</v>
      </c>
      <c r="H205" s="22">
        <f>+HOUR(V205)</f>
        <v>16</v>
      </c>
      <c r="I205" s="22">
        <f>IFERROR(VLOOKUP(B205,MATRICULAS!A:B,2,0),0)*1</f>
        <v>0</v>
      </c>
      <c r="J205" s="26">
        <v>20260515</v>
      </c>
      <c r="K205" s="26">
        <v>149231306</v>
      </c>
      <c r="L205" s="26" t="s">
        <v>134</v>
      </c>
      <c r="M205" s="26" t="s">
        <v>56</v>
      </c>
      <c r="N205" s="26">
        <v>0</v>
      </c>
      <c r="O205" s="26">
        <v>0</v>
      </c>
      <c r="P205" s="26" t="s">
        <v>57</v>
      </c>
      <c r="Q205" s="26">
        <v>150</v>
      </c>
      <c r="R205" s="26" t="s">
        <v>174</v>
      </c>
      <c r="S205" s="26">
        <v>27</v>
      </c>
      <c r="T205" s="26" t="s">
        <v>58</v>
      </c>
      <c r="U205" s="26" t="s">
        <v>59</v>
      </c>
      <c r="V205" s="28">
        <v>46157.688333333332</v>
      </c>
      <c r="W205" s="28">
        <v>46157.688333333332</v>
      </c>
      <c r="X205" s="28">
        <v>46157.68954861111</v>
      </c>
      <c r="Y205" s="26" t="s">
        <v>117</v>
      </c>
      <c r="Z205" s="26" t="s">
        <v>852</v>
      </c>
      <c r="AA205" s="26" t="s">
        <v>53</v>
      </c>
      <c r="AB205" s="26" t="s">
        <v>60</v>
      </c>
      <c r="AC205" s="26" t="s">
        <v>853</v>
      </c>
      <c r="AD205" s="26" t="s">
        <v>118</v>
      </c>
      <c r="AE205" s="26" t="s">
        <v>61</v>
      </c>
      <c r="AF205" s="26" t="s">
        <v>62</v>
      </c>
      <c r="AG205" s="26" t="s">
        <v>63</v>
      </c>
      <c r="AH205" s="26">
        <v>0</v>
      </c>
      <c r="AI205" s="26">
        <v>0</v>
      </c>
      <c r="AJ205" s="26">
        <v>0</v>
      </c>
      <c r="AK205" s="26">
        <v>0</v>
      </c>
      <c r="AL205" s="26" t="s">
        <v>64</v>
      </c>
      <c r="AM205" s="26">
        <v>3</v>
      </c>
      <c r="AN205" s="26">
        <v>106</v>
      </c>
      <c r="AO205" s="26" t="s">
        <v>65</v>
      </c>
      <c r="AP205" s="26">
        <v>37</v>
      </c>
      <c r="AQ205" s="26">
        <v>1</v>
      </c>
      <c r="AR205" s="26">
        <v>2498442</v>
      </c>
      <c r="AS205" s="26" t="s">
        <v>118</v>
      </c>
      <c r="AT205" s="26" t="s">
        <v>854</v>
      </c>
      <c r="AU205" s="29" t="s">
        <v>118</v>
      </c>
    </row>
    <row r="206" spans="1:47" x14ac:dyDescent="0.25">
      <c r="A206" s="7">
        <f>+CONCATENATE(DAY(V206),"/",MONTH(V206),"/",YEAR(V206),"")*1</f>
        <v>46157</v>
      </c>
      <c r="B206" s="23">
        <f>+Z206*1</f>
        <v>3816408806</v>
      </c>
      <c r="C206" s="21" t="str">
        <f>+AA206</f>
        <v>ENTRANTE</v>
      </c>
      <c r="D206" s="3" t="str">
        <f>VLOOKUP(Q206,Code!E:F,2,0)</f>
        <v>Admisiones</v>
      </c>
      <c r="E206" s="3" t="s">
        <v>55</v>
      </c>
      <c r="F206" s="3">
        <f>+AP206</f>
        <v>37</v>
      </c>
      <c r="G206" s="3">
        <f>+S206</f>
        <v>27</v>
      </c>
      <c r="H206" s="22">
        <f>+HOUR(V206)</f>
        <v>16</v>
      </c>
      <c r="I206" s="22">
        <f>IFERROR(VLOOKUP(B206,MATRICULAS!A:B,2,0),0)*1</f>
        <v>1</v>
      </c>
      <c r="J206" s="27">
        <v>20260515</v>
      </c>
      <c r="K206" s="27">
        <v>149230541</v>
      </c>
      <c r="L206" s="27" t="s">
        <v>134</v>
      </c>
      <c r="M206" s="27" t="s">
        <v>56</v>
      </c>
      <c r="N206" s="27">
        <v>0</v>
      </c>
      <c r="O206" s="27">
        <v>0</v>
      </c>
      <c r="P206" s="27" t="s">
        <v>57</v>
      </c>
      <c r="Q206" s="27">
        <v>150</v>
      </c>
      <c r="R206" s="27" t="s">
        <v>161</v>
      </c>
      <c r="S206" s="27">
        <v>27</v>
      </c>
      <c r="T206" s="27" t="s">
        <v>58</v>
      </c>
      <c r="U206" s="27" t="s">
        <v>59</v>
      </c>
      <c r="V206" s="30">
        <v>46157.670671296299</v>
      </c>
      <c r="W206" s="30">
        <v>46157.670671296299</v>
      </c>
      <c r="X206" s="30">
        <v>46157.671157407407</v>
      </c>
      <c r="Y206" s="27" t="s">
        <v>117</v>
      </c>
      <c r="Z206" s="27" t="s">
        <v>855</v>
      </c>
      <c r="AA206" s="27" t="s">
        <v>53</v>
      </c>
      <c r="AB206" s="27" t="s">
        <v>60</v>
      </c>
      <c r="AC206" s="27" t="s">
        <v>856</v>
      </c>
      <c r="AD206" s="27" t="s">
        <v>118</v>
      </c>
      <c r="AE206" s="27" t="s">
        <v>61</v>
      </c>
      <c r="AF206" s="27" t="s">
        <v>62</v>
      </c>
      <c r="AG206" s="27" t="s">
        <v>63</v>
      </c>
      <c r="AH206" s="27">
        <v>0</v>
      </c>
      <c r="AI206" s="27">
        <v>0</v>
      </c>
      <c r="AJ206" s="27">
        <v>0</v>
      </c>
      <c r="AK206" s="27">
        <v>0</v>
      </c>
      <c r="AL206" s="27" t="s">
        <v>64</v>
      </c>
      <c r="AM206" s="27">
        <v>3</v>
      </c>
      <c r="AN206" s="27">
        <v>42</v>
      </c>
      <c r="AO206" s="27" t="s">
        <v>65</v>
      </c>
      <c r="AP206" s="27">
        <v>37</v>
      </c>
      <c r="AQ206" s="27">
        <v>201</v>
      </c>
      <c r="AR206" s="27">
        <v>2498120</v>
      </c>
      <c r="AS206" s="27" t="s">
        <v>118</v>
      </c>
      <c r="AT206" s="27" t="s">
        <v>857</v>
      </c>
      <c r="AU206" s="31" t="s">
        <v>118</v>
      </c>
    </row>
    <row r="207" spans="1:47" x14ac:dyDescent="0.25">
      <c r="A207" s="7">
        <f>+CONCATENATE(DAY(V207),"/",MONTH(V207),"/",YEAR(V207),"")*1</f>
        <v>46157</v>
      </c>
      <c r="B207" s="23">
        <f>+Z207*1</f>
        <v>3415816854</v>
      </c>
      <c r="C207" s="21" t="str">
        <f>+AA207</f>
        <v>ENTRANTE</v>
      </c>
      <c r="D207" s="3" t="str">
        <f>VLOOKUP(Q207,Code!E:F,2,0)</f>
        <v>Admisiones</v>
      </c>
      <c r="E207" s="3" t="s">
        <v>55</v>
      </c>
      <c r="F207" s="3">
        <f>+AP207</f>
        <v>37</v>
      </c>
      <c r="G207" s="3">
        <f>+S207</f>
        <v>27</v>
      </c>
      <c r="H207" s="22">
        <f>+HOUR(V207)</f>
        <v>16</v>
      </c>
      <c r="I207" s="22">
        <f>IFERROR(VLOOKUP(B207,MATRICULAS!A:B,2,0),0)*1</f>
        <v>0</v>
      </c>
      <c r="J207" s="26">
        <v>20260515</v>
      </c>
      <c r="K207" s="26">
        <v>149230441</v>
      </c>
      <c r="L207" s="26" t="s">
        <v>134</v>
      </c>
      <c r="M207" s="26" t="s">
        <v>56</v>
      </c>
      <c r="N207" s="26">
        <v>0</v>
      </c>
      <c r="O207" s="26">
        <v>0</v>
      </c>
      <c r="P207" s="26" t="s">
        <v>57</v>
      </c>
      <c r="Q207" s="26">
        <v>150</v>
      </c>
      <c r="R207" s="26" t="s">
        <v>163</v>
      </c>
      <c r="S207" s="26">
        <v>27</v>
      </c>
      <c r="T207" s="26" t="s">
        <v>58</v>
      </c>
      <c r="U207" s="26" t="s">
        <v>59</v>
      </c>
      <c r="V207" s="28">
        <v>46157.667858796296</v>
      </c>
      <c r="W207" s="28">
        <v>46157.667858796296</v>
      </c>
      <c r="X207" s="28">
        <v>46157.672592592593</v>
      </c>
      <c r="Y207" s="26" t="s">
        <v>117</v>
      </c>
      <c r="Z207" s="26" t="s">
        <v>858</v>
      </c>
      <c r="AA207" s="26" t="s">
        <v>53</v>
      </c>
      <c r="AB207" s="26" t="s">
        <v>60</v>
      </c>
      <c r="AC207" s="26" t="s">
        <v>859</v>
      </c>
      <c r="AD207" s="26" t="s">
        <v>118</v>
      </c>
      <c r="AE207" s="26" t="s">
        <v>61</v>
      </c>
      <c r="AF207" s="26" t="s">
        <v>62</v>
      </c>
      <c r="AG207" s="26" t="s">
        <v>63</v>
      </c>
      <c r="AH207" s="26">
        <v>0</v>
      </c>
      <c r="AI207" s="26">
        <v>0</v>
      </c>
      <c r="AJ207" s="26">
        <v>0</v>
      </c>
      <c r="AK207" s="26">
        <v>0</v>
      </c>
      <c r="AL207" s="26" t="s">
        <v>64</v>
      </c>
      <c r="AM207" s="26">
        <v>3</v>
      </c>
      <c r="AN207" s="26">
        <v>410</v>
      </c>
      <c r="AO207" s="26" t="s">
        <v>65</v>
      </c>
      <c r="AP207" s="26">
        <v>37</v>
      </c>
      <c r="AQ207" s="26">
        <v>201</v>
      </c>
      <c r="AR207" s="26">
        <v>2491044</v>
      </c>
      <c r="AS207" s="26" t="s">
        <v>118</v>
      </c>
      <c r="AT207" s="26" t="s">
        <v>860</v>
      </c>
      <c r="AU207" s="29" t="s">
        <v>118</v>
      </c>
    </row>
    <row r="208" spans="1:47" x14ac:dyDescent="0.25">
      <c r="A208" s="7">
        <f>+CONCATENATE(DAY(V208),"/",MONTH(V208),"/",YEAR(V208),"")*1</f>
        <v>46157</v>
      </c>
      <c r="B208" s="23">
        <f>+Z208*1</f>
        <v>3512550704</v>
      </c>
      <c r="C208" s="21" t="str">
        <f>+AA208</f>
        <v>ENTRANTE</v>
      </c>
      <c r="D208" s="3" t="str">
        <f>VLOOKUP(Q208,Code!E:F,2,0)</f>
        <v>Admisiones</v>
      </c>
      <c r="E208" s="3" t="s">
        <v>55</v>
      </c>
      <c r="F208" s="3">
        <f>+AP208</f>
        <v>37</v>
      </c>
      <c r="G208" s="3">
        <f>+S208</f>
        <v>27</v>
      </c>
      <c r="H208" s="22">
        <f>+HOUR(V208)</f>
        <v>15</v>
      </c>
      <c r="I208" s="22">
        <f>IFERROR(VLOOKUP(B208,MATRICULAS!A:B,2,0),0)*1</f>
        <v>0</v>
      </c>
      <c r="J208" s="27">
        <v>20260515</v>
      </c>
      <c r="K208" s="27">
        <v>149230397</v>
      </c>
      <c r="L208" s="27" t="s">
        <v>134</v>
      </c>
      <c r="M208" s="27" t="s">
        <v>56</v>
      </c>
      <c r="N208" s="27">
        <v>0</v>
      </c>
      <c r="O208" s="27">
        <v>0</v>
      </c>
      <c r="P208" s="27" t="s">
        <v>57</v>
      </c>
      <c r="Q208" s="27">
        <v>150</v>
      </c>
      <c r="R208" s="27" t="s">
        <v>174</v>
      </c>
      <c r="S208" s="27">
        <v>27</v>
      </c>
      <c r="T208" s="27" t="s">
        <v>58</v>
      </c>
      <c r="U208" s="27" t="s">
        <v>59</v>
      </c>
      <c r="V208" s="30">
        <v>46157.666400462964</v>
      </c>
      <c r="W208" s="30">
        <v>46157.666400462964</v>
      </c>
      <c r="X208" s="30">
        <v>46157.671423611115</v>
      </c>
      <c r="Y208" s="27" t="s">
        <v>117</v>
      </c>
      <c r="Z208" s="27" t="s">
        <v>861</v>
      </c>
      <c r="AA208" s="27" t="s">
        <v>53</v>
      </c>
      <c r="AB208" s="27" t="s">
        <v>60</v>
      </c>
      <c r="AC208" s="27" t="s">
        <v>862</v>
      </c>
      <c r="AD208" s="27" t="s">
        <v>118</v>
      </c>
      <c r="AE208" s="27" t="s">
        <v>70</v>
      </c>
      <c r="AF208" s="27" t="s">
        <v>130</v>
      </c>
      <c r="AG208" s="27" t="s">
        <v>130</v>
      </c>
      <c r="AH208" s="27">
        <v>0</v>
      </c>
      <c r="AI208" s="27">
        <v>0</v>
      </c>
      <c r="AJ208" s="27">
        <v>0</v>
      </c>
      <c r="AK208" s="27">
        <v>0</v>
      </c>
      <c r="AL208" s="27" t="s">
        <v>64</v>
      </c>
      <c r="AM208" s="27">
        <v>3</v>
      </c>
      <c r="AN208" s="27">
        <v>434</v>
      </c>
      <c r="AO208" s="27" t="s">
        <v>65</v>
      </c>
      <c r="AP208" s="27">
        <v>37</v>
      </c>
      <c r="AQ208" s="27">
        <v>201</v>
      </c>
      <c r="AR208" s="27">
        <v>2488269</v>
      </c>
      <c r="AS208" s="27" t="s">
        <v>118</v>
      </c>
      <c r="AT208" s="27" t="s">
        <v>863</v>
      </c>
      <c r="AU208" s="31" t="s">
        <v>118</v>
      </c>
    </row>
    <row r="209" spans="1:47" x14ac:dyDescent="0.25">
      <c r="A209" s="7">
        <f>+CONCATENATE(DAY(V209),"/",MONTH(V209),"/",YEAR(V209),"")*1</f>
        <v>46157</v>
      </c>
      <c r="B209" s="23">
        <f>+Z209*1</f>
        <v>1156334597</v>
      </c>
      <c r="C209" s="21" t="str">
        <f>+AA209</f>
        <v>ENTRANTE</v>
      </c>
      <c r="D209" s="3" t="str">
        <f>VLOOKUP(Q209,Code!E:F,2,0)</f>
        <v>Admisiones</v>
      </c>
      <c r="E209" s="3" t="s">
        <v>55</v>
      </c>
      <c r="F209" s="3">
        <f>+AP209</f>
        <v>37</v>
      </c>
      <c r="G209" s="3">
        <f>+S209</f>
        <v>26</v>
      </c>
      <c r="H209" s="22">
        <f>+HOUR(V209)</f>
        <v>13</v>
      </c>
      <c r="I209" s="22">
        <f>IFERROR(VLOOKUP(B209,MATRICULAS!A:B,2,0),0)*1</f>
        <v>0</v>
      </c>
      <c r="J209" s="27">
        <v>20260515</v>
      </c>
      <c r="K209" s="27">
        <v>149227203</v>
      </c>
      <c r="L209" s="27" t="s">
        <v>134</v>
      </c>
      <c r="M209" s="27" t="s">
        <v>56</v>
      </c>
      <c r="N209" s="27">
        <v>0</v>
      </c>
      <c r="O209" s="27">
        <v>0</v>
      </c>
      <c r="P209" s="27" t="s">
        <v>57</v>
      </c>
      <c r="Q209" s="27">
        <v>150</v>
      </c>
      <c r="R209" s="27" t="s">
        <v>151</v>
      </c>
      <c r="S209" s="27">
        <v>26</v>
      </c>
      <c r="T209" s="27" t="s">
        <v>58</v>
      </c>
      <c r="U209" s="27" t="s">
        <v>59</v>
      </c>
      <c r="V209" s="30">
        <v>46157.570972222224</v>
      </c>
      <c r="W209" s="30">
        <v>46157.570972222224</v>
      </c>
      <c r="X209" s="30">
        <v>46157.573206018518</v>
      </c>
      <c r="Y209" s="27" t="s">
        <v>117</v>
      </c>
      <c r="Z209" s="27" t="s">
        <v>864</v>
      </c>
      <c r="AA209" s="27" t="s">
        <v>53</v>
      </c>
      <c r="AB209" s="27" t="s">
        <v>60</v>
      </c>
      <c r="AC209" s="27" t="s">
        <v>865</v>
      </c>
      <c r="AD209" s="27" t="s">
        <v>118</v>
      </c>
      <c r="AE209" s="27" t="s">
        <v>61</v>
      </c>
      <c r="AF209" s="27" t="s">
        <v>62</v>
      </c>
      <c r="AG209" s="27" t="s">
        <v>63</v>
      </c>
      <c r="AH209" s="27">
        <v>0</v>
      </c>
      <c r="AI209" s="27">
        <v>0</v>
      </c>
      <c r="AJ209" s="27">
        <v>0</v>
      </c>
      <c r="AK209" s="27">
        <v>0</v>
      </c>
      <c r="AL209" s="27" t="s">
        <v>64</v>
      </c>
      <c r="AM209" s="27">
        <v>3</v>
      </c>
      <c r="AN209" s="27">
        <v>193</v>
      </c>
      <c r="AO209" s="27" t="s">
        <v>65</v>
      </c>
      <c r="AP209" s="27">
        <v>37</v>
      </c>
      <c r="AQ209" s="27">
        <v>198</v>
      </c>
      <c r="AR209" s="27">
        <v>2469530</v>
      </c>
      <c r="AS209" s="27" t="s">
        <v>118</v>
      </c>
      <c r="AT209" s="27" t="s">
        <v>866</v>
      </c>
      <c r="AU209" s="31" t="s">
        <v>118</v>
      </c>
    </row>
    <row r="210" spans="1:47" x14ac:dyDescent="0.25">
      <c r="A210" s="7">
        <f>+CONCATENATE(DAY(V210),"/",MONTH(V210),"/",YEAR(V210),"")*1</f>
        <v>46157</v>
      </c>
      <c r="B210" s="23">
        <f>+Z210*1</f>
        <v>1139391994</v>
      </c>
      <c r="C210" s="21" t="str">
        <f>+AA210</f>
        <v>ENTRANTE</v>
      </c>
      <c r="D210" s="3" t="str">
        <f>VLOOKUP(Q210,Code!E:F,2,0)</f>
        <v>Admisiones</v>
      </c>
      <c r="E210" s="3" t="s">
        <v>55</v>
      </c>
      <c r="F210" s="3">
        <f>+AP210</f>
        <v>37</v>
      </c>
      <c r="G210" s="3">
        <f>+S210</f>
        <v>26</v>
      </c>
      <c r="H210" s="22">
        <f>+HOUR(V210)</f>
        <v>13</v>
      </c>
      <c r="I210" s="22">
        <f>IFERROR(VLOOKUP(B210,MATRICULAS!A:B,2,0),0)*1</f>
        <v>0</v>
      </c>
      <c r="J210" s="26">
        <v>20260515</v>
      </c>
      <c r="K210" s="26">
        <v>149226946</v>
      </c>
      <c r="L210" s="26" t="s">
        <v>134</v>
      </c>
      <c r="M210" s="26" t="s">
        <v>56</v>
      </c>
      <c r="N210" s="26">
        <v>0</v>
      </c>
      <c r="O210" s="26">
        <v>0</v>
      </c>
      <c r="P210" s="26" t="s">
        <v>57</v>
      </c>
      <c r="Q210" s="26">
        <v>150</v>
      </c>
      <c r="R210" s="26" t="s">
        <v>145</v>
      </c>
      <c r="S210" s="26">
        <v>26</v>
      </c>
      <c r="T210" s="26" t="s">
        <v>58</v>
      </c>
      <c r="U210" s="26" t="s">
        <v>59</v>
      </c>
      <c r="V210" s="28">
        <v>46157.56108796296</v>
      </c>
      <c r="W210" s="28">
        <v>46157.56108796296</v>
      </c>
      <c r="X210" s="28">
        <v>46157.561319444445</v>
      </c>
      <c r="Y210" s="26" t="s">
        <v>117</v>
      </c>
      <c r="Z210" s="26" t="s">
        <v>867</v>
      </c>
      <c r="AA210" s="26" t="s">
        <v>53</v>
      </c>
      <c r="AB210" s="26" t="s">
        <v>60</v>
      </c>
      <c r="AC210" s="26" t="s">
        <v>868</v>
      </c>
      <c r="AD210" s="26" t="s">
        <v>118</v>
      </c>
      <c r="AE210" s="26" t="s">
        <v>66</v>
      </c>
      <c r="AF210" s="26" t="s">
        <v>67</v>
      </c>
      <c r="AG210" s="26" t="s">
        <v>67</v>
      </c>
      <c r="AH210" s="26">
        <v>0</v>
      </c>
      <c r="AI210" s="26">
        <v>0</v>
      </c>
      <c r="AJ210" s="26">
        <v>0</v>
      </c>
      <c r="AK210" s="26">
        <v>0</v>
      </c>
      <c r="AL210" s="26" t="s">
        <v>64</v>
      </c>
      <c r="AM210" s="26">
        <v>3</v>
      </c>
      <c r="AN210" s="26">
        <v>21</v>
      </c>
      <c r="AO210" s="26" t="s">
        <v>65</v>
      </c>
      <c r="AP210" s="26">
        <v>37</v>
      </c>
      <c r="AQ210" s="26">
        <v>0</v>
      </c>
      <c r="AR210" s="26">
        <v>0</v>
      </c>
      <c r="AS210" s="26" t="s">
        <v>118</v>
      </c>
      <c r="AT210" s="26" t="s">
        <v>869</v>
      </c>
      <c r="AU210" s="29" t="s">
        <v>118</v>
      </c>
    </row>
    <row r="211" spans="1:47" x14ac:dyDescent="0.25">
      <c r="A211" s="7">
        <f>+CONCATENATE(DAY(V211),"/",MONTH(V211),"/",YEAR(V211),"")*1</f>
        <v>46157</v>
      </c>
      <c r="B211" s="23">
        <f>+Z211*1</f>
        <v>3825531216</v>
      </c>
      <c r="C211" s="21" t="str">
        <f>+AA211</f>
        <v>ENTRANTE</v>
      </c>
      <c r="D211" s="3" t="str">
        <f>VLOOKUP(Q211,Code!E:F,2,0)</f>
        <v>Admisiones</v>
      </c>
      <c r="E211" s="3" t="s">
        <v>55</v>
      </c>
      <c r="F211" s="3">
        <f>+AP211</f>
        <v>37</v>
      </c>
      <c r="G211" s="3">
        <f>+S211</f>
        <v>26</v>
      </c>
      <c r="H211" s="22">
        <f>+HOUR(V211)</f>
        <v>12</v>
      </c>
      <c r="I211" s="22">
        <f>IFERROR(VLOOKUP(B211,MATRICULAS!A:B,2,0),0)*1</f>
        <v>1</v>
      </c>
      <c r="J211" s="27">
        <v>20260515</v>
      </c>
      <c r="K211" s="27">
        <v>149225558</v>
      </c>
      <c r="L211" s="27" t="s">
        <v>134</v>
      </c>
      <c r="M211" s="27" t="s">
        <v>56</v>
      </c>
      <c r="N211" s="27">
        <v>0</v>
      </c>
      <c r="O211" s="27">
        <v>0</v>
      </c>
      <c r="P211" s="27" t="s">
        <v>57</v>
      </c>
      <c r="Q211" s="27">
        <v>150</v>
      </c>
      <c r="R211" s="27" t="s">
        <v>145</v>
      </c>
      <c r="S211" s="27">
        <v>26</v>
      </c>
      <c r="T211" s="27" t="s">
        <v>58</v>
      </c>
      <c r="U211" s="27" t="s">
        <v>59</v>
      </c>
      <c r="V211" s="30">
        <v>46157.525717592594</v>
      </c>
      <c r="W211" s="30">
        <v>46157.525717592594</v>
      </c>
      <c r="X211" s="30">
        <v>46157.542685185188</v>
      </c>
      <c r="Y211" s="27" t="s">
        <v>117</v>
      </c>
      <c r="Z211" s="27" t="s">
        <v>870</v>
      </c>
      <c r="AA211" s="27" t="s">
        <v>53</v>
      </c>
      <c r="AB211" s="27" t="s">
        <v>60</v>
      </c>
      <c r="AC211" s="27" t="s">
        <v>871</v>
      </c>
      <c r="AD211" s="27" t="s">
        <v>118</v>
      </c>
      <c r="AE211" s="27" t="s">
        <v>70</v>
      </c>
      <c r="AF211" s="27" t="s">
        <v>171</v>
      </c>
      <c r="AG211" s="27" t="s">
        <v>872</v>
      </c>
      <c r="AH211" s="27">
        <v>0</v>
      </c>
      <c r="AI211" s="27">
        <v>0</v>
      </c>
      <c r="AJ211" s="27">
        <v>0</v>
      </c>
      <c r="AK211" s="27">
        <v>0</v>
      </c>
      <c r="AL211" s="27" t="s">
        <v>64</v>
      </c>
      <c r="AM211" s="27">
        <v>3</v>
      </c>
      <c r="AN211" s="27">
        <v>1466</v>
      </c>
      <c r="AO211" s="27" t="s">
        <v>65</v>
      </c>
      <c r="AP211" s="27">
        <v>37</v>
      </c>
      <c r="AQ211" s="27">
        <v>201</v>
      </c>
      <c r="AR211" s="27">
        <v>2494840</v>
      </c>
      <c r="AS211" s="27" t="s">
        <v>118</v>
      </c>
      <c r="AT211" s="27" t="s">
        <v>873</v>
      </c>
      <c r="AU211" s="31" t="s">
        <v>118</v>
      </c>
    </row>
    <row r="212" spans="1:47" x14ac:dyDescent="0.25">
      <c r="A212" s="7">
        <f>+CONCATENATE(DAY(V212),"/",MONTH(V212),"/",YEAR(V212),"")*1</f>
        <v>46157</v>
      </c>
      <c r="B212" s="23">
        <f>+Z212*1</f>
        <v>3836017730</v>
      </c>
      <c r="C212" s="21" t="str">
        <f>+AA212</f>
        <v>ENTRANTE</v>
      </c>
      <c r="D212" s="3" t="str">
        <f>VLOOKUP(Q212,Code!E:F,2,0)</f>
        <v>Admisiones</v>
      </c>
      <c r="E212" s="3" t="s">
        <v>55</v>
      </c>
      <c r="F212" s="3">
        <f>+AP212</f>
        <v>37</v>
      </c>
      <c r="G212" s="3">
        <f>+S212</f>
        <v>26</v>
      </c>
      <c r="H212" s="22">
        <f>+HOUR(V212)</f>
        <v>12</v>
      </c>
      <c r="I212" s="22">
        <f>IFERROR(VLOOKUP(B212,MATRICULAS!A:B,2,0),0)*1</f>
        <v>0</v>
      </c>
      <c r="J212" s="26">
        <v>20260515</v>
      </c>
      <c r="K212" s="26">
        <v>149225225</v>
      </c>
      <c r="L212" s="26" t="s">
        <v>134</v>
      </c>
      <c r="M212" s="26" t="s">
        <v>56</v>
      </c>
      <c r="N212" s="26">
        <v>0</v>
      </c>
      <c r="O212" s="26">
        <v>0</v>
      </c>
      <c r="P212" s="26" t="s">
        <v>57</v>
      </c>
      <c r="Q212" s="26">
        <v>150</v>
      </c>
      <c r="R212" s="26" t="s">
        <v>153</v>
      </c>
      <c r="S212" s="26">
        <v>26</v>
      </c>
      <c r="T212" s="26" t="s">
        <v>58</v>
      </c>
      <c r="U212" s="26" t="s">
        <v>59</v>
      </c>
      <c r="V212" s="28">
        <v>46157.521099537036</v>
      </c>
      <c r="W212" s="28">
        <v>46157.521099537036</v>
      </c>
      <c r="X212" s="28">
        <v>46157.522476851853</v>
      </c>
      <c r="Y212" s="26" t="s">
        <v>117</v>
      </c>
      <c r="Z212" s="26" t="s">
        <v>874</v>
      </c>
      <c r="AA212" s="26" t="s">
        <v>53</v>
      </c>
      <c r="AB212" s="26" t="s">
        <v>60</v>
      </c>
      <c r="AC212" s="26" t="s">
        <v>875</v>
      </c>
      <c r="AD212" s="26" t="s">
        <v>118</v>
      </c>
      <c r="AE212" s="26" t="s">
        <v>70</v>
      </c>
      <c r="AF212" s="26" t="s">
        <v>156</v>
      </c>
      <c r="AG212" s="26" t="s">
        <v>156</v>
      </c>
      <c r="AH212" s="26">
        <v>0</v>
      </c>
      <c r="AI212" s="26">
        <v>0</v>
      </c>
      <c r="AJ212" s="26">
        <v>0</v>
      </c>
      <c r="AK212" s="26">
        <v>0</v>
      </c>
      <c r="AL212" s="26" t="s">
        <v>64</v>
      </c>
      <c r="AM212" s="26">
        <v>3</v>
      </c>
      <c r="AN212" s="26">
        <v>119</v>
      </c>
      <c r="AO212" s="26" t="s">
        <v>65</v>
      </c>
      <c r="AP212" s="26">
        <v>37</v>
      </c>
      <c r="AQ212" s="26">
        <v>1</v>
      </c>
      <c r="AR212" s="26">
        <v>2498262</v>
      </c>
      <c r="AS212" s="26" t="s">
        <v>118</v>
      </c>
      <c r="AT212" s="26" t="s">
        <v>876</v>
      </c>
      <c r="AU212" s="29" t="s">
        <v>118</v>
      </c>
    </row>
    <row r="213" spans="1:47" x14ac:dyDescent="0.25">
      <c r="A213" s="7">
        <f>+CONCATENATE(DAY(V213),"/",MONTH(V213),"/",YEAR(V213),"")*1</f>
        <v>46157</v>
      </c>
      <c r="B213" s="23">
        <f>+Z213*1</f>
        <v>1161604288</v>
      </c>
      <c r="C213" s="21" t="str">
        <f>+AA213</f>
        <v>ENTRANTE</v>
      </c>
      <c r="D213" s="3" t="str">
        <f>VLOOKUP(Q213,Code!E:F,2,0)</f>
        <v>Admisiones</v>
      </c>
      <c r="E213" s="3" t="s">
        <v>55</v>
      </c>
      <c r="F213" s="3">
        <f>+AP213</f>
        <v>37</v>
      </c>
      <c r="G213" s="3">
        <f>+S213</f>
        <v>26</v>
      </c>
      <c r="H213" s="22">
        <f>+HOUR(V213)</f>
        <v>12</v>
      </c>
      <c r="I213" s="22">
        <f>IFERROR(VLOOKUP(B213,MATRICULAS!A:B,2,0),0)*1</f>
        <v>0</v>
      </c>
      <c r="J213" s="27">
        <v>20260515</v>
      </c>
      <c r="K213" s="27">
        <v>149224900</v>
      </c>
      <c r="L213" s="27" t="s">
        <v>134</v>
      </c>
      <c r="M213" s="27" t="s">
        <v>56</v>
      </c>
      <c r="N213" s="27">
        <v>0</v>
      </c>
      <c r="O213" s="27">
        <v>0</v>
      </c>
      <c r="P213" s="27" t="s">
        <v>57</v>
      </c>
      <c r="Q213" s="27">
        <v>150</v>
      </c>
      <c r="R213" s="27" t="s">
        <v>159</v>
      </c>
      <c r="S213" s="27">
        <v>26</v>
      </c>
      <c r="T213" s="27" t="s">
        <v>58</v>
      </c>
      <c r="U213" s="27" t="s">
        <v>59</v>
      </c>
      <c r="V213" s="30">
        <v>46157.513761574075</v>
      </c>
      <c r="W213" s="30">
        <v>46157.513761574075</v>
      </c>
      <c r="X213" s="30">
        <v>46157.523530092592</v>
      </c>
      <c r="Y213" s="27" t="s">
        <v>117</v>
      </c>
      <c r="Z213" s="27" t="s">
        <v>877</v>
      </c>
      <c r="AA213" s="27" t="s">
        <v>53</v>
      </c>
      <c r="AB213" s="27" t="s">
        <v>60</v>
      </c>
      <c r="AC213" s="27" t="s">
        <v>878</v>
      </c>
      <c r="AD213" s="27" t="s">
        <v>118</v>
      </c>
      <c r="AE213" s="27" t="s">
        <v>61</v>
      </c>
      <c r="AF213" s="27" t="s">
        <v>62</v>
      </c>
      <c r="AG213" s="27" t="s">
        <v>63</v>
      </c>
      <c r="AH213" s="27">
        <v>0</v>
      </c>
      <c r="AI213" s="27">
        <v>0</v>
      </c>
      <c r="AJ213" s="27">
        <v>0</v>
      </c>
      <c r="AK213" s="27">
        <v>0</v>
      </c>
      <c r="AL213" s="27" t="s">
        <v>64</v>
      </c>
      <c r="AM213" s="27">
        <v>3</v>
      </c>
      <c r="AN213" s="27">
        <v>844</v>
      </c>
      <c r="AO213" s="27" t="s">
        <v>65</v>
      </c>
      <c r="AP213" s="27">
        <v>37</v>
      </c>
      <c r="AQ213" s="27">
        <v>0</v>
      </c>
      <c r="AR213" s="27">
        <v>0</v>
      </c>
      <c r="AS213" s="27" t="s">
        <v>118</v>
      </c>
      <c r="AT213" s="27" t="s">
        <v>879</v>
      </c>
      <c r="AU213" s="31" t="s">
        <v>118</v>
      </c>
    </row>
    <row r="214" spans="1:47" x14ac:dyDescent="0.25">
      <c r="A214" s="7">
        <f>+CONCATENATE(DAY(V214),"/",MONTH(V214),"/",YEAR(V214),"")*1</f>
        <v>46157</v>
      </c>
      <c r="B214" s="23">
        <f>+Z214*1</f>
        <v>1148278600</v>
      </c>
      <c r="C214" s="21" t="str">
        <f>+AA214</f>
        <v>ENTRANTE</v>
      </c>
      <c r="D214" s="3" t="str">
        <f>VLOOKUP(Q214,Code!E:F,2,0)</f>
        <v>Admisiones</v>
      </c>
      <c r="E214" s="3" t="s">
        <v>55</v>
      </c>
      <c r="F214" s="3">
        <f>+AP214</f>
        <v>37</v>
      </c>
      <c r="G214" s="3">
        <f>+S214</f>
        <v>26</v>
      </c>
      <c r="H214" s="22">
        <f>+HOUR(V214)</f>
        <v>11</v>
      </c>
      <c r="I214" s="22">
        <f>IFERROR(VLOOKUP(B214,MATRICULAS!A:B,2,0),0)*1</f>
        <v>0</v>
      </c>
      <c r="J214" s="26">
        <v>20260515</v>
      </c>
      <c r="K214" s="26">
        <v>149223651</v>
      </c>
      <c r="L214" s="26" t="s">
        <v>134</v>
      </c>
      <c r="M214" s="26" t="s">
        <v>56</v>
      </c>
      <c r="N214" s="26">
        <v>0</v>
      </c>
      <c r="O214" s="26">
        <v>0</v>
      </c>
      <c r="P214" s="26" t="s">
        <v>57</v>
      </c>
      <c r="Q214" s="26">
        <v>150</v>
      </c>
      <c r="R214" s="26" t="s">
        <v>145</v>
      </c>
      <c r="S214" s="26">
        <v>26</v>
      </c>
      <c r="T214" s="26" t="s">
        <v>58</v>
      </c>
      <c r="U214" s="26" t="s">
        <v>59</v>
      </c>
      <c r="V214" s="28">
        <v>46157.480057870373</v>
      </c>
      <c r="W214" s="28">
        <v>46157.480057870373</v>
      </c>
      <c r="X214" s="28">
        <v>46157.487129629626</v>
      </c>
      <c r="Y214" s="26" t="s">
        <v>117</v>
      </c>
      <c r="Z214" s="26" t="s">
        <v>880</v>
      </c>
      <c r="AA214" s="26" t="s">
        <v>53</v>
      </c>
      <c r="AB214" s="26" t="s">
        <v>60</v>
      </c>
      <c r="AC214" s="26" t="s">
        <v>881</v>
      </c>
      <c r="AD214" s="26" t="s">
        <v>118</v>
      </c>
      <c r="AE214" s="26" t="s">
        <v>66</v>
      </c>
      <c r="AF214" s="26" t="s">
        <v>67</v>
      </c>
      <c r="AG214" s="26" t="s">
        <v>67</v>
      </c>
      <c r="AH214" s="26">
        <v>0</v>
      </c>
      <c r="AI214" s="26">
        <v>0</v>
      </c>
      <c r="AJ214" s="26">
        <v>0</v>
      </c>
      <c r="AK214" s="26">
        <v>0</v>
      </c>
      <c r="AL214" s="26" t="s">
        <v>64</v>
      </c>
      <c r="AM214" s="26">
        <v>3</v>
      </c>
      <c r="AN214" s="26">
        <v>611</v>
      </c>
      <c r="AO214" s="26" t="s">
        <v>65</v>
      </c>
      <c r="AP214" s="26">
        <v>37</v>
      </c>
      <c r="AQ214" s="26">
        <v>1</v>
      </c>
      <c r="AR214" s="26">
        <v>2498205</v>
      </c>
      <c r="AS214" s="26" t="s">
        <v>118</v>
      </c>
      <c r="AT214" s="26" t="s">
        <v>882</v>
      </c>
      <c r="AU214" s="29" t="s">
        <v>118</v>
      </c>
    </row>
    <row r="215" spans="1:47" x14ac:dyDescent="0.25">
      <c r="A215" s="7">
        <f>+CONCATENATE(DAY(V215),"/",MONTH(V215),"/",YEAR(V215),"")*1</f>
        <v>46157</v>
      </c>
      <c r="B215" s="23">
        <f>+Z215*1</f>
        <v>1123864913</v>
      </c>
      <c r="C215" s="21" t="str">
        <f>+AA215</f>
        <v>ENTRANTE</v>
      </c>
      <c r="D215" s="3" t="str">
        <f>VLOOKUP(Q215,Code!E:F,2,0)</f>
        <v>Admisiones</v>
      </c>
      <c r="E215" s="3" t="s">
        <v>55</v>
      </c>
      <c r="F215" s="3">
        <f>+AP215</f>
        <v>37</v>
      </c>
      <c r="G215" s="3">
        <f>+S215</f>
        <v>26</v>
      </c>
      <c r="H215" s="22">
        <f>+HOUR(V215)</f>
        <v>11</v>
      </c>
      <c r="I215" s="22">
        <f>IFERROR(VLOOKUP(B215,MATRICULAS!A:B,2,0),0)*1</f>
        <v>0</v>
      </c>
      <c r="J215" s="27">
        <v>20260515</v>
      </c>
      <c r="K215" s="27">
        <v>149223597</v>
      </c>
      <c r="L215" s="27" t="s">
        <v>134</v>
      </c>
      <c r="M215" s="27" t="s">
        <v>56</v>
      </c>
      <c r="N215" s="27">
        <v>0</v>
      </c>
      <c r="O215" s="27">
        <v>0</v>
      </c>
      <c r="P215" s="27" t="s">
        <v>57</v>
      </c>
      <c r="Q215" s="27">
        <v>150</v>
      </c>
      <c r="R215" s="27" t="s">
        <v>127</v>
      </c>
      <c r="S215" s="27">
        <v>26</v>
      </c>
      <c r="T215" s="27" t="s">
        <v>58</v>
      </c>
      <c r="U215" s="27" t="s">
        <v>59</v>
      </c>
      <c r="V215" s="30">
        <v>46157.47859953704</v>
      </c>
      <c r="W215" s="30">
        <v>46157.47859953704</v>
      </c>
      <c r="X215" s="30">
        <v>46157.480138888888</v>
      </c>
      <c r="Y215" s="27" t="s">
        <v>117</v>
      </c>
      <c r="Z215" s="27" t="s">
        <v>883</v>
      </c>
      <c r="AA215" s="27" t="s">
        <v>53</v>
      </c>
      <c r="AB215" s="27" t="s">
        <v>60</v>
      </c>
      <c r="AC215" s="27" t="s">
        <v>884</v>
      </c>
      <c r="AD215" s="27" t="s">
        <v>118</v>
      </c>
      <c r="AE215" s="27" t="s">
        <v>66</v>
      </c>
      <c r="AF215" s="27" t="s">
        <v>67</v>
      </c>
      <c r="AG215" s="27" t="s">
        <v>67</v>
      </c>
      <c r="AH215" s="27">
        <v>0</v>
      </c>
      <c r="AI215" s="27">
        <v>0</v>
      </c>
      <c r="AJ215" s="27">
        <v>0</v>
      </c>
      <c r="AK215" s="27">
        <v>0</v>
      </c>
      <c r="AL215" s="27" t="s">
        <v>64</v>
      </c>
      <c r="AM215" s="27">
        <v>3</v>
      </c>
      <c r="AN215" s="27">
        <v>134</v>
      </c>
      <c r="AO215" s="27" t="s">
        <v>65</v>
      </c>
      <c r="AP215" s="27">
        <v>37</v>
      </c>
      <c r="AQ215" s="27">
        <v>0</v>
      </c>
      <c r="AR215" s="27">
        <v>0</v>
      </c>
      <c r="AS215" s="27" t="s">
        <v>118</v>
      </c>
      <c r="AT215" s="27" t="s">
        <v>885</v>
      </c>
      <c r="AU215" s="31" t="s">
        <v>118</v>
      </c>
    </row>
    <row r="216" spans="1:47" x14ac:dyDescent="0.25">
      <c r="A216" s="7">
        <f>+CONCATENATE(DAY(V216),"/",MONTH(V216),"/",YEAR(V216),"")*1</f>
        <v>46157</v>
      </c>
      <c r="B216" s="23">
        <f>+Z216*1</f>
        <v>1125493701</v>
      </c>
      <c r="C216" s="21" t="str">
        <f>+AA216</f>
        <v>ENTRANTE</v>
      </c>
      <c r="D216" s="3" t="str">
        <f>VLOOKUP(Q216,Code!E:F,2,0)</f>
        <v>Admisiones</v>
      </c>
      <c r="E216" s="3" t="s">
        <v>55</v>
      </c>
      <c r="F216" s="3">
        <f>+AP216</f>
        <v>37</v>
      </c>
      <c r="G216" s="3">
        <f>+S216</f>
        <v>26</v>
      </c>
      <c r="H216" s="22">
        <f>+HOUR(V216)</f>
        <v>11</v>
      </c>
      <c r="I216" s="22">
        <f>IFERROR(VLOOKUP(B216,MATRICULAS!A:B,2,0),0)*1</f>
        <v>0</v>
      </c>
      <c r="J216" s="26">
        <v>20260515</v>
      </c>
      <c r="K216" s="26">
        <v>149223236</v>
      </c>
      <c r="L216" s="26" t="s">
        <v>134</v>
      </c>
      <c r="M216" s="26" t="s">
        <v>56</v>
      </c>
      <c r="N216" s="26">
        <v>0</v>
      </c>
      <c r="O216" s="26">
        <v>0</v>
      </c>
      <c r="P216" s="26" t="s">
        <v>57</v>
      </c>
      <c r="Q216" s="26">
        <v>150</v>
      </c>
      <c r="R216" s="26" t="s">
        <v>153</v>
      </c>
      <c r="S216" s="26">
        <v>26</v>
      </c>
      <c r="T216" s="26" t="s">
        <v>58</v>
      </c>
      <c r="U216" s="26" t="s">
        <v>59</v>
      </c>
      <c r="V216" s="28">
        <v>46157.470659722225</v>
      </c>
      <c r="W216" s="28">
        <v>46157.470659722225</v>
      </c>
      <c r="X216" s="28">
        <v>46157.472280092596</v>
      </c>
      <c r="Y216" s="26" t="s">
        <v>117</v>
      </c>
      <c r="Z216" s="26" t="s">
        <v>886</v>
      </c>
      <c r="AA216" s="26" t="s">
        <v>53</v>
      </c>
      <c r="AB216" s="26" t="s">
        <v>60</v>
      </c>
      <c r="AC216" s="26" t="s">
        <v>887</v>
      </c>
      <c r="AD216" s="26" t="s">
        <v>118</v>
      </c>
      <c r="AE216" s="26" t="s">
        <v>66</v>
      </c>
      <c r="AF216" s="26" t="s">
        <v>67</v>
      </c>
      <c r="AG216" s="26" t="s">
        <v>67</v>
      </c>
      <c r="AH216" s="26">
        <v>0</v>
      </c>
      <c r="AI216" s="26">
        <v>0</v>
      </c>
      <c r="AJ216" s="26">
        <v>0</v>
      </c>
      <c r="AK216" s="26">
        <v>0</v>
      </c>
      <c r="AL216" s="26" t="s">
        <v>64</v>
      </c>
      <c r="AM216" s="26">
        <v>3</v>
      </c>
      <c r="AN216" s="26">
        <v>141</v>
      </c>
      <c r="AO216" s="26" t="s">
        <v>65</v>
      </c>
      <c r="AP216" s="26">
        <v>37</v>
      </c>
      <c r="AQ216" s="26">
        <v>97</v>
      </c>
      <c r="AR216" s="26">
        <v>711092</v>
      </c>
      <c r="AS216" s="26" t="s">
        <v>118</v>
      </c>
      <c r="AT216" s="26" t="s">
        <v>888</v>
      </c>
      <c r="AU216" s="29" t="s">
        <v>118</v>
      </c>
    </row>
    <row r="217" spans="1:47" x14ac:dyDescent="0.25">
      <c r="A217" s="7">
        <f>+CONCATENATE(DAY(V217),"/",MONTH(V217),"/",YEAR(V217),"")*1</f>
        <v>46157</v>
      </c>
      <c r="B217" s="23">
        <f>+Z217*1</f>
        <v>1144793093</v>
      </c>
      <c r="C217" s="21" t="str">
        <f>+AA217</f>
        <v>ENTRANTE</v>
      </c>
      <c r="D217" s="3" t="str">
        <f>VLOOKUP(Q217,Code!E:F,2,0)</f>
        <v>Admisiones</v>
      </c>
      <c r="E217" s="3" t="s">
        <v>55</v>
      </c>
      <c r="F217" s="3">
        <f>+AP217</f>
        <v>37</v>
      </c>
      <c r="G217" s="3">
        <f>+S217</f>
        <v>5</v>
      </c>
      <c r="H217" s="22">
        <f>+HOUR(V217)</f>
        <v>10</v>
      </c>
      <c r="I217" s="22">
        <f>IFERROR(VLOOKUP(B217,MATRICULAS!A:B,2,0),0)*1</f>
        <v>0</v>
      </c>
      <c r="J217" s="27">
        <v>20260515</v>
      </c>
      <c r="K217" s="27">
        <v>149222680</v>
      </c>
      <c r="L217" s="27" t="s">
        <v>134</v>
      </c>
      <c r="M217" s="27" t="s">
        <v>56</v>
      </c>
      <c r="N217" s="27">
        <v>0</v>
      </c>
      <c r="O217" s="27">
        <v>0</v>
      </c>
      <c r="P217" s="27" t="s">
        <v>57</v>
      </c>
      <c r="Q217" s="27">
        <v>150</v>
      </c>
      <c r="R217" s="27" t="s">
        <v>127</v>
      </c>
      <c r="S217" s="27">
        <v>5</v>
      </c>
      <c r="T217" s="27" t="s">
        <v>58</v>
      </c>
      <c r="U217" s="27" t="s">
        <v>59</v>
      </c>
      <c r="V217" s="30">
        <v>46157.455069444448</v>
      </c>
      <c r="W217" s="30">
        <v>46157.455069444448</v>
      </c>
      <c r="X217" s="30">
        <v>46157.47792824074</v>
      </c>
      <c r="Y217" s="27" t="s">
        <v>117</v>
      </c>
      <c r="Z217" s="27" t="s">
        <v>889</v>
      </c>
      <c r="AA217" s="27" t="s">
        <v>53</v>
      </c>
      <c r="AB217" s="27" t="s">
        <v>60</v>
      </c>
      <c r="AC217" s="27" t="s">
        <v>890</v>
      </c>
      <c r="AD217" s="27" t="s">
        <v>118</v>
      </c>
      <c r="AE217" s="27" t="s">
        <v>61</v>
      </c>
      <c r="AF217" s="27" t="s">
        <v>62</v>
      </c>
      <c r="AG217" s="27" t="s">
        <v>63</v>
      </c>
      <c r="AH217" s="27">
        <v>0</v>
      </c>
      <c r="AI217" s="27">
        <v>0</v>
      </c>
      <c r="AJ217" s="27">
        <v>0</v>
      </c>
      <c r="AK217" s="27">
        <v>0</v>
      </c>
      <c r="AL217" s="27" t="s">
        <v>64</v>
      </c>
      <c r="AM217" s="27">
        <v>3</v>
      </c>
      <c r="AN217" s="27">
        <v>1976</v>
      </c>
      <c r="AO217" s="27" t="s">
        <v>65</v>
      </c>
      <c r="AP217" s="27">
        <v>37</v>
      </c>
      <c r="AQ217" s="27">
        <v>1</v>
      </c>
      <c r="AR217" s="27">
        <v>2498164</v>
      </c>
      <c r="AS217" s="27" t="s">
        <v>891</v>
      </c>
      <c r="AT217" s="27" t="s">
        <v>892</v>
      </c>
      <c r="AU217" s="31" t="s">
        <v>118</v>
      </c>
    </row>
    <row r="218" spans="1:47" x14ac:dyDescent="0.25">
      <c r="A218" s="7">
        <f>+CONCATENATE(DAY(V218),"/",MONTH(V218),"/",YEAR(V218),"")*1</f>
        <v>46157</v>
      </c>
      <c r="B218" s="23">
        <f>+Z218*1</f>
        <v>2494373086</v>
      </c>
      <c r="C218" s="21" t="str">
        <f>+AA218</f>
        <v>ENTRANTE</v>
      </c>
      <c r="D218" s="3" t="str">
        <f>VLOOKUP(Q218,Code!E:F,2,0)</f>
        <v>Admisiones</v>
      </c>
      <c r="E218" s="3" t="s">
        <v>55</v>
      </c>
      <c r="F218" s="3">
        <f>+AP218</f>
        <v>37</v>
      </c>
      <c r="G218" s="3">
        <f>+S218</f>
        <v>26</v>
      </c>
      <c r="H218" s="22">
        <f>+HOUR(V218)</f>
        <v>10</v>
      </c>
      <c r="I218" s="22">
        <f>IFERROR(VLOOKUP(B218,MATRICULAS!A:B,2,0),0)*1</f>
        <v>0</v>
      </c>
      <c r="J218" s="26">
        <v>20260515</v>
      </c>
      <c r="K218" s="26">
        <v>149222548</v>
      </c>
      <c r="L218" s="26" t="s">
        <v>134</v>
      </c>
      <c r="M218" s="26" t="s">
        <v>56</v>
      </c>
      <c r="N218" s="26">
        <v>0</v>
      </c>
      <c r="O218" s="26">
        <v>0</v>
      </c>
      <c r="P218" s="26" t="s">
        <v>57</v>
      </c>
      <c r="Q218" s="26">
        <v>150</v>
      </c>
      <c r="R218" s="26" t="s">
        <v>127</v>
      </c>
      <c r="S218" s="26">
        <v>26</v>
      </c>
      <c r="T218" s="26" t="s">
        <v>58</v>
      </c>
      <c r="U218" s="26" t="s">
        <v>59</v>
      </c>
      <c r="V218" s="28">
        <v>46157.45207175926</v>
      </c>
      <c r="W218" s="28">
        <v>46157.45207175926</v>
      </c>
      <c r="X218" s="28">
        <v>46157.452719907407</v>
      </c>
      <c r="Y218" s="26" t="s">
        <v>117</v>
      </c>
      <c r="Z218" s="26" t="s">
        <v>893</v>
      </c>
      <c r="AA218" s="26" t="s">
        <v>53</v>
      </c>
      <c r="AB218" s="26" t="s">
        <v>60</v>
      </c>
      <c r="AC218" s="26" t="s">
        <v>894</v>
      </c>
      <c r="AD218" s="26" t="s">
        <v>118</v>
      </c>
      <c r="AE218" s="26" t="s">
        <v>70</v>
      </c>
      <c r="AF218" s="26" t="s">
        <v>126</v>
      </c>
      <c r="AG218" s="26" t="s">
        <v>177</v>
      </c>
      <c r="AH218" s="26">
        <v>0</v>
      </c>
      <c r="AI218" s="26">
        <v>0</v>
      </c>
      <c r="AJ218" s="26">
        <v>0</v>
      </c>
      <c r="AK218" s="26">
        <v>0</v>
      </c>
      <c r="AL218" s="26" t="s">
        <v>64</v>
      </c>
      <c r="AM218" s="26">
        <v>3</v>
      </c>
      <c r="AN218" s="26">
        <v>57</v>
      </c>
      <c r="AO218" s="26" t="s">
        <v>65</v>
      </c>
      <c r="AP218" s="26">
        <v>37</v>
      </c>
      <c r="AQ218" s="26">
        <v>0</v>
      </c>
      <c r="AR218" s="26">
        <v>0</v>
      </c>
      <c r="AS218" s="26" t="s">
        <v>118</v>
      </c>
      <c r="AT218" s="26" t="s">
        <v>895</v>
      </c>
      <c r="AU218" s="29" t="s">
        <v>118</v>
      </c>
    </row>
    <row r="219" spans="1:47" x14ac:dyDescent="0.25">
      <c r="A219" s="7">
        <f>+CONCATENATE(DAY(V219),"/",MONTH(V219),"/",YEAR(V219),"")*1</f>
        <v>46160</v>
      </c>
      <c r="B219" s="23">
        <f>+Z219*1</f>
        <v>1144128625</v>
      </c>
      <c r="C219" s="21" t="str">
        <f>+AA219</f>
        <v>ENTRANTE</v>
      </c>
      <c r="D219" s="3" t="str">
        <f>VLOOKUP(Q219,Code!E:F,2,0)</f>
        <v>Admisiones</v>
      </c>
      <c r="E219" s="3" t="s">
        <v>55</v>
      </c>
      <c r="F219" s="3">
        <f>+AP219</f>
        <v>37</v>
      </c>
      <c r="G219" s="3">
        <f>+S219</f>
        <v>27</v>
      </c>
      <c r="H219" s="22">
        <f>+HOUR(V219)</f>
        <v>20</v>
      </c>
      <c r="I219" s="22">
        <f>IFERROR(VLOOKUP(B219,MATRICULAS!A:B,2,0),0)*1</f>
        <v>0</v>
      </c>
      <c r="J219" s="27">
        <v>20260518</v>
      </c>
      <c r="K219" s="27">
        <v>149266563</v>
      </c>
      <c r="L219" s="27" t="s">
        <v>134</v>
      </c>
      <c r="M219" s="27" t="s">
        <v>56</v>
      </c>
      <c r="N219" s="27">
        <v>0</v>
      </c>
      <c r="O219" s="27">
        <v>0</v>
      </c>
      <c r="P219" s="27" t="s">
        <v>57</v>
      </c>
      <c r="Q219" s="27">
        <v>150</v>
      </c>
      <c r="R219" s="27" t="s">
        <v>174</v>
      </c>
      <c r="S219" s="27">
        <v>27</v>
      </c>
      <c r="T219" s="27" t="s">
        <v>58</v>
      </c>
      <c r="U219" s="27" t="s">
        <v>59</v>
      </c>
      <c r="V219" s="30">
        <v>46160.858541666668</v>
      </c>
      <c r="W219" s="30">
        <v>46160.858541666668</v>
      </c>
      <c r="X219" s="30">
        <v>46160.859930555554</v>
      </c>
      <c r="Y219" s="27" t="s">
        <v>117</v>
      </c>
      <c r="Z219" s="27" t="s">
        <v>739</v>
      </c>
      <c r="AA219" s="27" t="s">
        <v>53</v>
      </c>
      <c r="AB219" s="27" t="s">
        <v>60</v>
      </c>
      <c r="AC219" s="27" t="s">
        <v>740</v>
      </c>
      <c r="AD219" s="27" t="s">
        <v>118</v>
      </c>
      <c r="AE219" s="27" t="s">
        <v>61</v>
      </c>
      <c r="AF219" s="27" t="s">
        <v>62</v>
      </c>
      <c r="AG219" s="27" t="s">
        <v>63</v>
      </c>
      <c r="AH219" s="27">
        <v>0</v>
      </c>
      <c r="AI219" s="27">
        <v>0</v>
      </c>
      <c r="AJ219" s="27">
        <v>0</v>
      </c>
      <c r="AK219" s="27">
        <v>0</v>
      </c>
      <c r="AL219" s="27" t="s">
        <v>64</v>
      </c>
      <c r="AM219" s="27">
        <v>3</v>
      </c>
      <c r="AN219" s="27">
        <v>120</v>
      </c>
      <c r="AO219" s="27" t="s">
        <v>65</v>
      </c>
      <c r="AP219" s="27">
        <v>37</v>
      </c>
      <c r="AQ219" s="27">
        <v>198</v>
      </c>
      <c r="AR219" s="27">
        <v>2480533</v>
      </c>
      <c r="AS219" s="27" t="s">
        <v>118</v>
      </c>
      <c r="AT219" s="27" t="s">
        <v>741</v>
      </c>
      <c r="AU219" s="31" t="s">
        <v>118</v>
      </c>
    </row>
    <row r="220" spans="1:47" x14ac:dyDescent="0.25">
      <c r="A220" s="7">
        <f>+CONCATENATE(DAY(V220),"/",MONTH(V220),"/",YEAR(V220),"")*1</f>
        <v>46160</v>
      </c>
      <c r="B220" s="23">
        <f>+Z220*1</f>
        <v>1127472129</v>
      </c>
      <c r="C220" s="21" t="str">
        <f>+AA220</f>
        <v>ENTRANTE</v>
      </c>
      <c r="D220" s="3" t="str">
        <f>VLOOKUP(Q220,Code!E:F,2,0)</f>
        <v>Admisiones</v>
      </c>
      <c r="E220" s="3" t="s">
        <v>55</v>
      </c>
      <c r="F220" s="3">
        <f>+AP220</f>
        <v>37</v>
      </c>
      <c r="G220" s="3">
        <f>+S220</f>
        <v>27</v>
      </c>
      <c r="H220" s="22">
        <f>+HOUR(V220)</f>
        <v>19</v>
      </c>
      <c r="I220" s="22">
        <f>IFERROR(VLOOKUP(B220,MATRICULAS!A:B,2,0),0)*1</f>
        <v>0</v>
      </c>
      <c r="J220" s="26">
        <v>20260518</v>
      </c>
      <c r="K220" s="26">
        <v>149263843</v>
      </c>
      <c r="L220" s="26" t="s">
        <v>134</v>
      </c>
      <c r="M220" s="26" t="s">
        <v>56</v>
      </c>
      <c r="N220" s="26">
        <v>0</v>
      </c>
      <c r="O220" s="26">
        <v>0</v>
      </c>
      <c r="P220" s="26" t="s">
        <v>57</v>
      </c>
      <c r="Q220" s="26">
        <v>150</v>
      </c>
      <c r="R220" s="26" t="s">
        <v>162</v>
      </c>
      <c r="S220" s="26">
        <v>27</v>
      </c>
      <c r="T220" s="26" t="s">
        <v>58</v>
      </c>
      <c r="U220" s="26" t="s">
        <v>59</v>
      </c>
      <c r="V220" s="28">
        <v>46160.820243055554</v>
      </c>
      <c r="W220" s="28">
        <v>46160.820243055554</v>
      </c>
      <c r="X220" s="28">
        <v>46160.825023148151</v>
      </c>
      <c r="Y220" s="26" t="s">
        <v>117</v>
      </c>
      <c r="Z220" s="26" t="s">
        <v>201</v>
      </c>
      <c r="AA220" s="26" t="s">
        <v>53</v>
      </c>
      <c r="AB220" s="26" t="s">
        <v>60</v>
      </c>
      <c r="AC220" s="26" t="s">
        <v>742</v>
      </c>
      <c r="AD220" s="26" t="s">
        <v>118</v>
      </c>
      <c r="AE220" s="26" t="s">
        <v>66</v>
      </c>
      <c r="AF220" s="26" t="s">
        <v>67</v>
      </c>
      <c r="AG220" s="26" t="s">
        <v>67</v>
      </c>
      <c r="AH220" s="26">
        <v>0</v>
      </c>
      <c r="AI220" s="26">
        <v>0</v>
      </c>
      <c r="AJ220" s="26">
        <v>0</v>
      </c>
      <c r="AK220" s="26">
        <v>0</v>
      </c>
      <c r="AL220" s="26" t="s">
        <v>64</v>
      </c>
      <c r="AM220" s="26">
        <v>3</v>
      </c>
      <c r="AN220" s="26">
        <v>413</v>
      </c>
      <c r="AO220" s="26" t="s">
        <v>65</v>
      </c>
      <c r="AP220" s="26">
        <v>37</v>
      </c>
      <c r="AQ220" s="26">
        <v>175</v>
      </c>
      <c r="AR220" s="26">
        <v>2451950</v>
      </c>
      <c r="AS220" s="26" t="s">
        <v>118</v>
      </c>
      <c r="AT220" s="26" t="s">
        <v>743</v>
      </c>
      <c r="AU220" s="29" t="s">
        <v>118</v>
      </c>
    </row>
    <row r="221" spans="1:47" x14ac:dyDescent="0.25">
      <c r="A221" s="7">
        <f>+CONCATENATE(DAY(V221),"/",MONTH(V221),"/",YEAR(V221),"")*1</f>
        <v>46160</v>
      </c>
      <c r="B221" s="23">
        <f>+Z221*1</f>
        <v>3815193769</v>
      </c>
      <c r="C221" s="21" t="str">
        <f>+AA221</f>
        <v>ENTRANTE</v>
      </c>
      <c r="D221" s="3" t="str">
        <f>VLOOKUP(Q221,Code!E:F,2,0)</f>
        <v>Admisiones</v>
      </c>
      <c r="E221" s="3" t="s">
        <v>55</v>
      </c>
      <c r="F221" s="3">
        <f>+AP221</f>
        <v>37</v>
      </c>
      <c r="G221" s="3">
        <f>+S221</f>
        <v>27</v>
      </c>
      <c r="H221" s="22">
        <f>+HOUR(V221)</f>
        <v>19</v>
      </c>
      <c r="I221" s="22">
        <f>IFERROR(VLOOKUP(B221,MATRICULAS!A:B,2,0),0)*1</f>
        <v>0</v>
      </c>
      <c r="J221" s="27">
        <v>20260518</v>
      </c>
      <c r="K221" s="27">
        <v>149263708</v>
      </c>
      <c r="L221" s="27" t="s">
        <v>134</v>
      </c>
      <c r="M221" s="27" t="s">
        <v>56</v>
      </c>
      <c r="N221" s="27">
        <v>0</v>
      </c>
      <c r="O221" s="27">
        <v>0</v>
      </c>
      <c r="P221" s="27" t="s">
        <v>57</v>
      </c>
      <c r="Q221" s="27">
        <v>150</v>
      </c>
      <c r="R221" s="27" t="s">
        <v>161</v>
      </c>
      <c r="S221" s="27">
        <v>27</v>
      </c>
      <c r="T221" s="27" t="s">
        <v>58</v>
      </c>
      <c r="U221" s="27" t="s">
        <v>59</v>
      </c>
      <c r="V221" s="30">
        <v>46160.817685185182</v>
      </c>
      <c r="W221" s="30">
        <v>46160.817685185182</v>
      </c>
      <c r="X221" s="30">
        <v>46160.820254629631</v>
      </c>
      <c r="Y221" s="27" t="s">
        <v>117</v>
      </c>
      <c r="Z221" s="27" t="s">
        <v>744</v>
      </c>
      <c r="AA221" s="27" t="s">
        <v>53</v>
      </c>
      <c r="AB221" s="27" t="s">
        <v>60</v>
      </c>
      <c r="AC221" s="27" t="s">
        <v>745</v>
      </c>
      <c r="AD221" s="27" t="s">
        <v>118</v>
      </c>
      <c r="AE221" s="27" t="s">
        <v>61</v>
      </c>
      <c r="AF221" s="27" t="s">
        <v>62</v>
      </c>
      <c r="AG221" s="27" t="s">
        <v>63</v>
      </c>
      <c r="AH221" s="27">
        <v>0</v>
      </c>
      <c r="AI221" s="27">
        <v>0</v>
      </c>
      <c r="AJ221" s="27">
        <v>0</v>
      </c>
      <c r="AK221" s="27">
        <v>0</v>
      </c>
      <c r="AL221" s="27" t="s">
        <v>64</v>
      </c>
      <c r="AM221" s="27">
        <v>3</v>
      </c>
      <c r="AN221" s="27">
        <v>223</v>
      </c>
      <c r="AO221" s="27" t="s">
        <v>65</v>
      </c>
      <c r="AP221" s="27">
        <v>37</v>
      </c>
      <c r="AQ221" s="27">
        <v>0</v>
      </c>
      <c r="AR221" s="27">
        <v>0</v>
      </c>
      <c r="AS221" s="27" t="s">
        <v>118</v>
      </c>
      <c r="AT221" s="27" t="s">
        <v>746</v>
      </c>
      <c r="AU221" s="31" t="s">
        <v>118</v>
      </c>
    </row>
    <row r="222" spans="1:47" x14ac:dyDescent="0.25">
      <c r="A222" s="7">
        <f>+CONCATENATE(DAY(V222),"/",MONTH(V222),"/",YEAR(V222),"")*1</f>
        <v>46160</v>
      </c>
      <c r="B222" s="23">
        <f>+Z222*1</f>
        <v>2604689403</v>
      </c>
      <c r="C222" s="21" t="str">
        <f>+AA222</f>
        <v>ENTRANTE</v>
      </c>
      <c r="D222" s="3" t="str">
        <f>VLOOKUP(Q222,Code!E:F,2,0)</f>
        <v>Admisiones</v>
      </c>
      <c r="E222" s="3" t="s">
        <v>55</v>
      </c>
      <c r="F222" s="3">
        <f>+AP222</f>
        <v>37</v>
      </c>
      <c r="G222" s="3">
        <f>+S222</f>
        <v>27</v>
      </c>
      <c r="H222" s="22">
        <f>+HOUR(V222)</f>
        <v>17</v>
      </c>
      <c r="I222" s="22">
        <f>IFERROR(VLOOKUP(B222,MATRICULAS!A:B,2,0),0)*1</f>
        <v>0</v>
      </c>
      <c r="J222" s="26">
        <v>20260518</v>
      </c>
      <c r="K222" s="26">
        <v>149257957</v>
      </c>
      <c r="L222" s="26" t="s">
        <v>134</v>
      </c>
      <c r="M222" s="26" t="s">
        <v>56</v>
      </c>
      <c r="N222" s="26">
        <v>0</v>
      </c>
      <c r="O222" s="26">
        <v>0</v>
      </c>
      <c r="P222" s="26" t="s">
        <v>57</v>
      </c>
      <c r="Q222" s="26">
        <v>150</v>
      </c>
      <c r="R222" s="26" t="s">
        <v>161</v>
      </c>
      <c r="S222" s="26">
        <v>27</v>
      </c>
      <c r="T222" s="26" t="s">
        <v>58</v>
      </c>
      <c r="U222" s="26" t="s">
        <v>59</v>
      </c>
      <c r="V222" s="28">
        <v>46160.733784722222</v>
      </c>
      <c r="W222" s="28">
        <v>46160.733784722222</v>
      </c>
      <c r="X222" s="28">
        <v>46160.754062499997</v>
      </c>
      <c r="Y222" s="26" t="s">
        <v>117</v>
      </c>
      <c r="Z222" s="26" t="s">
        <v>747</v>
      </c>
      <c r="AA222" s="26" t="s">
        <v>53</v>
      </c>
      <c r="AB222" s="26" t="s">
        <v>60</v>
      </c>
      <c r="AC222" s="26" t="s">
        <v>748</v>
      </c>
      <c r="AD222" s="26" t="s">
        <v>118</v>
      </c>
      <c r="AE222" s="26" t="s">
        <v>61</v>
      </c>
      <c r="AF222" s="26" t="s">
        <v>62</v>
      </c>
      <c r="AG222" s="26" t="s">
        <v>63</v>
      </c>
      <c r="AH222" s="26">
        <v>0</v>
      </c>
      <c r="AI222" s="26">
        <v>0</v>
      </c>
      <c r="AJ222" s="26">
        <v>0</v>
      </c>
      <c r="AK222" s="26">
        <v>0</v>
      </c>
      <c r="AL222" s="26" t="s">
        <v>64</v>
      </c>
      <c r="AM222" s="26">
        <v>3</v>
      </c>
      <c r="AN222" s="26">
        <v>1752</v>
      </c>
      <c r="AO222" s="26" t="s">
        <v>65</v>
      </c>
      <c r="AP222" s="26">
        <v>37</v>
      </c>
      <c r="AQ222" s="26">
        <v>0</v>
      </c>
      <c r="AR222" s="26">
        <v>0</v>
      </c>
      <c r="AS222" s="26" t="s">
        <v>118</v>
      </c>
      <c r="AT222" s="26" t="s">
        <v>749</v>
      </c>
      <c r="AU222" s="29" t="s">
        <v>118</v>
      </c>
    </row>
    <row r="223" spans="1:47" x14ac:dyDescent="0.25">
      <c r="A223" s="7">
        <f>+CONCATENATE(DAY(V223),"/",MONTH(V223),"/",YEAR(V223),"")*1</f>
        <v>46160</v>
      </c>
      <c r="B223" s="23">
        <f>+Z223*1</f>
        <v>2954375174</v>
      </c>
      <c r="C223" s="21" t="str">
        <f>+AA223</f>
        <v>ENTRANTE</v>
      </c>
      <c r="D223" s="3" t="str">
        <f>VLOOKUP(Q223,Code!E:F,2,0)</f>
        <v>Admisiones</v>
      </c>
      <c r="E223" s="3" t="s">
        <v>55</v>
      </c>
      <c r="F223" s="3">
        <f>+AP223</f>
        <v>37</v>
      </c>
      <c r="G223" s="3">
        <f>+S223</f>
        <v>27</v>
      </c>
      <c r="H223" s="22">
        <f>+HOUR(V223)</f>
        <v>17</v>
      </c>
      <c r="I223" s="22">
        <f>IFERROR(VLOOKUP(B223,MATRICULAS!A:B,2,0),0)*1</f>
        <v>0</v>
      </c>
      <c r="J223" s="27">
        <v>20260518</v>
      </c>
      <c r="K223" s="27">
        <v>149257836</v>
      </c>
      <c r="L223" s="27" t="s">
        <v>134</v>
      </c>
      <c r="M223" s="27" t="s">
        <v>56</v>
      </c>
      <c r="N223" s="27">
        <v>0</v>
      </c>
      <c r="O223" s="27">
        <v>0</v>
      </c>
      <c r="P223" s="27" t="s">
        <v>57</v>
      </c>
      <c r="Q223" s="27">
        <v>150</v>
      </c>
      <c r="R223" s="27" t="s">
        <v>174</v>
      </c>
      <c r="S223" s="27">
        <v>27</v>
      </c>
      <c r="T223" s="27" t="s">
        <v>58</v>
      </c>
      <c r="U223" s="27" t="s">
        <v>59</v>
      </c>
      <c r="V223" s="30">
        <v>46160.731446759259</v>
      </c>
      <c r="W223" s="30">
        <v>46160.731446759259</v>
      </c>
      <c r="X223" s="30">
        <v>46160.736527777779</v>
      </c>
      <c r="Y223" s="27" t="s">
        <v>117</v>
      </c>
      <c r="Z223" s="27" t="s">
        <v>750</v>
      </c>
      <c r="AA223" s="27" t="s">
        <v>53</v>
      </c>
      <c r="AB223" s="27" t="s">
        <v>60</v>
      </c>
      <c r="AC223" s="27" t="s">
        <v>751</v>
      </c>
      <c r="AD223" s="27" t="s">
        <v>118</v>
      </c>
      <c r="AE223" s="27" t="s">
        <v>61</v>
      </c>
      <c r="AF223" s="27" t="s">
        <v>62</v>
      </c>
      <c r="AG223" s="27" t="s">
        <v>63</v>
      </c>
      <c r="AH223" s="27">
        <v>0</v>
      </c>
      <c r="AI223" s="27">
        <v>0</v>
      </c>
      <c r="AJ223" s="27">
        <v>0</v>
      </c>
      <c r="AK223" s="27">
        <v>0</v>
      </c>
      <c r="AL223" s="27" t="s">
        <v>64</v>
      </c>
      <c r="AM223" s="27">
        <v>3</v>
      </c>
      <c r="AN223" s="27">
        <v>439</v>
      </c>
      <c r="AO223" s="27" t="s">
        <v>65</v>
      </c>
      <c r="AP223" s="27">
        <v>37</v>
      </c>
      <c r="AQ223" s="27">
        <v>183</v>
      </c>
      <c r="AR223" s="27">
        <v>2372540</v>
      </c>
      <c r="AS223" s="27" t="s">
        <v>118</v>
      </c>
      <c r="AT223" s="27" t="s">
        <v>752</v>
      </c>
      <c r="AU223" s="31" t="s">
        <v>118</v>
      </c>
    </row>
    <row r="224" spans="1:47" x14ac:dyDescent="0.25">
      <c r="A224" s="7">
        <f>+CONCATENATE(DAY(V224),"/",MONTH(V224),"/",YEAR(V224),"")*1</f>
        <v>46160</v>
      </c>
      <c r="B224" s="23">
        <f>+Z224*1</f>
        <v>3405503061</v>
      </c>
      <c r="C224" s="21" t="str">
        <f>+AA224</f>
        <v>ENTRANTE</v>
      </c>
      <c r="D224" s="3" t="str">
        <f>VLOOKUP(Q224,Code!E:F,2,0)</f>
        <v>Admisiones</v>
      </c>
      <c r="E224" s="3" t="s">
        <v>55</v>
      </c>
      <c r="F224" s="3">
        <f>+AP224</f>
        <v>37</v>
      </c>
      <c r="G224" s="3">
        <f>+S224</f>
        <v>27</v>
      </c>
      <c r="H224" s="22">
        <f>+HOUR(V224)</f>
        <v>17</v>
      </c>
      <c r="I224" s="22">
        <f>IFERROR(VLOOKUP(B224,MATRICULAS!A:B,2,0),0)*1</f>
        <v>0</v>
      </c>
      <c r="J224" s="26">
        <v>20260518</v>
      </c>
      <c r="K224" s="26">
        <v>149256644</v>
      </c>
      <c r="L224" s="26" t="s">
        <v>134</v>
      </c>
      <c r="M224" s="26" t="s">
        <v>56</v>
      </c>
      <c r="N224" s="26">
        <v>0</v>
      </c>
      <c r="O224" s="26">
        <v>0</v>
      </c>
      <c r="P224" s="26" t="s">
        <v>57</v>
      </c>
      <c r="Q224" s="26">
        <v>150</v>
      </c>
      <c r="R224" s="26" t="s">
        <v>174</v>
      </c>
      <c r="S224" s="26">
        <v>27</v>
      </c>
      <c r="T224" s="26" t="s">
        <v>58</v>
      </c>
      <c r="U224" s="26" t="s">
        <v>59</v>
      </c>
      <c r="V224" s="28">
        <v>46160.711331018516</v>
      </c>
      <c r="W224" s="28">
        <v>46160.711331018516</v>
      </c>
      <c r="X224" s="28">
        <v>46160.720231481479</v>
      </c>
      <c r="Y224" s="26" t="s">
        <v>117</v>
      </c>
      <c r="Z224" s="26" t="s">
        <v>753</v>
      </c>
      <c r="AA224" s="26" t="s">
        <v>53</v>
      </c>
      <c r="AB224" s="26" t="s">
        <v>60</v>
      </c>
      <c r="AC224" s="26" t="s">
        <v>754</v>
      </c>
      <c r="AD224" s="26" t="s">
        <v>118</v>
      </c>
      <c r="AE224" s="26" t="s">
        <v>70</v>
      </c>
      <c r="AF224" s="26" t="s">
        <v>142</v>
      </c>
      <c r="AG224" s="26" t="s">
        <v>755</v>
      </c>
      <c r="AH224" s="26">
        <v>0</v>
      </c>
      <c r="AI224" s="26">
        <v>0</v>
      </c>
      <c r="AJ224" s="26">
        <v>0</v>
      </c>
      <c r="AK224" s="26">
        <v>0</v>
      </c>
      <c r="AL224" s="26" t="s">
        <v>64</v>
      </c>
      <c r="AM224" s="26">
        <v>3</v>
      </c>
      <c r="AN224" s="26">
        <v>770</v>
      </c>
      <c r="AO224" s="26" t="s">
        <v>65</v>
      </c>
      <c r="AP224" s="26">
        <v>37</v>
      </c>
      <c r="AQ224" s="26">
        <v>1</v>
      </c>
      <c r="AR224" s="26">
        <v>506546</v>
      </c>
      <c r="AS224" s="26" t="s">
        <v>118</v>
      </c>
      <c r="AT224" s="26" t="s">
        <v>756</v>
      </c>
      <c r="AU224" s="29" t="s">
        <v>118</v>
      </c>
    </row>
    <row r="225" spans="1:47" x14ac:dyDescent="0.25">
      <c r="A225" s="7">
        <f>+CONCATENATE(DAY(V225),"/",MONTH(V225),"/",YEAR(V225),"")*1</f>
        <v>46160</v>
      </c>
      <c r="B225" s="23">
        <f>+Z225*1</f>
        <v>2942529191</v>
      </c>
      <c r="C225" s="21" t="str">
        <f>+AA225</f>
        <v>ENTRANTE</v>
      </c>
      <c r="D225" s="3" t="str">
        <f>VLOOKUP(Q225,Code!E:F,2,0)</f>
        <v>Admisiones</v>
      </c>
      <c r="E225" s="3" t="s">
        <v>55</v>
      </c>
      <c r="F225" s="3">
        <f>+AP225</f>
        <v>37</v>
      </c>
      <c r="G225" s="3">
        <f>+S225</f>
        <v>27</v>
      </c>
      <c r="H225" s="22">
        <f>+HOUR(V225)</f>
        <v>16</v>
      </c>
      <c r="I225" s="22">
        <f>IFERROR(VLOOKUP(B225,MATRICULAS!A:B,2,0),0)*1</f>
        <v>0</v>
      </c>
      <c r="J225" s="27">
        <v>20260518</v>
      </c>
      <c r="K225" s="27">
        <v>149255216</v>
      </c>
      <c r="L225" s="27" t="s">
        <v>134</v>
      </c>
      <c r="M225" s="27" t="s">
        <v>56</v>
      </c>
      <c r="N225" s="27">
        <v>0</v>
      </c>
      <c r="O225" s="27">
        <v>0</v>
      </c>
      <c r="P225" s="27" t="s">
        <v>57</v>
      </c>
      <c r="Q225" s="27">
        <v>150</v>
      </c>
      <c r="R225" s="27" t="s">
        <v>174</v>
      </c>
      <c r="S225" s="27">
        <v>27</v>
      </c>
      <c r="T225" s="27" t="s">
        <v>58</v>
      </c>
      <c r="U225" s="27" t="s">
        <v>59</v>
      </c>
      <c r="V225" s="30">
        <v>46160.690104166664</v>
      </c>
      <c r="W225" s="30">
        <v>46160.690104166664</v>
      </c>
      <c r="X225" s="30">
        <v>46160.694143518522</v>
      </c>
      <c r="Y225" s="27" t="s">
        <v>117</v>
      </c>
      <c r="Z225" s="27" t="s">
        <v>757</v>
      </c>
      <c r="AA225" s="27" t="s">
        <v>53</v>
      </c>
      <c r="AB225" s="27" t="s">
        <v>60</v>
      </c>
      <c r="AC225" s="27" t="s">
        <v>758</v>
      </c>
      <c r="AD225" s="27" t="s">
        <v>118</v>
      </c>
      <c r="AE225" s="27" t="s">
        <v>61</v>
      </c>
      <c r="AF225" s="27" t="s">
        <v>62</v>
      </c>
      <c r="AG225" s="27" t="s">
        <v>63</v>
      </c>
      <c r="AH225" s="27">
        <v>0</v>
      </c>
      <c r="AI225" s="27">
        <v>0</v>
      </c>
      <c r="AJ225" s="27">
        <v>0</v>
      </c>
      <c r="AK225" s="27">
        <v>0</v>
      </c>
      <c r="AL225" s="27" t="s">
        <v>64</v>
      </c>
      <c r="AM225" s="27">
        <v>3</v>
      </c>
      <c r="AN225" s="27">
        <v>349</v>
      </c>
      <c r="AO225" s="27" t="s">
        <v>65</v>
      </c>
      <c r="AP225" s="27">
        <v>37</v>
      </c>
      <c r="AQ225" s="27">
        <v>1</v>
      </c>
      <c r="AR225" s="27">
        <v>2500400</v>
      </c>
      <c r="AS225" s="27" t="s">
        <v>118</v>
      </c>
      <c r="AT225" s="27" t="s">
        <v>759</v>
      </c>
      <c r="AU225" s="31" t="s">
        <v>118</v>
      </c>
    </row>
    <row r="226" spans="1:47" x14ac:dyDescent="0.25">
      <c r="A226" s="7">
        <f>+CONCATENATE(DAY(V226),"/",MONTH(V226),"/",YEAR(V226),"")*1</f>
        <v>46160</v>
      </c>
      <c r="B226" s="23">
        <f>+Z226*1</f>
        <v>2964492912</v>
      </c>
      <c r="C226" s="21" t="str">
        <f>+AA226</f>
        <v>ENTRANTE</v>
      </c>
      <c r="D226" s="3" t="str">
        <f>VLOOKUP(Q226,Code!E:F,2,0)</f>
        <v>Admisiones</v>
      </c>
      <c r="E226" s="3" t="s">
        <v>55</v>
      </c>
      <c r="F226" s="3">
        <f>+AP226</f>
        <v>37</v>
      </c>
      <c r="G226" s="3">
        <f>+S226</f>
        <v>27</v>
      </c>
      <c r="H226" s="22">
        <f>+HOUR(V226)</f>
        <v>15</v>
      </c>
      <c r="I226" s="22">
        <f>IFERROR(VLOOKUP(B226,MATRICULAS!A:B,2,0),0)*1</f>
        <v>0</v>
      </c>
      <c r="J226" s="26">
        <v>20260518</v>
      </c>
      <c r="K226" s="26">
        <v>149253415</v>
      </c>
      <c r="L226" s="26" t="s">
        <v>134</v>
      </c>
      <c r="M226" s="26" t="s">
        <v>56</v>
      </c>
      <c r="N226" s="26">
        <v>0</v>
      </c>
      <c r="O226" s="26">
        <v>0</v>
      </c>
      <c r="P226" s="26" t="s">
        <v>57</v>
      </c>
      <c r="Q226" s="26">
        <v>150</v>
      </c>
      <c r="R226" s="26" t="s">
        <v>174</v>
      </c>
      <c r="S226" s="26">
        <v>27</v>
      </c>
      <c r="T226" s="26" t="s">
        <v>58</v>
      </c>
      <c r="U226" s="26" t="s">
        <v>59</v>
      </c>
      <c r="V226" s="28">
        <v>46160.656087962961</v>
      </c>
      <c r="W226" s="28">
        <v>46160.656087962961</v>
      </c>
      <c r="X226" s="28">
        <v>46160.658310185187</v>
      </c>
      <c r="Y226" s="26" t="s">
        <v>117</v>
      </c>
      <c r="Z226" s="26" t="s">
        <v>760</v>
      </c>
      <c r="AA226" s="26" t="s">
        <v>53</v>
      </c>
      <c r="AB226" s="26" t="s">
        <v>60</v>
      </c>
      <c r="AC226" s="26" t="s">
        <v>761</v>
      </c>
      <c r="AD226" s="26" t="s">
        <v>118</v>
      </c>
      <c r="AE226" s="26" t="s">
        <v>61</v>
      </c>
      <c r="AF226" s="26" t="s">
        <v>62</v>
      </c>
      <c r="AG226" s="26" t="s">
        <v>63</v>
      </c>
      <c r="AH226" s="26">
        <v>0</v>
      </c>
      <c r="AI226" s="26">
        <v>0</v>
      </c>
      <c r="AJ226" s="26">
        <v>0</v>
      </c>
      <c r="AK226" s="26">
        <v>0</v>
      </c>
      <c r="AL226" s="26" t="s">
        <v>64</v>
      </c>
      <c r="AM226" s="26">
        <v>3</v>
      </c>
      <c r="AN226" s="26">
        <v>193</v>
      </c>
      <c r="AO226" s="26" t="s">
        <v>65</v>
      </c>
      <c r="AP226" s="26">
        <v>37</v>
      </c>
      <c r="AQ226" s="26">
        <v>1</v>
      </c>
      <c r="AR226" s="26">
        <v>2500361</v>
      </c>
      <c r="AS226" s="26" t="s">
        <v>118</v>
      </c>
      <c r="AT226" s="26" t="s">
        <v>762</v>
      </c>
      <c r="AU226" s="29" t="s">
        <v>118</v>
      </c>
    </row>
    <row r="227" spans="1:47" x14ac:dyDescent="0.25">
      <c r="A227" s="7">
        <f>+CONCATENATE(DAY(V227),"/",MONTH(V227),"/",YEAR(V227),"")*1</f>
        <v>46160</v>
      </c>
      <c r="B227" s="23">
        <f>+Z227*1</f>
        <v>1130836980</v>
      </c>
      <c r="C227" s="21" t="str">
        <f>+AA227</f>
        <v>ENTRANTE</v>
      </c>
      <c r="D227" s="3" t="str">
        <f>VLOOKUP(Q227,Code!E:F,2,0)</f>
        <v>Admisiones</v>
      </c>
      <c r="E227" s="3" t="s">
        <v>55</v>
      </c>
      <c r="F227" s="3">
        <f>+AP227</f>
        <v>37</v>
      </c>
      <c r="G227" s="3">
        <f>+S227</f>
        <v>27</v>
      </c>
      <c r="H227" s="22">
        <f>+HOUR(V227)</f>
        <v>15</v>
      </c>
      <c r="I227" s="22">
        <f>IFERROR(VLOOKUP(B227,MATRICULAS!A:B,2,0),0)*1</f>
        <v>0</v>
      </c>
      <c r="J227" s="27">
        <v>20260518</v>
      </c>
      <c r="K227" s="27">
        <v>149252880</v>
      </c>
      <c r="L227" s="27" t="s">
        <v>134</v>
      </c>
      <c r="M227" s="27" t="s">
        <v>56</v>
      </c>
      <c r="N227" s="27">
        <v>0</v>
      </c>
      <c r="O227" s="27">
        <v>0</v>
      </c>
      <c r="P227" s="27" t="s">
        <v>57</v>
      </c>
      <c r="Q227" s="27">
        <v>150</v>
      </c>
      <c r="R227" s="27" t="s">
        <v>174</v>
      </c>
      <c r="S227" s="27">
        <v>27</v>
      </c>
      <c r="T227" s="27" t="s">
        <v>58</v>
      </c>
      <c r="U227" s="27" t="s">
        <v>59</v>
      </c>
      <c r="V227" s="30">
        <v>46160.645243055558</v>
      </c>
      <c r="W227" s="30">
        <v>46160.645243055558</v>
      </c>
      <c r="X227" s="30">
        <v>46160.648460648146</v>
      </c>
      <c r="Y227" s="27" t="s">
        <v>117</v>
      </c>
      <c r="Z227" s="27" t="s">
        <v>763</v>
      </c>
      <c r="AA227" s="27" t="s">
        <v>53</v>
      </c>
      <c r="AB227" s="27" t="s">
        <v>60</v>
      </c>
      <c r="AC227" s="27" t="s">
        <v>764</v>
      </c>
      <c r="AD227" s="27" t="s">
        <v>118</v>
      </c>
      <c r="AE227" s="27" t="s">
        <v>61</v>
      </c>
      <c r="AF227" s="27" t="s">
        <v>62</v>
      </c>
      <c r="AG227" s="27" t="s">
        <v>63</v>
      </c>
      <c r="AH227" s="27">
        <v>0</v>
      </c>
      <c r="AI227" s="27">
        <v>0</v>
      </c>
      <c r="AJ227" s="27">
        <v>0</v>
      </c>
      <c r="AK227" s="27">
        <v>0</v>
      </c>
      <c r="AL227" s="27" t="s">
        <v>64</v>
      </c>
      <c r="AM227" s="27">
        <v>3</v>
      </c>
      <c r="AN227" s="27">
        <v>279</v>
      </c>
      <c r="AO227" s="27" t="s">
        <v>65</v>
      </c>
      <c r="AP227" s="27">
        <v>37</v>
      </c>
      <c r="AQ227" s="27">
        <v>1</v>
      </c>
      <c r="AR227" s="27">
        <v>2500347</v>
      </c>
      <c r="AS227" s="27" t="s">
        <v>118</v>
      </c>
      <c r="AT227" s="27" t="s">
        <v>765</v>
      </c>
      <c r="AU227" s="31" t="s">
        <v>118</v>
      </c>
    </row>
    <row r="228" spans="1:47" x14ac:dyDescent="0.25">
      <c r="A228" s="7">
        <f>+CONCATENATE(DAY(V228),"/",MONTH(V228),"/",YEAR(V228),"")*1</f>
        <v>46160</v>
      </c>
      <c r="B228" s="23">
        <f>+Z228*1</f>
        <v>1151818574</v>
      </c>
      <c r="C228" s="21" t="str">
        <f>+AA228</f>
        <v>ENTRANTE</v>
      </c>
      <c r="D228" s="3" t="str">
        <f>VLOOKUP(Q228,Code!E:F,2,0)</f>
        <v>Admisiones</v>
      </c>
      <c r="E228" s="3" t="s">
        <v>55</v>
      </c>
      <c r="F228" s="3">
        <f>+AP228</f>
        <v>37</v>
      </c>
      <c r="G228" s="3">
        <f>+S228</f>
        <v>26</v>
      </c>
      <c r="H228" s="22">
        <f>+HOUR(V228)</f>
        <v>14</v>
      </c>
      <c r="I228" s="22">
        <f>IFERROR(VLOOKUP(B228,MATRICULAS!A:B,2,0),0)*1</f>
        <v>0</v>
      </c>
      <c r="J228" s="26">
        <v>20260518</v>
      </c>
      <c r="K228" s="26">
        <v>149250837</v>
      </c>
      <c r="L228" s="26" t="s">
        <v>134</v>
      </c>
      <c r="M228" s="26" t="s">
        <v>56</v>
      </c>
      <c r="N228" s="26">
        <v>0</v>
      </c>
      <c r="O228" s="26">
        <v>0</v>
      </c>
      <c r="P228" s="26" t="s">
        <v>57</v>
      </c>
      <c r="Q228" s="26">
        <v>150</v>
      </c>
      <c r="R228" s="26" t="s">
        <v>127</v>
      </c>
      <c r="S228" s="26">
        <v>26</v>
      </c>
      <c r="T228" s="26" t="s">
        <v>58</v>
      </c>
      <c r="U228" s="26" t="s">
        <v>59</v>
      </c>
      <c r="V228" s="28">
        <v>46160.584178240744</v>
      </c>
      <c r="W228" s="28">
        <v>46160.584189814814</v>
      </c>
      <c r="X228" s="28">
        <v>46160.58997685185</v>
      </c>
      <c r="Y228" s="26" t="s">
        <v>117</v>
      </c>
      <c r="Z228" s="26" t="s">
        <v>766</v>
      </c>
      <c r="AA228" s="26" t="s">
        <v>53</v>
      </c>
      <c r="AB228" s="26" t="s">
        <v>60</v>
      </c>
      <c r="AC228" s="26" t="s">
        <v>767</v>
      </c>
      <c r="AD228" s="26" t="s">
        <v>118</v>
      </c>
      <c r="AE228" s="26" t="s">
        <v>61</v>
      </c>
      <c r="AF228" s="26" t="s">
        <v>62</v>
      </c>
      <c r="AG228" s="26" t="s">
        <v>63</v>
      </c>
      <c r="AH228" s="26">
        <v>0</v>
      </c>
      <c r="AI228" s="26">
        <v>0</v>
      </c>
      <c r="AJ228" s="26">
        <v>0</v>
      </c>
      <c r="AK228" s="26">
        <v>0</v>
      </c>
      <c r="AL228" s="26" t="s">
        <v>64</v>
      </c>
      <c r="AM228" s="26">
        <v>3</v>
      </c>
      <c r="AN228" s="26">
        <v>501</v>
      </c>
      <c r="AO228" s="26" t="s">
        <v>65</v>
      </c>
      <c r="AP228" s="26">
        <v>37</v>
      </c>
      <c r="AQ228" s="26">
        <v>163</v>
      </c>
      <c r="AR228" s="26">
        <v>1892344</v>
      </c>
      <c r="AS228" s="26" t="s">
        <v>118</v>
      </c>
      <c r="AT228" s="26" t="s">
        <v>768</v>
      </c>
      <c r="AU228" s="29" t="s">
        <v>118</v>
      </c>
    </row>
    <row r="229" spans="1:47" x14ac:dyDescent="0.25">
      <c r="A229" s="7">
        <f>+CONCATENATE(DAY(V229),"/",MONTH(V229),"/",YEAR(V229),"")*1</f>
        <v>46160</v>
      </c>
      <c r="B229" s="23">
        <f>+Z229*1</f>
        <v>1132679651</v>
      </c>
      <c r="C229" s="21" t="str">
        <f>+AA229</f>
        <v>ENTRANTE</v>
      </c>
      <c r="D229" s="3" t="str">
        <f>VLOOKUP(Q229,Code!E:F,2,0)</f>
        <v>Admisiones</v>
      </c>
      <c r="E229" s="3" t="s">
        <v>55</v>
      </c>
      <c r="F229" s="3">
        <f>+AP229</f>
        <v>37</v>
      </c>
      <c r="G229" s="3">
        <f>+S229</f>
        <v>26</v>
      </c>
      <c r="H229" s="22">
        <f>+HOUR(V229)</f>
        <v>13</v>
      </c>
      <c r="I229" s="22">
        <f>IFERROR(VLOOKUP(B229,MATRICULAS!A:B,2,0),0)*1</f>
        <v>0</v>
      </c>
      <c r="J229" s="27">
        <v>20260518</v>
      </c>
      <c r="K229" s="27">
        <v>149250454</v>
      </c>
      <c r="L229" s="27" t="s">
        <v>134</v>
      </c>
      <c r="M229" s="27" t="s">
        <v>56</v>
      </c>
      <c r="N229" s="27">
        <v>0</v>
      </c>
      <c r="O229" s="27">
        <v>0</v>
      </c>
      <c r="P229" s="27" t="s">
        <v>57</v>
      </c>
      <c r="Q229" s="27">
        <v>150</v>
      </c>
      <c r="R229" s="27" t="s">
        <v>145</v>
      </c>
      <c r="S229" s="27">
        <v>26</v>
      </c>
      <c r="T229" s="27" t="s">
        <v>58</v>
      </c>
      <c r="U229" s="27" t="s">
        <v>59</v>
      </c>
      <c r="V229" s="30">
        <v>46160.574479166666</v>
      </c>
      <c r="W229" s="30">
        <v>46160.574479166666</v>
      </c>
      <c r="X229" s="30">
        <v>46160.576412037037</v>
      </c>
      <c r="Y229" s="27" t="s">
        <v>117</v>
      </c>
      <c r="Z229" s="27" t="s">
        <v>769</v>
      </c>
      <c r="AA229" s="27" t="s">
        <v>53</v>
      </c>
      <c r="AB229" s="27" t="s">
        <v>60</v>
      </c>
      <c r="AC229" s="27" t="s">
        <v>770</v>
      </c>
      <c r="AD229" s="27" t="s">
        <v>118</v>
      </c>
      <c r="AE229" s="27" t="s">
        <v>61</v>
      </c>
      <c r="AF229" s="27" t="s">
        <v>62</v>
      </c>
      <c r="AG229" s="27" t="s">
        <v>63</v>
      </c>
      <c r="AH229" s="27">
        <v>0</v>
      </c>
      <c r="AI229" s="27">
        <v>0</v>
      </c>
      <c r="AJ229" s="27">
        <v>0</v>
      </c>
      <c r="AK229" s="27">
        <v>0</v>
      </c>
      <c r="AL229" s="27" t="s">
        <v>64</v>
      </c>
      <c r="AM229" s="27">
        <v>3</v>
      </c>
      <c r="AN229" s="27">
        <v>167</v>
      </c>
      <c r="AO229" s="27" t="s">
        <v>65</v>
      </c>
      <c r="AP229" s="27">
        <v>37</v>
      </c>
      <c r="AQ229" s="27">
        <v>1</v>
      </c>
      <c r="AR229" s="27">
        <v>2500252</v>
      </c>
      <c r="AS229" s="27" t="s">
        <v>118</v>
      </c>
      <c r="AT229" s="27" t="s">
        <v>771</v>
      </c>
      <c r="AU229" s="31" t="s">
        <v>118</v>
      </c>
    </row>
    <row r="230" spans="1:47" x14ac:dyDescent="0.25">
      <c r="A230" s="7">
        <f>+CONCATENATE(DAY(V230),"/",MONTH(V230),"/",YEAR(V230),"")*1</f>
        <v>46160</v>
      </c>
      <c r="B230" s="23">
        <f>+Z230*1</f>
        <v>2262306241</v>
      </c>
      <c r="C230" s="21" t="str">
        <f>+AA230</f>
        <v>ENTRANTE</v>
      </c>
      <c r="D230" s="3" t="str">
        <f>VLOOKUP(Q230,Code!E:F,2,0)</f>
        <v>Admisiones</v>
      </c>
      <c r="E230" s="3" t="s">
        <v>55</v>
      </c>
      <c r="F230" s="3">
        <f>+AP230</f>
        <v>37</v>
      </c>
      <c r="G230" s="3">
        <f>+S230</f>
        <v>26</v>
      </c>
      <c r="H230" s="22">
        <f>+HOUR(V230)</f>
        <v>13</v>
      </c>
      <c r="I230" s="22">
        <f>IFERROR(VLOOKUP(B230,MATRICULAS!A:B,2,0),0)*1</f>
        <v>0</v>
      </c>
      <c r="J230" s="26">
        <v>20260518</v>
      </c>
      <c r="K230" s="26">
        <v>149249745</v>
      </c>
      <c r="L230" s="26" t="s">
        <v>134</v>
      </c>
      <c r="M230" s="26" t="s">
        <v>56</v>
      </c>
      <c r="N230" s="26">
        <v>0</v>
      </c>
      <c r="O230" s="26">
        <v>0</v>
      </c>
      <c r="P230" s="26" t="s">
        <v>57</v>
      </c>
      <c r="Q230" s="26">
        <v>150</v>
      </c>
      <c r="R230" s="26" t="s">
        <v>127</v>
      </c>
      <c r="S230" s="26">
        <v>26</v>
      </c>
      <c r="T230" s="26" t="s">
        <v>58</v>
      </c>
      <c r="U230" s="26" t="s">
        <v>59</v>
      </c>
      <c r="V230" s="28">
        <v>46160.557141203702</v>
      </c>
      <c r="W230" s="28">
        <v>46160.557141203702</v>
      </c>
      <c r="X230" s="28">
        <v>46160.562604166669</v>
      </c>
      <c r="Y230" s="26" t="s">
        <v>117</v>
      </c>
      <c r="Z230" s="26" t="s">
        <v>772</v>
      </c>
      <c r="AA230" s="26" t="s">
        <v>53</v>
      </c>
      <c r="AB230" s="26" t="s">
        <v>60</v>
      </c>
      <c r="AC230" s="26" t="s">
        <v>773</v>
      </c>
      <c r="AD230" s="26" t="s">
        <v>118</v>
      </c>
      <c r="AE230" s="26" t="s">
        <v>70</v>
      </c>
      <c r="AF230" s="26" t="s">
        <v>126</v>
      </c>
      <c r="AG230" s="26" t="s">
        <v>774</v>
      </c>
      <c r="AH230" s="26">
        <v>0</v>
      </c>
      <c r="AI230" s="26">
        <v>0</v>
      </c>
      <c r="AJ230" s="26">
        <v>0</v>
      </c>
      <c r="AK230" s="26">
        <v>0</v>
      </c>
      <c r="AL230" s="26" t="s">
        <v>64</v>
      </c>
      <c r="AM230" s="26">
        <v>3</v>
      </c>
      <c r="AN230" s="26">
        <v>473</v>
      </c>
      <c r="AO230" s="26" t="s">
        <v>65</v>
      </c>
      <c r="AP230" s="26">
        <v>37</v>
      </c>
      <c r="AQ230" s="26">
        <v>1</v>
      </c>
      <c r="AR230" s="26">
        <v>2500229</v>
      </c>
      <c r="AS230" s="26" t="s">
        <v>775</v>
      </c>
      <c r="AT230" s="26" t="s">
        <v>776</v>
      </c>
      <c r="AU230" s="29" t="s">
        <v>118</v>
      </c>
    </row>
    <row r="231" spans="1:47" x14ac:dyDescent="0.25">
      <c r="A231" s="7">
        <f>+CONCATENATE(DAY(V231),"/",MONTH(V231),"/",YEAR(V231),"")*1</f>
        <v>46160</v>
      </c>
      <c r="B231" s="23">
        <f>+Z231*1</f>
        <v>2622527817</v>
      </c>
      <c r="C231" s="21" t="str">
        <f>+AA231</f>
        <v>ENTRANTE</v>
      </c>
      <c r="D231" s="3" t="str">
        <f>VLOOKUP(Q231,Code!E:F,2,0)</f>
        <v>Admisiones</v>
      </c>
      <c r="E231" s="3" t="s">
        <v>55</v>
      </c>
      <c r="F231" s="3">
        <f>+AP231</f>
        <v>37</v>
      </c>
      <c r="G231" s="3">
        <f>+S231</f>
        <v>26</v>
      </c>
      <c r="H231" s="22">
        <f>+HOUR(V231)</f>
        <v>12</v>
      </c>
      <c r="I231" s="22">
        <f>IFERROR(VLOOKUP(B231,MATRICULAS!A:B,2,0),0)*1</f>
        <v>0</v>
      </c>
      <c r="J231" s="27">
        <v>20260518</v>
      </c>
      <c r="K231" s="27">
        <v>149248567</v>
      </c>
      <c r="L231" s="27" t="s">
        <v>134</v>
      </c>
      <c r="M231" s="27" t="s">
        <v>56</v>
      </c>
      <c r="N231" s="27">
        <v>0</v>
      </c>
      <c r="O231" s="27">
        <v>0</v>
      </c>
      <c r="P231" s="27" t="s">
        <v>57</v>
      </c>
      <c r="Q231" s="27">
        <v>150</v>
      </c>
      <c r="R231" s="27" t="s">
        <v>127</v>
      </c>
      <c r="S231" s="27">
        <v>26</v>
      </c>
      <c r="T231" s="27" t="s">
        <v>58</v>
      </c>
      <c r="U231" s="27" t="s">
        <v>59</v>
      </c>
      <c r="V231" s="30">
        <v>46160.529560185183</v>
      </c>
      <c r="W231" s="30">
        <v>46160.529560185183</v>
      </c>
      <c r="X231" s="30">
        <v>46160.535300925927</v>
      </c>
      <c r="Y231" s="27" t="s">
        <v>117</v>
      </c>
      <c r="Z231" s="27" t="s">
        <v>777</v>
      </c>
      <c r="AA231" s="27" t="s">
        <v>53</v>
      </c>
      <c r="AB231" s="27" t="s">
        <v>60</v>
      </c>
      <c r="AC231" s="27" t="s">
        <v>778</v>
      </c>
      <c r="AD231" s="27" t="s">
        <v>118</v>
      </c>
      <c r="AE231" s="27" t="s">
        <v>61</v>
      </c>
      <c r="AF231" s="27" t="s">
        <v>62</v>
      </c>
      <c r="AG231" s="27" t="s">
        <v>63</v>
      </c>
      <c r="AH231" s="27">
        <v>0</v>
      </c>
      <c r="AI231" s="27">
        <v>0</v>
      </c>
      <c r="AJ231" s="27">
        <v>0</v>
      </c>
      <c r="AK231" s="27">
        <v>0</v>
      </c>
      <c r="AL231" s="27" t="s">
        <v>64</v>
      </c>
      <c r="AM231" s="27">
        <v>3</v>
      </c>
      <c r="AN231" s="27">
        <v>497</v>
      </c>
      <c r="AO231" s="27" t="s">
        <v>65</v>
      </c>
      <c r="AP231" s="27">
        <v>37</v>
      </c>
      <c r="AQ231" s="27">
        <v>1</v>
      </c>
      <c r="AR231" s="27">
        <v>97751</v>
      </c>
      <c r="AS231" s="27" t="s">
        <v>118</v>
      </c>
      <c r="AT231" s="27" t="s">
        <v>779</v>
      </c>
      <c r="AU231" s="31" t="s">
        <v>118</v>
      </c>
    </row>
    <row r="232" spans="1:47" x14ac:dyDescent="0.25">
      <c r="A232" s="7">
        <f>+CONCATENATE(DAY(V232),"/",MONTH(V232),"/",YEAR(V232),"")*1</f>
        <v>46160</v>
      </c>
      <c r="B232" s="23">
        <f>+Z232*1</f>
        <v>1163217721</v>
      </c>
      <c r="C232" s="21" t="str">
        <f>+AA232</f>
        <v>ENTRANTE</v>
      </c>
      <c r="D232" s="3" t="str">
        <f>VLOOKUP(Q232,Code!E:F,2,0)</f>
        <v>Admisiones</v>
      </c>
      <c r="E232" s="3" t="s">
        <v>55</v>
      </c>
      <c r="F232" s="3">
        <f>+AP232</f>
        <v>37</v>
      </c>
      <c r="G232" s="3">
        <f>+S232</f>
        <v>26</v>
      </c>
      <c r="H232" s="22">
        <f>+HOUR(V232)</f>
        <v>12</v>
      </c>
      <c r="I232" s="22">
        <f>IFERROR(VLOOKUP(B232,MATRICULAS!A:B,2,0),0)*1</f>
        <v>0</v>
      </c>
      <c r="J232" s="26">
        <v>20260518</v>
      </c>
      <c r="K232" s="26">
        <v>149248374</v>
      </c>
      <c r="L232" s="26" t="s">
        <v>134</v>
      </c>
      <c r="M232" s="26" t="s">
        <v>56</v>
      </c>
      <c r="N232" s="26">
        <v>0</v>
      </c>
      <c r="O232" s="26">
        <v>0</v>
      </c>
      <c r="P232" s="26" t="s">
        <v>57</v>
      </c>
      <c r="Q232" s="26">
        <v>150</v>
      </c>
      <c r="R232" s="26" t="s">
        <v>145</v>
      </c>
      <c r="S232" s="26">
        <v>26</v>
      </c>
      <c r="T232" s="26" t="s">
        <v>58</v>
      </c>
      <c r="U232" s="26" t="s">
        <v>59</v>
      </c>
      <c r="V232" s="28">
        <v>46160.524363425924</v>
      </c>
      <c r="W232" s="28">
        <v>46160.524363425924</v>
      </c>
      <c r="X232" s="28">
        <v>46160.532118055555</v>
      </c>
      <c r="Y232" s="26" t="s">
        <v>117</v>
      </c>
      <c r="Z232" s="26" t="s">
        <v>780</v>
      </c>
      <c r="AA232" s="26" t="s">
        <v>53</v>
      </c>
      <c r="AB232" s="26" t="s">
        <v>60</v>
      </c>
      <c r="AC232" s="26" t="s">
        <v>781</v>
      </c>
      <c r="AD232" s="26" t="s">
        <v>118</v>
      </c>
      <c r="AE232" s="26" t="s">
        <v>61</v>
      </c>
      <c r="AF232" s="26" t="s">
        <v>62</v>
      </c>
      <c r="AG232" s="26" t="s">
        <v>63</v>
      </c>
      <c r="AH232" s="26">
        <v>0</v>
      </c>
      <c r="AI232" s="26">
        <v>0</v>
      </c>
      <c r="AJ232" s="26">
        <v>0</v>
      </c>
      <c r="AK232" s="26">
        <v>0</v>
      </c>
      <c r="AL232" s="26" t="s">
        <v>64</v>
      </c>
      <c r="AM232" s="26">
        <v>3</v>
      </c>
      <c r="AN232" s="26">
        <v>670</v>
      </c>
      <c r="AO232" s="26" t="s">
        <v>65</v>
      </c>
      <c r="AP232" s="26">
        <v>37</v>
      </c>
      <c r="AQ232" s="26">
        <v>129</v>
      </c>
      <c r="AR232" s="26">
        <v>901479</v>
      </c>
      <c r="AS232" s="26" t="s">
        <v>118</v>
      </c>
      <c r="AT232" s="26" t="s">
        <v>782</v>
      </c>
      <c r="AU232" s="29" t="s">
        <v>118</v>
      </c>
    </row>
    <row r="233" spans="1:47" x14ac:dyDescent="0.25">
      <c r="A233" s="7">
        <f>+CONCATENATE(DAY(V233),"/",MONTH(V233),"/",YEAR(V233),"")*1</f>
        <v>46160</v>
      </c>
      <c r="B233" s="23">
        <f>+Z233*1</f>
        <v>1144022357</v>
      </c>
      <c r="C233" s="21" t="str">
        <f>+AA233</f>
        <v>ENTRANTE</v>
      </c>
      <c r="D233" s="3" t="str">
        <f>VLOOKUP(Q233,Code!E:F,2,0)</f>
        <v>Admisiones</v>
      </c>
      <c r="E233" s="3" t="s">
        <v>55</v>
      </c>
      <c r="F233" s="3">
        <f>+AP233</f>
        <v>37</v>
      </c>
      <c r="G233" s="3">
        <f>+S233</f>
        <v>0</v>
      </c>
      <c r="H233" s="22">
        <f>+HOUR(V233)</f>
        <v>12</v>
      </c>
      <c r="I233" s="22">
        <f>IFERROR(VLOOKUP(B233,MATRICULAS!A:B,2,0),0)*1</f>
        <v>1</v>
      </c>
      <c r="J233" s="27">
        <v>20260518</v>
      </c>
      <c r="K233" s="27">
        <v>149248349</v>
      </c>
      <c r="L233" s="27" t="s">
        <v>134</v>
      </c>
      <c r="M233" s="27" t="s">
        <v>56</v>
      </c>
      <c r="N233" s="27">
        <v>0</v>
      </c>
      <c r="O233" s="27">
        <v>0</v>
      </c>
      <c r="P233" s="27" t="s">
        <v>57</v>
      </c>
      <c r="Q233" s="27">
        <v>150</v>
      </c>
      <c r="R233" s="27" t="s">
        <v>158</v>
      </c>
      <c r="S233" s="27">
        <v>0</v>
      </c>
      <c r="T233" s="27" t="s">
        <v>58</v>
      </c>
      <c r="U233" s="27" t="s">
        <v>59</v>
      </c>
      <c r="V233" s="30">
        <v>46160.523784722223</v>
      </c>
      <c r="W233" s="30">
        <v>46160.523784722223</v>
      </c>
      <c r="X233" s="30">
        <v>46160.534745370373</v>
      </c>
      <c r="Y233" s="27" t="s">
        <v>117</v>
      </c>
      <c r="Z233" s="27" t="s">
        <v>783</v>
      </c>
      <c r="AA233" s="27" t="s">
        <v>53</v>
      </c>
      <c r="AB233" s="27" t="s">
        <v>60</v>
      </c>
      <c r="AC233" s="27" t="s">
        <v>784</v>
      </c>
      <c r="AD233" s="27" t="s">
        <v>118</v>
      </c>
      <c r="AE233" s="27" t="s">
        <v>61</v>
      </c>
      <c r="AF233" s="27" t="s">
        <v>62</v>
      </c>
      <c r="AG233" s="27" t="s">
        <v>63</v>
      </c>
      <c r="AH233" s="27">
        <v>0</v>
      </c>
      <c r="AI233" s="27">
        <v>0</v>
      </c>
      <c r="AJ233" s="27">
        <v>0</v>
      </c>
      <c r="AK233" s="27">
        <v>0</v>
      </c>
      <c r="AL233" s="27" t="s">
        <v>64</v>
      </c>
      <c r="AM233" s="27">
        <v>3</v>
      </c>
      <c r="AN233" s="27">
        <v>948</v>
      </c>
      <c r="AO233" s="27" t="s">
        <v>65</v>
      </c>
      <c r="AP233" s="27">
        <v>37</v>
      </c>
      <c r="AQ233" s="27">
        <v>1</v>
      </c>
      <c r="AR233" s="27">
        <v>1473507</v>
      </c>
      <c r="AS233" s="27" t="s">
        <v>785</v>
      </c>
      <c r="AT233" s="27" t="s">
        <v>786</v>
      </c>
      <c r="AU233" s="31" t="s">
        <v>118</v>
      </c>
    </row>
    <row r="234" spans="1:47" x14ac:dyDescent="0.25">
      <c r="A234" s="7">
        <f>+CONCATENATE(DAY(V234),"/",MONTH(V234),"/",YEAR(V234),"")*1</f>
        <v>46160</v>
      </c>
      <c r="B234" s="23">
        <f>+Z234*1</f>
        <v>1135720194</v>
      </c>
      <c r="C234" s="21" t="str">
        <f>+AA234</f>
        <v>ENTRANTE</v>
      </c>
      <c r="D234" s="3" t="str">
        <f>VLOOKUP(Q234,Code!E:F,2,0)</f>
        <v>Admisiones</v>
      </c>
      <c r="E234" s="3" t="s">
        <v>55</v>
      </c>
      <c r="F234" s="3">
        <f>+AP234</f>
        <v>37</v>
      </c>
      <c r="G234" s="3">
        <f>+S234</f>
        <v>26</v>
      </c>
      <c r="H234" s="22">
        <f>+HOUR(V234)</f>
        <v>12</v>
      </c>
      <c r="I234" s="22">
        <f>IFERROR(VLOOKUP(B234,MATRICULAS!A:B,2,0),0)*1</f>
        <v>0</v>
      </c>
      <c r="J234" s="26">
        <v>20260518</v>
      </c>
      <c r="K234" s="26">
        <v>149248165</v>
      </c>
      <c r="L234" s="26" t="s">
        <v>134</v>
      </c>
      <c r="M234" s="26" t="s">
        <v>56</v>
      </c>
      <c r="N234" s="26">
        <v>0</v>
      </c>
      <c r="O234" s="26">
        <v>0</v>
      </c>
      <c r="P234" s="26" t="s">
        <v>57</v>
      </c>
      <c r="Q234" s="26">
        <v>150</v>
      </c>
      <c r="R234" s="26" t="s">
        <v>151</v>
      </c>
      <c r="S234" s="26">
        <v>26</v>
      </c>
      <c r="T234" s="26" t="s">
        <v>58</v>
      </c>
      <c r="U234" s="26" t="s">
        <v>59</v>
      </c>
      <c r="V234" s="28">
        <v>46160.51971064815</v>
      </c>
      <c r="W234" s="28">
        <v>46160.51971064815</v>
      </c>
      <c r="X234" s="28">
        <v>46160.528032407405</v>
      </c>
      <c r="Y234" s="26" t="s">
        <v>117</v>
      </c>
      <c r="Z234" s="26" t="s">
        <v>787</v>
      </c>
      <c r="AA234" s="26" t="s">
        <v>53</v>
      </c>
      <c r="AB234" s="26" t="s">
        <v>60</v>
      </c>
      <c r="AC234" s="26" t="s">
        <v>788</v>
      </c>
      <c r="AD234" s="26" t="s">
        <v>118</v>
      </c>
      <c r="AE234" s="26" t="s">
        <v>61</v>
      </c>
      <c r="AF234" s="26" t="s">
        <v>62</v>
      </c>
      <c r="AG234" s="26" t="s">
        <v>63</v>
      </c>
      <c r="AH234" s="26">
        <v>0</v>
      </c>
      <c r="AI234" s="26">
        <v>0</v>
      </c>
      <c r="AJ234" s="26">
        <v>0</v>
      </c>
      <c r="AK234" s="26">
        <v>0</v>
      </c>
      <c r="AL234" s="26" t="s">
        <v>64</v>
      </c>
      <c r="AM234" s="26">
        <v>3</v>
      </c>
      <c r="AN234" s="26">
        <v>719</v>
      </c>
      <c r="AO234" s="26" t="s">
        <v>65</v>
      </c>
      <c r="AP234" s="26">
        <v>37</v>
      </c>
      <c r="AQ234" s="26">
        <v>164</v>
      </c>
      <c r="AR234" s="26">
        <v>2500185</v>
      </c>
      <c r="AS234" s="26" t="s">
        <v>118</v>
      </c>
      <c r="AT234" s="26" t="s">
        <v>789</v>
      </c>
      <c r="AU234" s="29" t="s">
        <v>118</v>
      </c>
    </row>
    <row r="235" spans="1:47" x14ac:dyDescent="0.25">
      <c r="A235" s="7">
        <f>+CONCATENATE(DAY(V235),"/",MONTH(V235),"/",YEAR(V235),"")*1</f>
        <v>46160</v>
      </c>
      <c r="B235" s="23">
        <f>+Z235*1</f>
        <v>2235285417</v>
      </c>
      <c r="C235" s="21" t="str">
        <f>+AA235</f>
        <v>ENTRANTE</v>
      </c>
      <c r="D235" s="3" t="str">
        <f>VLOOKUP(Q235,Code!E:F,2,0)</f>
        <v>Admisiones</v>
      </c>
      <c r="E235" s="3" t="s">
        <v>55</v>
      </c>
      <c r="F235" s="3">
        <f>+AP235</f>
        <v>37</v>
      </c>
      <c r="G235" s="3">
        <f>+S235</f>
        <v>26</v>
      </c>
      <c r="H235" s="22">
        <f>+HOUR(V235)</f>
        <v>12</v>
      </c>
      <c r="I235" s="22">
        <f>IFERROR(VLOOKUP(B235,MATRICULAS!A:B,2,0),0)*1</f>
        <v>0</v>
      </c>
      <c r="J235" s="27">
        <v>20260518</v>
      </c>
      <c r="K235" s="27">
        <v>149248065</v>
      </c>
      <c r="L235" s="27" t="s">
        <v>134</v>
      </c>
      <c r="M235" s="27" t="s">
        <v>56</v>
      </c>
      <c r="N235" s="27">
        <v>0</v>
      </c>
      <c r="O235" s="27">
        <v>0</v>
      </c>
      <c r="P235" s="27" t="s">
        <v>57</v>
      </c>
      <c r="Q235" s="27">
        <v>150</v>
      </c>
      <c r="R235" s="27" t="s">
        <v>127</v>
      </c>
      <c r="S235" s="27">
        <v>26</v>
      </c>
      <c r="T235" s="27" t="s">
        <v>58</v>
      </c>
      <c r="U235" s="27" t="s">
        <v>59</v>
      </c>
      <c r="V235" s="30">
        <v>46160.517407407409</v>
      </c>
      <c r="W235" s="30">
        <v>46160.517407407409</v>
      </c>
      <c r="X235" s="30">
        <v>46160.520694444444</v>
      </c>
      <c r="Y235" s="27" t="s">
        <v>117</v>
      </c>
      <c r="Z235" s="27" t="s">
        <v>790</v>
      </c>
      <c r="AA235" s="27" t="s">
        <v>53</v>
      </c>
      <c r="AB235" s="27" t="s">
        <v>60</v>
      </c>
      <c r="AC235" s="27" t="s">
        <v>791</v>
      </c>
      <c r="AD235" s="27" t="s">
        <v>118</v>
      </c>
      <c r="AE235" s="27" t="s">
        <v>61</v>
      </c>
      <c r="AF235" s="27" t="s">
        <v>62</v>
      </c>
      <c r="AG235" s="27" t="s">
        <v>63</v>
      </c>
      <c r="AH235" s="27">
        <v>0</v>
      </c>
      <c r="AI235" s="27">
        <v>0</v>
      </c>
      <c r="AJ235" s="27">
        <v>0</v>
      </c>
      <c r="AK235" s="27">
        <v>0</v>
      </c>
      <c r="AL235" s="27" t="s">
        <v>64</v>
      </c>
      <c r="AM235" s="27">
        <v>3</v>
      </c>
      <c r="AN235" s="27">
        <v>284</v>
      </c>
      <c r="AO235" s="27" t="s">
        <v>65</v>
      </c>
      <c r="AP235" s="27">
        <v>37</v>
      </c>
      <c r="AQ235" s="27">
        <v>1</v>
      </c>
      <c r="AR235" s="27">
        <v>2500184</v>
      </c>
      <c r="AS235" s="27" t="s">
        <v>118</v>
      </c>
      <c r="AT235" s="27" t="s">
        <v>792</v>
      </c>
      <c r="AU235" s="31" t="s">
        <v>118</v>
      </c>
    </row>
    <row r="236" spans="1:47" x14ac:dyDescent="0.25">
      <c r="A236" s="7">
        <f>+CONCATENATE(DAY(V236),"/",MONTH(V236),"/",YEAR(V236),"")*1</f>
        <v>46160</v>
      </c>
      <c r="B236" s="23">
        <f>+Z236*1</f>
        <v>3816822810</v>
      </c>
      <c r="C236" s="21" t="str">
        <f>+AA236</f>
        <v>ENTRANTE</v>
      </c>
      <c r="D236" s="3" t="str">
        <f>VLOOKUP(Q236,Code!E:F,2,0)</f>
        <v>Admisiones</v>
      </c>
      <c r="E236" s="3" t="s">
        <v>55</v>
      </c>
      <c r="F236" s="3">
        <f>+AP236</f>
        <v>37</v>
      </c>
      <c r="G236" s="3">
        <f>+S236</f>
        <v>26</v>
      </c>
      <c r="H236" s="22">
        <f>+HOUR(V236)</f>
        <v>12</v>
      </c>
      <c r="I236" s="22">
        <f>IFERROR(VLOOKUP(B236,MATRICULAS!A:B,2,0),0)*1</f>
        <v>1</v>
      </c>
      <c r="J236" s="26">
        <v>20260518</v>
      </c>
      <c r="K236" s="26">
        <v>149247509</v>
      </c>
      <c r="L236" s="26" t="s">
        <v>134</v>
      </c>
      <c r="M236" s="26" t="s">
        <v>56</v>
      </c>
      <c r="N236" s="26">
        <v>0</v>
      </c>
      <c r="O236" s="26">
        <v>0</v>
      </c>
      <c r="P236" s="26" t="s">
        <v>57</v>
      </c>
      <c r="Q236" s="26">
        <v>150</v>
      </c>
      <c r="R236" s="26" t="s">
        <v>145</v>
      </c>
      <c r="S236" s="26">
        <v>26</v>
      </c>
      <c r="T236" s="26" t="s">
        <v>58</v>
      </c>
      <c r="U236" s="26" t="s">
        <v>59</v>
      </c>
      <c r="V236" s="28">
        <v>46160.500416666669</v>
      </c>
      <c r="W236" s="28">
        <v>46160.500416666669</v>
      </c>
      <c r="X236" s="28">
        <v>46160.501342592594</v>
      </c>
      <c r="Y236" s="26" t="s">
        <v>117</v>
      </c>
      <c r="Z236" s="26" t="s">
        <v>793</v>
      </c>
      <c r="AA236" s="26" t="s">
        <v>53</v>
      </c>
      <c r="AB236" s="26" t="s">
        <v>60</v>
      </c>
      <c r="AC236" s="26" t="s">
        <v>794</v>
      </c>
      <c r="AD236" s="26" t="s">
        <v>118</v>
      </c>
      <c r="AE236" s="26" t="s">
        <v>61</v>
      </c>
      <c r="AF236" s="26" t="s">
        <v>62</v>
      </c>
      <c r="AG236" s="26" t="s">
        <v>63</v>
      </c>
      <c r="AH236" s="26">
        <v>0</v>
      </c>
      <c r="AI236" s="26">
        <v>0</v>
      </c>
      <c r="AJ236" s="26">
        <v>0</v>
      </c>
      <c r="AK236" s="26">
        <v>0</v>
      </c>
      <c r="AL236" s="26" t="s">
        <v>64</v>
      </c>
      <c r="AM236" s="26">
        <v>3</v>
      </c>
      <c r="AN236" s="26">
        <v>80</v>
      </c>
      <c r="AO236" s="26" t="s">
        <v>65</v>
      </c>
      <c r="AP236" s="26">
        <v>37</v>
      </c>
      <c r="AQ236" s="26">
        <v>175</v>
      </c>
      <c r="AR236" s="26">
        <v>2491885</v>
      </c>
      <c r="AS236" s="26" t="s">
        <v>118</v>
      </c>
      <c r="AT236" s="26" t="s">
        <v>795</v>
      </c>
      <c r="AU236" s="29" t="s">
        <v>118</v>
      </c>
    </row>
    <row r="237" spans="1:47" x14ac:dyDescent="0.25">
      <c r="A237" s="7">
        <f>+CONCATENATE(DAY(V237),"/",MONTH(V237),"/",YEAR(V237),"")*1</f>
        <v>46160</v>
      </c>
      <c r="B237" s="23">
        <f>+Z237*1</f>
        <v>2284300185</v>
      </c>
      <c r="C237" s="21" t="str">
        <f>+AA237</f>
        <v>ENTRANTE</v>
      </c>
      <c r="D237" s="3" t="str">
        <f>VLOOKUP(Q237,Code!E:F,2,0)</f>
        <v>Admisiones</v>
      </c>
      <c r="E237" s="3" t="s">
        <v>55</v>
      </c>
      <c r="F237" s="3">
        <f>+AP237</f>
        <v>37</v>
      </c>
      <c r="G237" s="3">
        <f>+S237</f>
        <v>26</v>
      </c>
      <c r="H237" s="22">
        <f>+HOUR(V237)</f>
        <v>11</v>
      </c>
      <c r="I237" s="22">
        <f>IFERROR(VLOOKUP(B237,MATRICULAS!A:B,2,0),0)*1</f>
        <v>0</v>
      </c>
      <c r="J237" s="27">
        <v>20260518</v>
      </c>
      <c r="K237" s="27">
        <v>149247155</v>
      </c>
      <c r="L237" s="27" t="s">
        <v>134</v>
      </c>
      <c r="M237" s="27" t="s">
        <v>56</v>
      </c>
      <c r="N237" s="27">
        <v>0</v>
      </c>
      <c r="O237" s="27">
        <v>0</v>
      </c>
      <c r="P237" s="27" t="s">
        <v>57</v>
      </c>
      <c r="Q237" s="27">
        <v>150</v>
      </c>
      <c r="R237" s="27" t="s">
        <v>153</v>
      </c>
      <c r="S237" s="27">
        <v>26</v>
      </c>
      <c r="T237" s="27" t="s">
        <v>58</v>
      </c>
      <c r="U237" s="27" t="s">
        <v>59</v>
      </c>
      <c r="V237" s="30">
        <v>46160.490914351853</v>
      </c>
      <c r="W237" s="30">
        <v>46160.490914351853</v>
      </c>
      <c r="X237" s="30">
        <v>46160.494108796294</v>
      </c>
      <c r="Y237" s="27" t="s">
        <v>117</v>
      </c>
      <c r="Z237" s="27" t="s">
        <v>796</v>
      </c>
      <c r="AA237" s="27" t="s">
        <v>53</v>
      </c>
      <c r="AB237" s="27" t="s">
        <v>60</v>
      </c>
      <c r="AC237" s="27" t="s">
        <v>797</v>
      </c>
      <c r="AD237" s="27" t="s">
        <v>118</v>
      </c>
      <c r="AE237" s="27" t="s">
        <v>61</v>
      </c>
      <c r="AF237" s="27" t="s">
        <v>62</v>
      </c>
      <c r="AG237" s="27" t="s">
        <v>63</v>
      </c>
      <c r="AH237" s="27">
        <v>0</v>
      </c>
      <c r="AI237" s="27">
        <v>0</v>
      </c>
      <c r="AJ237" s="27">
        <v>0</v>
      </c>
      <c r="AK237" s="27">
        <v>0</v>
      </c>
      <c r="AL237" s="27" t="s">
        <v>64</v>
      </c>
      <c r="AM237" s="27">
        <v>3</v>
      </c>
      <c r="AN237" s="27">
        <v>276</v>
      </c>
      <c r="AO237" s="27" t="s">
        <v>65</v>
      </c>
      <c r="AP237" s="27">
        <v>37</v>
      </c>
      <c r="AQ237" s="27">
        <v>1</v>
      </c>
      <c r="AR237" s="27">
        <v>2500142</v>
      </c>
      <c r="AS237" s="27" t="s">
        <v>118</v>
      </c>
      <c r="AT237" s="27" t="s">
        <v>798</v>
      </c>
      <c r="AU237" s="31" t="s">
        <v>118</v>
      </c>
    </row>
    <row r="238" spans="1:47" x14ac:dyDescent="0.25">
      <c r="A238" s="7">
        <f>+CONCATENATE(DAY(V238),"/",MONTH(V238),"/",YEAR(V238),"")*1</f>
        <v>46160</v>
      </c>
      <c r="B238" s="23">
        <f>+Z238*1</f>
        <v>1135100321</v>
      </c>
      <c r="C238" s="21" t="str">
        <f>+AA238</f>
        <v>ENTRANTE</v>
      </c>
      <c r="D238" s="3" t="str">
        <f>VLOOKUP(Q238,Code!E:F,2,0)</f>
        <v>Admisiones</v>
      </c>
      <c r="E238" s="3" t="s">
        <v>55</v>
      </c>
      <c r="F238" s="3">
        <f>+AP238</f>
        <v>37</v>
      </c>
      <c r="G238" s="3">
        <f>+S238</f>
        <v>26</v>
      </c>
      <c r="H238" s="22">
        <f>+HOUR(V238)</f>
        <v>11</v>
      </c>
      <c r="I238" s="22">
        <f>IFERROR(VLOOKUP(B238,MATRICULAS!A:B,2,0),0)*1</f>
        <v>0</v>
      </c>
      <c r="J238" s="26">
        <v>20260518</v>
      </c>
      <c r="K238" s="26">
        <v>149247154</v>
      </c>
      <c r="L238" s="26" t="s">
        <v>134</v>
      </c>
      <c r="M238" s="26" t="s">
        <v>56</v>
      </c>
      <c r="N238" s="26">
        <v>0</v>
      </c>
      <c r="O238" s="26">
        <v>0</v>
      </c>
      <c r="P238" s="26" t="s">
        <v>57</v>
      </c>
      <c r="Q238" s="26">
        <v>150</v>
      </c>
      <c r="R238" s="26" t="s">
        <v>145</v>
      </c>
      <c r="S238" s="26">
        <v>26</v>
      </c>
      <c r="T238" s="26" t="s">
        <v>58</v>
      </c>
      <c r="U238" s="26" t="s">
        <v>59</v>
      </c>
      <c r="V238" s="28">
        <v>46160.490868055553</v>
      </c>
      <c r="W238" s="28">
        <v>46160.490868055553</v>
      </c>
      <c r="X238" s="28">
        <v>46160.499826388892</v>
      </c>
      <c r="Y238" s="26" t="s">
        <v>117</v>
      </c>
      <c r="Z238" s="26" t="s">
        <v>799</v>
      </c>
      <c r="AA238" s="26" t="s">
        <v>53</v>
      </c>
      <c r="AB238" s="26" t="s">
        <v>60</v>
      </c>
      <c r="AC238" s="26" t="s">
        <v>800</v>
      </c>
      <c r="AD238" s="26" t="s">
        <v>118</v>
      </c>
      <c r="AE238" s="26" t="s">
        <v>66</v>
      </c>
      <c r="AF238" s="26" t="s">
        <v>67</v>
      </c>
      <c r="AG238" s="26" t="s">
        <v>67</v>
      </c>
      <c r="AH238" s="26">
        <v>0</v>
      </c>
      <c r="AI238" s="26">
        <v>0</v>
      </c>
      <c r="AJ238" s="26">
        <v>0</v>
      </c>
      <c r="AK238" s="26">
        <v>0</v>
      </c>
      <c r="AL238" s="26" t="s">
        <v>64</v>
      </c>
      <c r="AM238" s="26">
        <v>3</v>
      </c>
      <c r="AN238" s="26">
        <v>775</v>
      </c>
      <c r="AO238" s="26" t="s">
        <v>65</v>
      </c>
      <c r="AP238" s="26">
        <v>37</v>
      </c>
      <c r="AQ238" s="26">
        <v>175</v>
      </c>
      <c r="AR238" s="26">
        <v>2139240</v>
      </c>
      <c r="AS238" s="26" t="s">
        <v>118</v>
      </c>
      <c r="AT238" s="26" t="s">
        <v>801</v>
      </c>
      <c r="AU238" s="29" t="s">
        <v>118</v>
      </c>
    </row>
    <row r="239" spans="1:47" x14ac:dyDescent="0.25">
      <c r="A239" s="7">
        <f>+CONCATENATE(DAY(V239),"/",MONTH(V239),"/",YEAR(V239),"")*1</f>
        <v>46160</v>
      </c>
      <c r="B239" s="23">
        <f>+Z239*1</f>
        <v>3517390507</v>
      </c>
      <c r="C239" s="21" t="str">
        <f>+AA239</f>
        <v>ENTRANTE</v>
      </c>
      <c r="D239" s="3" t="str">
        <f>VLOOKUP(Q239,Code!E:F,2,0)</f>
        <v>Admisiones</v>
      </c>
      <c r="E239" s="3" t="s">
        <v>55</v>
      </c>
      <c r="F239" s="3">
        <f>+AP239</f>
        <v>37</v>
      </c>
      <c r="G239" s="3">
        <f>+S239</f>
        <v>26</v>
      </c>
      <c r="H239" s="22">
        <f>+HOUR(V239)</f>
        <v>11</v>
      </c>
      <c r="I239" s="22">
        <f>IFERROR(VLOOKUP(B239,MATRICULAS!A:B,2,0),0)*1</f>
        <v>0</v>
      </c>
      <c r="J239" s="27">
        <v>20260518</v>
      </c>
      <c r="K239" s="27">
        <v>149247012</v>
      </c>
      <c r="L239" s="27" t="s">
        <v>134</v>
      </c>
      <c r="M239" s="27" t="s">
        <v>56</v>
      </c>
      <c r="N239" s="27">
        <v>0</v>
      </c>
      <c r="O239" s="27">
        <v>0</v>
      </c>
      <c r="P239" s="27" t="s">
        <v>57</v>
      </c>
      <c r="Q239" s="27">
        <v>150</v>
      </c>
      <c r="R239" s="27" t="s">
        <v>145</v>
      </c>
      <c r="S239" s="27">
        <v>26</v>
      </c>
      <c r="T239" s="27" t="s">
        <v>58</v>
      </c>
      <c r="U239" s="27" t="s">
        <v>59</v>
      </c>
      <c r="V239" s="30">
        <v>46160.486481481479</v>
      </c>
      <c r="W239" s="30">
        <v>46160.486481481479</v>
      </c>
      <c r="X239" s="30">
        <v>46160.488796296297</v>
      </c>
      <c r="Y239" s="27" t="s">
        <v>117</v>
      </c>
      <c r="Z239" s="27" t="s">
        <v>802</v>
      </c>
      <c r="AA239" s="27" t="s">
        <v>53</v>
      </c>
      <c r="AB239" s="27" t="s">
        <v>60</v>
      </c>
      <c r="AC239" s="27" t="s">
        <v>803</v>
      </c>
      <c r="AD239" s="27" t="s">
        <v>118</v>
      </c>
      <c r="AE239" s="27" t="s">
        <v>70</v>
      </c>
      <c r="AF239" s="27" t="s">
        <v>130</v>
      </c>
      <c r="AG239" s="27" t="s">
        <v>130</v>
      </c>
      <c r="AH239" s="27">
        <v>0</v>
      </c>
      <c r="AI239" s="27">
        <v>0</v>
      </c>
      <c r="AJ239" s="27">
        <v>0</v>
      </c>
      <c r="AK239" s="27">
        <v>0</v>
      </c>
      <c r="AL239" s="27" t="s">
        <v>64</v>
      </c>
      <c r="AM239" s="27">
        <v>3</v>
      </c>
      <c r="AN239" s="27">
        <v>201</v>
      </c>
      <c r="AO239" s="27" t="s">
        <v>65</v>
      </c>
      <c r="AP239" s="27">
        <v>37</v>
      </c>
      <c r="AQ239" s="27">
        <v>157</v>
      </c>
      <c r="AR239" s="27">
        <v>1644790</v>
      </c>
      <c r="AS239" s="27" t="s">
        <v>118</v>
      </c>
      <c r="AT239" s="27" t="s">
        <v>804</v>
      </c>
      <c r="AU239" s="31" t="s">
        <v>118</v>
      </c>
    </row>
    <row r="240" spans="1:47" x14ac:dyDescent="0.25">
      <c r="A240" s="7">
        <f>+CONCATENATE(DAY(V240),"/",MONTH(V240),"/",YEAR(V240),"")*1</f>
        <v>46160</v>
      </c>
      <c r="B240" s="23">
        <f>+Z240*1</f>
        <v>1165704342</v>
      </c>
      <c r="C240" s="21" t="str">
        <f>+AA240</f>
        <v>ENTRANTE</v>
      </c>
      <c r="D240" s="3" t="str">
        <f>VLOOKUP(Q240,Code!E:F,2,0)</f>
        <v>Admisiones</v>
      </c>
      <c r="E240" s="3" t="s">
        <v>55</v>
      </c>
      <c r="F240" s="3">
        <f>+AP240</f>
        <v>37</v>
      </c>
      <c r="G240" s="3">
        <f>+S240</f>
        <v>26</v>
      </c>
      <c r="H240" s="22">
        <f>+HOUR(V240)</f>
        <v>11</v>
      </c>
      <c r="I240" s="22">
        <f>IFERROR(VLOOKUP(B240,MATRICULAS!A:B,2,0),0)*1</f>
        <v>0</v>
      </c>
      <c r="J240" s="26">
        <v>20260518</v>
      </c>
      <c r="K240" s="26">
        <v>149246998</v>
      </c>
      <c r="L240" s="26" t="s">
        <v>134</v>
      </c>
      <c r="M240" s="26" t="s">
        <v>56</v>
      </c>
      <c r="N240" s="26">
        <v>0</v>
      </c>
      <c r="O240" s="26">
        <v>0</v>
      </c>
      <c r="P240" s="26" t="s">
        <v>57</v>
      </c>
      <c r="Q240" s="26">
        <v>150</v>
      </c>
      <c r="R240" s="26" t="s">
        <v>127</v>
      </c>
      <c r="S240" s="26">
        <v>26</v>
      </c>
      <c r="T240" s="26" t="s">
        <v>58</v>
      </c>
      <c r="U240" s="26" t="s">
        <v>59</v>
      </c>
      <c r="V240" s="28">
        <v>46160.486018518517</v>
      </c>
      <c r="W240" s="28">
        <v>46160.486018518517</v>
      </c>
      <c r="X240" s="28">
        <v>46160.508969907409</v>
      </c>
      <c r="Y240" s="26" t="s">
        <v>117</v>
      </c>
      <c r="Z240" s="26" t="s">
        <v>805</v>
      </c>
      <c r="AA240" s="26" t="s">
        <v>53</v>
      </c>
      <c r="AB240" s="26" t="s">
        <v>60</v>
      </c>
      <c r="AC240" s="26" t="s">
        <v>806</v>
      </c>
      <c r="AD240" s="26" t="s">
        <v>118</v>
      </c>
      <c r="AE240" s="26" t="s">
        <v>61</v>
      </c>
      <c r="AF240" s="26" t="s">
        <v>62</v>
      </c>
      <c r="AG240" s="26" t="s">
        <v>63</v>
      </c>
      <c r="AH240" s="26">
        <v>0</v>
      </c>
      <c r="AI240" s="26">
        <v>0</v>
      </c>
      <c r="AJ240" s="26">
        <v>0</v>
      </c>
      <c r="AK240" s="26">
        <v>0</v>
      </c>
      <c r="AL240" s="26" t="s">
        <v>64</v>
      </c>
      <c r="AM240" s="26">
        <v>3</v>
      </c>
      <c r="AN240" s="26">
        <v>1984</v>
      </c>
      <c r="AO240" s="26" t="s">
        <v>65</v>
      </c>
      <c r="AP240" s="26">
        <v>37</v>
      </c>
      <c r="AQ240" s="26">
        <v>202</v>
      </c>
      <c r="AR240" s="26">
        <v>2500085</v>
      </c>
      <c r="AS240" s="26" t="s">
        <v>118</v>
      </c>
      <c r="AT240" s="26" t="s">
        <v>807</v>
      </c>
      <c r="AU240" s="29" t="s">
        <v>118</v>
      </c>
    </row>
    <row r="241" spans="1:47" x14ac:dyDescent="0.25">
      <c r="A241" s="7">
        <f>+CONCATENATE(DAY(V241),"/",MONTH(V241),"/",YEAR(V241),"")*1</f>
        <v>46160</v>
      </c>
      <c r="B241" s="23">
        <f>+Z241*1</f>
        <v>3878360566</v>
      </c>
      <c r="C241" s="21" t="str">
        <f>+AA241</f>
        <v>ENTRANTE</v>
      </c>
      <c r="D241" s="3" t="str">
        <f>VLOOKUP(Q241,Code!E:F,2,0)</f>
        <v>Admisiones</v>
      </c>
      <c r="E241" s="3" t="s">
        <v>55</v>
      </c>
      <c r="F241" s="3">
        <f>+AP241</f>
        <v>37</v>
      </c>
      <c r="G241" s="3">
        <f>+S241</f>
        <v>0</v>
      </c>
      <c r="H241" s="22">
        <f>+HOUR(V241)</f>
        <v>11</v>
      </c>
      <c r="I241" s="22">
        <f>IFERROR(VLOOKUP(B241,MATRICULAS!A:B,2,0),0)*1</f>
        <v>0</v>
      </c>
      <c r="J241" s="27">
        <v>20260518</v>
      </c>
      <c r="K241" s="27">
        <v>149245963</v>
      </c>
      <c r="L241" s="27" t="s">
        <v>134</v>
      </c>
      <c r="M241" s="27" t="s">
        <v>56</v>
      </c>
      <c r="N241" s="27">
        <v>0</v>
      </c>
      <c r="O241" s="27">
        <v>0</v>
      </c>
      <c r="P241" s="27" t="s">
        <v>57</v>
      </c>
      <c r="Q241" s="27">
        <v>150</v>
      </c>
      <c r="R241" s="27" t="s">
        <v>808</v>
      </c>
      <c r="S241" s="27">
        <v>0</v>
      </c>
      <c r="T241" s="27" t="s">
        <v>58</v>
      </c>
      <c r="U241" s="27" t="s">
        <v>59</v>
      </c>
      <c r="V241" s="30">
        <v>46160.474398148152</v>
      </c>
      <c r="W241" s="30">
        <v>46160.474398148152</v>
      </c>
      <c r="X241" s="30">
        <v>46160.482615740744</v>
      </c>
      <c r="Y241" s="27" t="s">
        <v>117</v>
      </c>
      <c r="Z241" s="27" t="s">
        <v>682</v>
      </c>
      <c r="AA241" s="27" t="s">
        <v>53</v>
      </c>
      <c r="AB241" s="27" t="s">
        <v>60</v>
      </c>
      <c r="AC241" s="27" t="s">
        <v>809</v>
      </c>
      <c r="AD241" s="27" t="s">
        <v>118</v>
      </c>
      <c r="AE241" s="27" t="s">
        <v>70</v>
      </c>
      <c r="AF241" s="27" t="s">
        <v>132</v>
      </c>
      <c r="AG241" s="27" t="s">
        <v>164</v>
      </c>
      <c r="AH241" s="27">
        <v>0</v>
      </c>
      <c r="AI241" s="27">
        <v>0</v>
      </c>
      <c r="AJ241" s="27">
        <v>0</v>
      </c>
      <c r="AK241" s="27">
        <v>0</v>
      </c>
      <c r="AL241" s="27" t="s">
        <v>64</v>
      </c>
      <c r="AM241" s="27">
        <v>3</v>
      </c>
      <c r="AN241" s="27">
        <v>710</v>
      </c>
      <c r="AO241" s="27" t="s">
        <v>65</v>
      </c>
      <c r="AP241" s="27">
        <v>37</v>
      </c>
      <c r="AQ241" s="27">
        <v>202</v>
      </c>
      <c r="AR241" s="27">
        <v>2500052</v>
      </c>
      <c r="AS241" s="27" t="s">
        <v>118</v>
      </c>
      <c r="AT241" s="27" t="s">
        <v>810</v>
      </c>
      <c r="AU241" s="31" t="s">
        <v>118</v>
      </c>
    </row>
    <row r="242" spans="1:47" x14ac:dyDescent="0.25">
      <c r="A242" s="7">
        <f>+CONCATENATE(DAY(V242),"/",MONTH(V242),"/",YEAR(V242),"")*1</f>
        <v>46160</v>
      </c>
      <c r="B242" s="23">
        <f>+Z242*1</f>
        <v>3472550638</v>
      </c>
      <c r="C242" s="21" t="str">
        <f>+AA242</f>
        <v>ENTRANTE</v>
      </c>
      <c r="D242" s="3" t="str">
        <f>VLOOKUP(Q242,Code!E:F,2,0)</f>
        <v>Admisiones</v>
      </c>
      <c r="E242" s="3" t="s">
        <v>55</v>
      </c>
      <c r="F242" s="3">
        <f>+AP242</f>
        <v>37</v>
      </c>
      <c r="G242" s="3">
        <f>+S242</f>
        <v>26</v>
      </c>
      <c r="H242" s="22">
        <f>+HOUR(V242)</f>
        <v>10</v>
      </c>
      <c r="I242" s="22">
        <f>IFERROR(VLOOKUP(B242,MATRICULAS!A:B,2,0),0)*1</f>
        <v>0</v>
      </c>
      <c r="J242" s="27">
        <v>20260518</v>
      </c>
      <c r="K242" s="27">
        <v>149244114</v>
      </c>
      <c r="L242" s="27" t="s">
        <v>134</v>
      </c>
      <c r="M242" s="27" t="s">
        <v>56</v>
      </c>
      <c r="N242" s="27">
        <v>0</v>
      </c>
      <c r="O242" s="27">
        <v>0</v>
      </c>
      <c r="P242" s="27" t="s">
        <v>57</v>
      </c>
      <c r="Q242" s="27">
        <v>150</v>
      </c>
      <c r="R242" s="27" t="s">
        <v>153</v>
      </c>
      <c r="S242" s="27">
        <v>26</v>
      </c>
      <c r="T242" s="27" t="s">
        <v>58</v>
      </c>
      <c r="U242" s="27" t="s">
        <v>59</v>
      </c>
      <c r="V242" s="30">
        <v>46160.445787037039</v>
      </c>
      <c r="W242" s="30">
        <v>46160.445787037039</v>
      </c>
      <c r="X242" s="30">
        <v>46160.450474537036</v>
      </c>
      <c r="Y242" s="27" t="s">
        <v>117</v>
      </c>
      <c r="Z242" s="27" t="s">
        <v>811</v>
      </c>
      <c r="AA242" s="27" t="s">
        <v>53</v>
      </c>
      <c r="AB242" s="27" t="s">
        <v>60</v>
      </c>
      <c r="AC242" s="27" t="s">
        <v>812</v>
      </c>
      <c r="AD242" s="27" t="s">
        <v>118</v>
      </c>
      <c r="AE242" s="27" t="s">
        <v>61</v>
      </c>
      <c r="AF242" s="27" t="s">
        <v>62</v>
      </c>
      <c r="AG242" s="27" t="s">
        <v>63</v>
      </c>
      <c r="AH242" s="27">
        <v>0</v>
      </c>
      <c r="AI242" s="27">
        <v>0</v>
      </c>
      <c r="AJ242" s="27">
        <v>0</v>
      </c>
      <c r="AK242" s="27">
        <v>0</v>
      </c>
      <c r="AL242" s="27" t="s">
        <v>64</v>
      </c>
      <c r="AM242" s="27">
        <v>3</v>
      </c>
      <c r="AN242" s="27">
        <v>405</v>
      </c>
      <c r="AO242" s="27" t="s">
        <v>65</v>
      </c>
      <c r="AP242" s="27">
        <v>37</v>
      </c>
      <c r="AQ242" s="27">
        <v>1</v>
      </c>
      <c r="AR242" s="27">
        <v>2500076</v>
      </c>
      <c r="AS242" s="27" t="s">
        <v>118</v>
      </c>
      <c r="AT242" s="27" t="s">
        <v>813</v>
      </c>
      <c r="AU242" s="31" t="s">
        <v>118</v>
      </c>
    </row>
    <row r="243" spans="1:47" x14ac:dyDescent="0.25">
      <c r="A243" s="7">
        <f>+CONCATENATE(DAY(V243),"/",MONTH(V243),"/",YEAR(V243),"")*1</f>
        <v>46160</v>
      </c>
      <c r="B243" s="23">
        <f>+Z243*1</f>
        <v>3535634564</v>
      </c>
      <c r="C243" s="21" t="str">
        <f>+AA243</f>
        <v>ENTRANTE</v>
      </c>
      <c r="D243" s="3" t="str">
        <f>VLOOKUP(Q243,Code!E:F,2,0)</f>
        <v>Admisiones</v>
      </c>
      <c r="E243" s="3" t="s">
        <v>55</v>
      </c>
      <c r="F243" s="3">
        <f>+AP243</f>
        <v>37</v>
      </c>
      <c r="G243" s="3">
        <f>+S243</f>
        <v>5</v>
      </c>
      <c r="H243" s="22">
        <f>+HOUR(V243)</f>
        <v>10</v>
      </c>
      <c r="I243" s="22">
        <f>IFERROR(VLOOKUP(B243,MATRICULAS!A:B,2,0),0)*1</f>
        <v>0</v>
      </c>
      <c r="J243" s="26">
        <v>20260518</v>
      </c>
      <c r="K243" s="26">
        <v>149244033</v>
      </c>
      <c r="L243" s="26" t="s">
        <v>134</v>
      </c>
      <c r="M243" s="26" t="s">
        <v>56</v>
      </c>
      <c r="N243" s="26">
        <v>0</v>
      </c>
      <c r="O243" s="26">
        <v>0</v>
      </c>
      <c r="P243" s="26" t="s">
        <v>57</v>
      </c>
      <c r="Q243" s="26">
        <v>150</v>
      </c>
      <c r="R243" s="26" t="s">
        <v>127</v>
      </c>
      <c r="S243" s="26">
        <v>5</v>
      </c>
      <c r="T243" s="26" t="s">
        <v>58</v>
      </c>
      <c r="U243" s="26" t="s">
        <v>59</v>
      </c>
      <c r="V243" s="28">
        <v>46160.44321759259</v>
      </c>
      <c r="W243" s="28">
        <v>46160.443229166667</v>
      </c>
      <c r="X243" s="28">
        <v>46160.447129629632</v>
      </c>
      <c r="Y243" s="26" t="s">
        <v>117</v>
      </c>
      <c r="Z243" s="26" t="s">
        <v>814</v>
      </c>
      <c r="AA243" s="26" t="s">
        <v>53</v>
      </c>
      <c r="AB243" s="26" t="s">
        <v>60</v>
      </c>
      <c r="AC243" s="26" t="s">
        <v>815</v>
      </c>
      <c r="AD243" s="26" t="s">
        <v>118</v>
      </c>
      <c r="AE243" s="26" t="s">
        <v>61</v>
      </c>
      <c r="AF243" s="26" t="s">
        <v>62</v>
      </c>
      <c r="AG243" s="26" t="s">
        <v>63</v>
      </c>
      <c r="AH243" s="26">
        <v>0</v>
      </c>
      <c r="AI243" s="26">
        <v>0</v>
      </c>
      <c r="AJ243" s="26">
        <v>0</v>
      </c>
      <c r="AK243" s="26">
        <v>0</v>
      </c>
      <c r="AL243" s="26" t="s">
        <v>64</v>
      </c>
      <c r="AM243" s="26">
        <v>3</v>
      </c>
      <c r="AN243" s="26">
        <v>338</v>
      </c>
      <c r="AO243" s="26" t="s">
        <v>65</v>
      </c>
      <c r="AP243" s="26">
        <v>37</v>
      </c>
      <c r="AQ243" s="26">
        <v>187</v>
      </c>
      <c r="AR243" s="26">
        <v>2255535</v>
      </c>
      <c r="AS243" s="26" t="s">
        <v>118</v>
      </c>
      <c r="AT243" s="26" t="s">
        <v>816</v>
      </c>
      <c r="AU243" s="29" t="s">
        <v>118</v>
      </c>
    </row>
    <row r="244" spans="1:47" x14ac:dyDescent="0.25">
      <c r="A244" s="7">
        <f>+CONCATENATE(DAY(V244),"/",MONTH(V244),"/",YEAR(V244),"")*1</f>
        <v>46160</v>
      </c>
      <c r="B244" s="23">
        <f>+Z244*1</f>
        <v>1169153569</v>
      </c>
      <c r="C244" s="21" t="str">
        <f>+AA244</f>
        <v>ENTRANTE</v>
      </c>
      <c r="D244" s="3" t="str">
        <f>VLOOKUP(Q244,Code!E:F,2,0)</f>
        <v>Admisiones</v>
      </c>
      <c r="E244" s="3" t="s">
        <v>55</v>
      </c>
      <c r="F244" s="3">
        <f>+AP244</f>
        <v>37</v>
      </c>
      <c r="G244" s="3">
        <f>+S244</f>
        <v>26</v>
      </c>
      <c r="H244" s="22">
        <f>+HOUR(V244)</f>
        <v>10</v>
      </c>
      <c r="I244" s="22">
        <f>IFERROR(VLOOKUP(B244,MATRICULAS!A:B,2,0),0)*1</f>
        <v>0</v>
      </c>
      <c r="J244" s="27">
        <v>20260518</v>
      </c>
      <c r="K244" s="27">
        <v>149243995</v>
      </c>
      <c r="L244" s="27" t="s">
        <v>134</v>
      </c>
      <c r="M244" s="27" t="s">
        <v>56</v>
      </c>
      <c r="N244" s="27">
        <v>0</v>
      </c>
      <c r="O244" s="27">
        <v>0</v>
      </c>
      <c r="P244" s="27" t="s">
        <v>57</v>
      </c>
      <c r="Q244" s="27">
        <v>150</v>
      </c>
      <c r="R244" s="27" t="s">
        <v>159</v>
      </c>
      <c r="S244" s="27">
        <v>26</v>
      </c>
      <c r="T244" s="27" t="s">
        <v>58</v>
      </c>
      <c r="U244" s="27" t="s">
        <v>59</v>
      </c>
      <c r="V244" s="30">
        <v>46160.441979166666</v>
      </c>
      <c r="W244" s="30">
        <v>46160.441979166666</v>
      </c>
      <c r="X244" s="30">
        <v>46160.448888888888</v>
      </c>
      <c r="Y244" s="27" t="s">
        <v>117</v>
      </c>
      <c r="Z244" s="27" t="s">
        <v>817</v>
      </c>
      <c r="AA244" s="27" t="s">
        <v>53</v>
      </c>
      <c r="AB244" s="27" t="s">
        <v>60</v>
      </c>
      <c r="AC244" s="27" t="s">
        <v>818</v>
      </c>
      <c r="AD244" s="27" t="s">
        <v>118</v>
      </c>
      <c r="AE244" s="27" t="s">
        <v>61</v>
      </c>
      <c r="AF244" s="27" t="s">
        <v>62</v>
      </c>
      <c r="AG244" s="27" t="s">
        <v>63</v>
      </c>
      <c r="AH244" s="27">
        <v>0</v>
      </c>
      <c r="AI244" s="27">
        <v>0</v>
      </c>
      <c r="AJ244" s="27">
        <v>0</v>
      </c>
      <c r="AK244" s="27">
        <v>0</v>
      </c>
      <c r="AL244" s="27" t="s">
        <v>64</v>
      </c>
      <c r="AM244" s="27">
        <v>3</v>
      </c>
      <c r="AN244" s="27">
        <v>597</v>
      </c>
      <c r="AO244" s="27" t="s">
        <v>65</v>
      </c>
      <c r="AP244" s="27">
        <v>37</v>
      </c>
      <c r="AQ244" s="27">
        <v>197</v>
      </c>
      <c r="AR244" s="27">
        <v>2427277</v>
      </c>
      <c r="AS244" s="27" t="s">
        <v>118</v>
      </c>
      <c r="AT244" s="27" t="s">
        <v>819</v>
      </c>
      <c r="AU244" s="31" t="s">
        <v>118</v>
      </c>
    </row>
    <row r="245" spans="1:47" x14ac:dyDescent="0.25">
      <c r="A245" s="7">
        <f>+CONCATENATE(DAY(V245),"/",MONTH(V245),"/",YEAR(V245),"")*1</f>
        <v>46160</v>
      </c>
      <c r="B245" s="23">
        <f>+Z245*1</f>
        <v>3444444056</v>
      </c>
      <c r="C245" s="21" t="str">
        <f>+AA245</f>
        <v>ENTRANTE</v>
      </c>
      <c r="D245" s="3" t="str">
        <f>VLOOKUP(Q245,Code!E:F,2,0)</f>
        <v>Admisiones</v>
      </c>
      <c r="E245" s="3" t="s">
        <v>55</v>
      </c>
      <c r="F245" s="3">
        <f>+AP245</f>
        <v>37</v>
      </c>
      <c r="G245" s="3">
        <f>+S245</f>
        <v>26</v>
      </c>
      <c r="H245" s="22">
        <f>+HOUR(V245)</f>
        <v>10</v>
      </c>
      <c r="I245" s="22">
        <f>IFERROR(VLOOKUP(B245,MATRICULAS!A:B,2,0),0)*1</f>
        <v>0</v>
      </c>
      <c r="J245" s="27">
        <v>20260518</v>
      </c>
      <c r="K245" s="27">
        <v>149243610</v>
      </c>
      <c r="L245" s="27" t="s">
        <v>134</v>
      </c>
      <c r="M245" s="27" t="s">
        <v>56</v>
      </c>
      <c r="N245" s="27">
        <v>0</v>
      </c>
      <c r="O245" s="27">
        <v>0</v>
      </c>
      <c r="P245" s="27" t="s">
        <v>57</v>
      </c>
      <c r="Q245" s="27">
        <v>150</v>
      </c>
      <c r="R245" s="27" t="s">
        <v>127</v>
      </c>
      <c r="S245" s="27">
        <v>26</v>
      </c>
      <c r="T245" s="27" t="s">
        <v>58</v>
      </c>
      <c r="U245" s="27" t="s">
        <v>59</v>
      </c>
      <c r="V245" s="30">
        <v>46160.427187499998</v>
      </c>
      <c r="W245" s="30">
        <v>46160.427187499998</v>
      </c>
      <c r="X245" s="30">
        <v>46160.442430555559</v>
      </c>
      <c r="Y245" s="27" t="s">
        <v>117</v>
      </c>
      <c r="Z245" s="27" t="s">
        <v>820</v>
      </c>
      <c r="AA245" s="27" t="s">
        <v>53</v>
      </c>
      <c r="AB245" s="27" t="s">
        <v>60</v>
      </c>
      <c r="AC245" s="27" t="s">
        <v>821</v>
      </c>
      <c r="AD245" s="27" t="s">
        <v>118</v>
      </c>
      <c r="AE245" s="27" t="s">
        <v>61</v>
      </c>
      <c r="AF245" s="27" t="s">
        <v>62</v>
      </c>
      <c r="AG245" s="27" t="s">
        <v>63</v>
      </c>
      <c r="AH245" s="27">
        <v>0</v>
      </c>
      <c r="AI245" s="27">
        <v>0</v>
      </c>
      <c r="AJ245" s="27">
        <v>0</v>
      </c>
      <c r="AK245" s="27">
        <v>0</v>
      </c>
      <c r="AL245" s="27" t="s">
        <v>64</v>
      </c>
      <c r="AM245" s="27">
        <v>3</v>
      </c>
      <c r="AN245" s="27">
        <v>1318</v>
      </c>
      <c r="AO245" s="27" t="s">
        <v>65</v>
      </c>
      <c r="AP245" s="27">
        <v>37</v>
      </c>
      <c r="AQ245" s="27">
        <v>116</v>
      </c>
      <c r="AR245" s="27">
        <v>1314114</v>
      </c>
      <c r="AS245" s="27" t="s">
        <v>118</v>
      </c>
      <c r="AT245" s="27" t="s">
        <v>822</v>
      </c>
      <c r="AU245" s="31" t="s">
        <v>118</v>
      </c>
    </row>
    <row r="246" spans="1:47" x14ac:dyDescent="0.25">
      <c r="A246" s="7">
        <f>+CONCATENATE(DAY(V246),"/",MONTH(V246),"/",YEAR(V246),"")*1</f>
        <v>46160</v>
      </c>
      <c r="B246" s="23">
        <f>+Z246*1</f>
        <v>1144302799</v>
      </c>
      <c r="C246" s="21" t="str">
        <f>+AA246</f>
        <v>ENTRANTE</v>
      </c>
      <c r="D246" s="3" t="str">
        <f>VLOOKUP(Q246,Code!E:F,2,0)</f>
        <v>Admisiones</v>
      </c>
      <c r="E246" s="3" t="s">
        <v>55</v>
      </c>
      <c r="F246" s="3">
        <f>+AP246</f>
        <v>37</v>
      </c>
      <c r="G246" s="3">
        <f>+S246</f>
        <v>5</v>
      </c>
      <c r="H246" s="22">
        <f>+HOUR(V246)</f>
        <v>9</v>
      </c>
      <c r="I246" s="22">
        <f>IFERROR(VLOOKUP(B246,MATRICULAS!A:B,2,0),0)*1</f>
        <v>0</v>
      </c>
      <c r="J246" s="26">
        <v>20260518</v>
      </c>
      <c r="K246" s="26">
        <v>149242738</v>
      </c>
      <c r="L246" s="26" t="s">
        <v>134</v>
      </c>
      <c r="M246" s="26" t="s">
        <v>56</v>
      </c>
      <c r="N246" s="26">
        <v>0</v>
      </c>
      <c r="O246" s="26">
        <v>0</v>
      </c>
      <c r="P246" s="26" t="s">
        <v>57</v>
      </c>
      <c r="Q246" s="26">
        <v>150</v>
      </c>
      <c r="R246" s="26" t="s">
        <v>153</v>
      </c>
      <c r="S246" s="26">
        <v>5</v>
      </c>
      <c r="T246" s="26" t="s">
        <v>58</v>
      </c>
      <c r="U246" s="26" t="s">
        <v>59</v>
      </c>
      <c r="V246" s="28">
        <v>46160.397372685184</v>
      </c>
      <c r="W246" s="28">
        <v>46160.397372685184</v>
      </c>
      <c r="X246" s="28">
        <v>46160.39806712963</v>
      </c>
      <c r="Y246" s="26" t="s">
        <v>117</v>
      </c>
      <c r="Z246" s="26" t="s">
        <v>823</v>
      </c>
      <c r="AA246" s="26" t="s">
        <v>53</v>
      </c>
      <c r="AB246" s="26" t="s">
        <v>60</v>
      </c>
      <c r="AC246" s="26" t="s">
        <v>824</v>
      </c>
      <c r="AD246" s="26" t="s">
        <v>118</v>
      </c>
      <c r="AE246" s="26" t="s">
        <v>61</v>
      </c>
      <c r="AF246" s="26" t="s">
        <v>62</v>
      </c>
      <c r="AG246" s="26" t="s">
        <v>63</v>
      </c>
      <c r="AH246" s="26">
        <v>0</v>
      </c>
      <c r="AI246" s="26">
        <v>0</v>
      </c>
      <c r="AJ246" s="26">
        <v>0</v>
      </c>
      <c r="AK246" s="26">
        <v>0</v>
      </c>
      <c r="AL246" s="26" t="s">
        <v>64</v>
      </c>
      <c r="AM246" s="26">
        <v>3</v>
      </c>
      <c r="AN246" s="26">
        <v>61</v>
      </c>
      <c r="AO246" s="26" t="s">
        <v>65</v>
      </c>
      <c r="AP246" s="26">
        <v>37</v>
      </c>
      <c r="AQ246" s="26">
        <v>0</v>
      </c>
      <c r="AR246" s="26">
        <v>0</v>
      </c>
      <c r="AS246" s="26" t="s">
        <v>118</v>
      </c>
      <c r="AT246" s="26" t="s">
        <v>825</v>
      </c>
      <c r="AU246" s="29" t="s">
        <v>118</v>
      </c>
    </row>
    <row r="247" spans="1:47" x14ac:dyDescent="0.25">
      <c r="A247" s="7">
        <f>+CONCATENATE(DAY(V247),"/",MONTH(V247),"/",YEAR(V247),"")*1</f>
        <v>46160</v>
      </c>
      <c r="B247" s="23">
        <f>+Z247*1</f>
        <v>3816382634</v>
      </c>
      <c r="C247" s="21" t="str">
        <f>+AA247</f>
        <v>ENTRANTE</v>
      </c>
      <c r="D247" s="3" t="str">
        <f>VLOOKUP(Q247,Code!E:F,2,0)</f>
        <v>Admisiones</v>
      </c>
      <c r="E247" s="3" t="s">
        <v>55</v>
      </c>
      <c r="F247" s="3">
        <f>+AP247</f>
        <v>37</v>
      </c>
      <c r="G247" s="3">
        <f>+S247</f>
        <v>26</v>
      </c>
      <c r="H247" s="22">
        <f>+HOUR(V247)</f>
        <v>9</v>
      </c>
      <c r="I247" s="22">
        <f>IFERROR(VLOOKUP(B247,MATRICULAS!A:B,2,0),0)*1</f>
        <v>0</v>
      </c>
      <c r="J247" s="27">
        <v>20260518</v>
      </c>
      <c r="K247" s="27">
        <v>149242611</v>
      </c>
      <c r="L247" s="27" t="s">
        <v>134</v>
      </c>
      <c r="M247" s="27" t="s">
        <v>56</v>
      </c>
      <c r="N247" s="27">
        <v>0</v>
      </c>
      <c r="O247" s="27">
        <v>0</v>
      </c>
      <c r="P247" s="27" t="s">
        <v>57</v>
      </c>
      <c r="Q247" s="27">
        <v>150</v>
      </c>
      <c r="R247" s="27" t="s">
        <v>145</v>
      </c>
      <c r="S247" s="27">
        <v>26</v>
      </c>
      <c r="T247" s="27" t="s">
        <v>58</v>
      </c>
      <c r="U247" s="27" t="s">
        <v>59</v>
      </c>
      <c r="V247" s="30">
        <v>46160.394490740742</v>
      </c>
      <c r="W247" s="30">
        <v>46160.394490740742</v>
      </c>
      <c r="X247" s="30">
        <v>46160.403020833335</v>
      </c>
      <c r="Y247" s="27" t="s">
        <v>117</v>
      </c>
      <c r="Z247" s="27" t="s">
        <v>826</v>
      </c>
      <c r="AA247" s="27" t="s">
        <v>53</v>
      </c>
      <c r="AB247" s="27" t="s">
        <v>60</v>
      </c>
      <c r="AC247" s="27" t="s">
        <v>827</v>
      </c>
      <c r="AD247" s="27" t="s">
        <v>118</v>
      </c>
      <c r="AE247" s="27" t="s">
        <v>61</v>
      </c>
      <c r="AF247" s="27" t="s">
        <v>62</v>
      </c>
      <c r="AG247" s="27" t="s">
        <v>63</v>
      </c>
      <c r="AH247" s="27">
        <v>0</v>
      </c>
      <c r="AI247" s="27">
        <v>0</v>
      </c>
      <c r="AJ247" s="27">
        <v>0</v>
      </c>
      <c r="AK247" s="27">
        <v>0</v>
      </c>
      <c r="AL247" s="27" t="s">
        <v>64</v>
      </c>
      <c r="AM247" s="27">
        <v>3</v>
      </c>
      <c r="AN247" s="27">
        <v>737</v>
      </c>
      <c r="AO247" s="27" t="s">
        <v>65</v>
      </c>
      <c r="AP247" s="27">
        <v>37</v>
      </c>
      <c r="AQ247" s="27">
        <v>0</v>
      </c>
      <c r="AR247" s="27">
        <v>0</v>
      </c>
      <c r="AS247" s="27" t="s">
        <v>118</v>
      </c>
      <c r="AT247" s="27" t="s">
        <v>828</v>
      </c>
      <c r="AU247" s="31" t="s">
        <v>118</v>
      </c>
    </row>
    <row r="248" spans="1:47" x14ac:dyDescent="0.25">
      <c r="A248" s="7">
        <f>+CONCATENATE(DAY(V248),"/",MONTH(V248),"/",YEAR(V248),"")*1</f>
        <v>46161</v>
      </c>
      <c r="B248" s="23">
        <f>+Z248*1</f>
        <v>2974052532</v>
      </c>
      <c r="C248" s="21" t="str">
        <f>+AA248</f>
        <v>ENTRANTE</v>
      </c>
      <c r="D248" s="3" t="str">
        <f>VLOOKUP(Q248,Code!E:F,2,0)</f>
        <v>Admisiones</v>
      </c>
      <c r="E248" s="3" t="s">
        <v>55</v>
      </c>
      <c r="F248" s="3">
        <f>+AP248</f>
        <v>37</v>
      </c>
      <c r="G248" s="3">
        <f>+S248</f>
        <v>27</v>
      </c>
      <c r="H248" s="22">
        <f>+HOUR(V248)</f>
        <v>19</v>
      </c>
      <c r="I248" s="22">
        <f>IFERROR(VLOOKUP(B248,MATRICULAS!A:B,2,0),0)*1</f>
        <v>0</v>
      </c>
      <c r="J248" s="27">
        <v>20260519</v>
      </c>
      <c r="K248" s="27">
        <v>149290206</v>
      </c>
      <c r="L248" s="27" t="s">
        <v>134</v>
      </c>
      <c r="M248" s="27" t="s">
        <v>56</v>
      </c>
      <c r="N248" s="27">
        <v>0</v>
      </c>
      <c r="O248" s="27">
        <v>0</v>
      </c>
      <c r="P248" s="27" t="s">
        <v>57</v>
      </c>
      <c r="Q248" s="27">
        <v>150</v>
      </c>
      <c r="R248" s="27" t="s">
        <v>174</v>
      </c>
      <c r="S248" s="27">
        <v>27</v>
      </c>
      <c r="T248" s="27" t="s">
        <v>58</v>
      </c>
      <c r="U248" s="27" t="s">
        <v>59</v>
      </c>
      <c r="V248" s="30">
        <v>46161.828703703701</v>
      </c>
      <c r="W248" s="30">
        <v>46161.828703703701</v>
      </c>
      <c r="X248" s="30">
        <v>46161.841412037036</v>
      </c>
      <c r="Y248" s="27" t="s">
        <v>117</v>
      </c>
      <c r="Z248" s="27" t="s">
        <v>666</v>
      </c>
      <c r="AA248" s="27" t="s">
        <v>53</v>
      </c>
      <c r="AB248" s="27" t="s">
        <v>60</v>
      </c>
      <c r="AC248" s="27" t="s">
        <v>667</v>
      </c>
      <c r="AD248" s="27" t="s">
        <v>118</v>
      </c>
      <c r="AE248" s="27" t="s">
        <v>61</v>
      </c>
      <c r="AF248" s="27" t="s">
        <v>62</v>
      </c>
      <c r="AG248" s="27" t="s">
        <v>63</v>
      </c>
      <c r="AH248" s="27">
        <v>0</v>
      </c>
      <c r="AI248" s="27">
        <v>0</v>
      </c>
      <c r="AJ248" s="27">
        <v>0</v>
      </c>
      <c r="AK248" s="27">
        <v>0</v>
      </c>
      <c r="AL248" s="27" t="s">
        <v>64</v>
      </c>
      <c r="AM248" s="27">
        <v>3</v>
      </c>
      <c r="AN248" s="27">
        <v>1098</v>
      </c>
      <c r="AO248" s="27" t="s">
        <v>65</v>
      </c>
      <c r="AP248" s="27">
        <v>37</v>
      </c>
      <c r="AQ248" s="27">
        <v>201</v>
      </c>
      <c r="AR248" s="27">
        <v>2501430</v>
      </c>
      <c r="AS248" s="27" t="s">
        <v>118</v>
      </c>
      <c r="AT248" s="27" t="s">
        <v>668</v>
      </c>
      <c r="AU248" s="31" t="s">
        <v>118</v>
      </c>
    </row>
    <row r="249" spans="1:47" x14ac:dyDescent="0.25">
      <c r="A249" s="7">
        <f>+CONCATENATE(DAY(V249),"/",MONTH(V249),"/",YEAR(V249),"")*1</f>
        <v>46161</v>
      </c>
      <c r="B249" s="23">
        <f>+Z249*1</f>
        <v>3518641628</v>
      </c>
      <c r="C249" s="21" t="str">
        <f>+AA249</f>
        <v>ENTRANTE</v>
      </c>
      <c r="D249" s="3" t="str">
        <f>VLOOKUP(Q249,Code!E:F,2,0)</f>
        <v>Admisiones</v>
      </c>
      <c r="E249" s="3" t="s">
        <v>55</v>
      </c>
      <c r="F249" s="3">
        <f>+AP249</f>
        <v>37</v>
      </c>
      <c r="G249" s="3">
        <f>+S249</f>
        <v>27</v>
      </c>
      <c r="H249" s="22">
        <f>+HOUR(V249)</f>
        <v>18</v>
      </c>
      <c r="I249" s="22">
        <f>IFERROR(VLOOKUP(B249,MATRICULAS!A:B,2,0),0)*1</f>
        <v>0</v>
      </c>
      <c r="J249" s="26">
        <v>20260519</v>
      </c>
      <c r="K249" s="26">
        <v>149287513</v>
      </c>
      <c r="L249" s="26" t="s">
        <v>134</v>
      </c>
      <c r="M249" s="26" t="s">
        <v>56</v>
      </c>
      <c r="N249" s="26">
        <v>0</v>
      </c>
      <c r="O249" s="26">
        <v>0</v>
      </c>
      <c r="P249" s="26" t="s">
        <v>57</v>
      </c>
      <c r="Q249" s="26">
        <v>150</v>
      </c>
      <c r="R249" s="26" t="s">
        <v>152</v>
      </c>
      <c r="S249" s="26">
        <v>27</v>
      </c>
      <c r="T249" s="26" t="s">
        <v>58</v>
      </c>
      <c r="U249" s="26" t="s">
        <v>59</v>
      </c>
      <c r="V249" s="28">
        <v>46161.771597222221</v>
      </c>
      <c r="W249" s="28">
        <v>46161.771597222221</v>
      </c>
      <c r="X249" s="28">
        <v>46161.771840277775</v>
      </c>
      <c r="Y249" s="26" t="s">
        <v>117</v>
      </c>
      <c r="Z249" s="26" t="s">
        <v>669</v>
      </c>
      <c r="AA249" s="26" t="s">
        <v>53</v>
      </c>
      <c r="AB249" s="26" t="s">
        <v>60</v>
      </c>
      <c r="AC249" s="26" t="s">
        <v>118</v>
      </c>
      <c r="AD249" s="26" t="s">
        <v>118</v>
      </c>
      <c r="AE249" s="26" t="s">
        <v>70</v>
      </c>
      <c r="AF249" s="26" t="s">
        <v>130</v>
      </c>
      <c r="AG249" s="26" t="s">
        <v>130</v>
      </c>
      <c r="AH249" s="26">
        <v>0</v>
      </c>
      <c r="AI249" s="26">
        <v>0</v>
      </c>
      <c r="AJ249" s="26">
        <v>0</v>
      </c>
      <c r="AK249" s="26">
        <v>0</v>
      </c>
      <c r="AL249" s="26" t="s">
        <v>64</v>
      </c>
      <c r="AM249" s="26">
        <v>3</v>
      </c>
      <c r="AN249" s="26">
        <v>21</v>
      </c>
      <c r="AO249" s="26" t="s">
        <v>65</v>
      </c>
      <c r="AP249" s="26">
        <v>37</v>
      </c>
      <c r="AQ249" s="26">
        <v>0</v>
      </c>
      <c r="AR249" s="26">
        <v>0</v>
      </c>
      <c r="AS249" s="26" t="s">
        <v>118</v>
      </c>
      <c r="AT249" s="26" t="s">
        <v>670</v>
      </c>
      <c r="AU249" s="29" t="s">
        <v>118</v>
      </c>
    </row>
    <row r="250" spans="1:47" x14ac:dyDescent="0.25">
      <c r="A250" s="7">
        <f>+CONCATENATE(DAY(V250),"/",MONTH(V250),"/",YEAR(V250),"")*1</f>
        <v>46161</v>
      </c>
      <c r="B250" s="23">
        <f>+Z250*1</f>
        <v>2995130423</v>
      </c>
      <c r="C250" s="21" t="str">
        <f>+AA250</f>
        <v>ENTRANTE</v>
      </c>
      <c r="D250" s="3" t="str">
        <f>VLOOKUP(Q250,Code!E:F,2,0)</f>
        <v>Admisiones</v>
      </c>
      <c r="E250" s="3" t="s">
        <v>55</v>
      </c>
      <c r="F250" s="3">
        <f>+AP250</f>
        <v>37</v>
      </c>
      <c r="G250" s="3">
        <f>+S250</f>
        <v>27</v>
      </c>
      <c r="H250" s="22">
        <f>+HOUR(V250)</f>
        <v>18</v>
      </c>
      <c r="I250" s="22">
        <f>IFERROR(VLOOKUP(B250,MATRICULAS!A:B,2,0),0)*1</f>
        <v>0</v>
      </c>
      <c r="J250" s="27">
        <v>20260519</v>
      </c>
      <c r="K250" s="27">
        <v>149287395</v>
      </c>
      <c r="L250" s="27" t="s">
        <v>134</v>
      </c>
      <c r="M250" s="27" t="s">
        <v>56</v>
      </c>
      <c r="N250" s="27">
        <v>0</v>
      </c>
      <c r="O250" s="27">
        <v>0</v>
      </c>
      <c r="P250" s="27" t="s">
        <v>57</v>
      </c>
      <c r="Q250" s="27">
        <v>150</v>
      </c>
      <c r="R250" s="27" t="s">
        <v>163</v>
      </c>
      <c r="S250" s="27">
        <v>27</v>
      </c>
      <c r="T250" s="27" t="s">
        <v>58</v>
      </c>
      <c r="U250" s="27" t="s">
        <v>59</v>
      </c>
      <c r="V250" s="30">
        <v>46161.767916666664</v>
      </c>
      <c r="W250" s="30">
        <v>46161.767928240741</v>
      </c>
      <c r="X250" s="30">
        <v>46161.774178240739</v>
      </c>
      <c r="Y250" s="27" t="s">
        <v>117</v>
      </c>
      <c r="Z250" s="27" t="s">
        <v>671</v>
      </c>
      <c r="AA250" s="27" t="s">
        <v>53</v>
      </c>
      <c r="AB250" s="27" t="s">
        <v>60</v>
      </c>
      <c r="AC250" s="27" t="s">
        <v>672</v>
      </c>
      <c r="AD250" s="27" t="s">
        <v>118</v>
      </c>
      <c r="AE250" s="27" t="s">
        <v>61</v>
      </c>
      <c r="AF250" s="27" t="s">
        <v>62</v>
      </c>
      <c r="AG250" s="27" t="s">
        <v>63</v>
      </c>
      <c r="AH250" s="27">
        <v>0</v>
      </c>
      <c r="AI250" s="27">
        <v>0</v>
      </c>
      <c r="AJ250" s="27">
        <v>0</v>
      </c>
      <c r="AK250" s="27">
        <v>0</v>
      </c>
      <c r="AL250" s="27" t="s">
        <v>64</v>
      </c>
      <c r="AM250" s="27">
        <v>3</v>
      </c>
      <c r="AN250" s="27">
        <v>541</v>
      </c>
      <c r="AO250" s="27" t="s">
        <v>65</v>
      </c>
      <c r="AP250" s="27">
        <v>37</v>
      </c>
      <c r="AQ250" s="27">
        <v>1</v>
      </c>
      <c r="AR250" s="27">
        <v>852191</v>
      </c>
      <c r="AS250" s="27" t="s">
        <v>673</v>
      </c>
      <c r="AT250" s="27" t="s">
        <v>674</v>
      </c>
      <c r="AU250" s="31" t="s">
        <v>118</v>
      </c>
    </row>
    <row r="251" spans="1:47" x14ac:dyDescent="0.25">
      <c r="A251" s="7">
        <f>+CONCATENATE(DAY(V251),"/",MONTH(V251),"/",YEAR(V251),"")*1</f>
        <v>46161</v>
      </c>
      <c r="B251" s="23">
        <f>+Z251*1</f>
        <v>3547630445</v>
      </c>
      <c r="C251" s="21" t="str">
        <f>+AA251</f>
        <v>ENTRANTE</v>
      </c>
      <c r="D251" s="3" t="str">
        <f>VLOOKUP(Q251,Code!E:F,2,0)</f>
        <v>Admisiones</v>
      </c>
      <c r="E251" s="3" t="s">
        <v>55</v>
      </c>
      <c r="F251" s="3">
        <f>+AP251</f>
        <v>37</v>
      </c>
      <c r="G251" s="3">
        <f>+S251</f>
        <v>27</v>
      </c>
      <c r="H251" s="22">
        <f>+HOUR(V251)</f>
        <v>18</v>
      </c>
      <c r="I251" s="22">
        <f>IFERROR(VLOOKUP(B251,MATRICULAS!A:B,2,0),0)*1</f>
        <v>1</v>
      </c>
      <c r="J251" s="26">
        <v>20260519</v>
      </c>
      <c r="K251" s="26">
        <v>149287042</v>
      </c>
      <c r="L251" s="26" t="s">
        <v>134</v>
      </c>
      <c r="M251" s="26" t="s">
        <v>56</v>
      </c>
      <c r="N251" s="26">
        <v>0</v>
      </c>
      <c r="O251" s="26">
        <v>0</v>
      </c>
      <c r="P251" s="26" t="s">
        <v>57</v>
      </c>
      <c r="Q251" s="26">
        <v>150</v>
      </c>
      <c r="R251" s="26" t="s">
        <v>174</v>
      </c>
      <c r="S251" s="26">
        <v>27</v>
      </c>
      <c r="T251" s="26" t="s">
        <v>58</v>
      </c>
      <c r="U251" s="26" t="s">
        <v>59</v>
      </c>
      <c r="V251" s="28">
        <v>46161.765324074076</v>
      </c>
      <c r="W251" s="28">
        <v>46161.765335648146</v>
      </c>
      <c r="X251" s="28">
        <v>46161.778263888889</v>
      </c>
      <c r="Y251" s="26" t="s">
        <v>117</v>
      </c>
      <c r="Z251" s="26" t="s">
        <v>675</v>
      </c>
      <c r="AA251" s="26" t="s">
        <v>53</v>
      </c>
      <c r="AB251" s="26" t="s">
        <v>60</v>
      </c>
      <c r="AC251" s="26" t="s">
        <v>676</v>
      </c>
      <c r="AD251" s="26" t="s">
        <v>118</v>
      </c>
      <c r="AE251" s="26" t="s">
        <v>61</v>
      </c>
      <c r="AF251" s="26" t="s">
        <v>62</v>
      </c>
      <c r="AG251" s="26" t="s">
        <v>63</v>
      </c>
      <c r="AH251" s="26">
        <v>0</v>
      </c>
      <c r="AI251" s="26">
        <v>0</v>
      </c>
      <c r="AJ251" s="26">
        <v>0</v>
      </c>
      <c r="AK251" s="26">
        <v>0</v>
      </c>
      <c r="AL251" s="26" t="s">
        <v>64</v>
      </c>
      <c r="AM251" s="26">
        <v>3</v>
      </c>
      <c r="AN251" s="26">
        <v>1118</v>
      </c>
      <c r="AO251" s="26" t="s">
        <v>65</v>
      </c>
      <c r="AP251" s="26">
        <v>37</v>
      </c>
      <c r="AQ251" s="26">
        <v>201</v>
      </c>
      <c r="AR251" s="26">
        <v>2500997</v>
      </c>
      <c r="AS251" s="26" t="s">
        <v>118</v>
      </c>
      <c r="AT251" s="26" t="s">
        <v>677</v>
      </c>
      <c r="AU251" s="29" t="s">
        <v>118</v>
      </c>
    </row>
    <row r="252" spans="1:47" x14ac:dyDescent="0.25">
      <c r="A252" s="7">
        <f>+CONCATENATE(DAY(V252),"/",MONTH(V252),"/",YEAR(V252),"")*1</f>
        <v>46161</v>
      </c>
      <c r="B252" s="23">
        <f>+Z252*1</f>
        <v>2915273230</v>
      </c>
      <c r="C252" s="21" t="str">
        <f>+AA252</f>
        <v>ENTRANTE</v>
      </c>
      <c r="D252" s="3" t="str">
        <f>VLOOKUP(Q252,Code!E:F,2,0)</f>
        <v>Admisiones</v>
      </c>
      <c r="E252" s="3" t="s">
        <v>55</v>
      </c>
      <c r="F252" s="3">
        <f>+AP252</f>
        <v>37</v>
      </c>
      <c r="G252" s="3">
        <f>+S252</f>
        <v>27</v>
      </c>
      <c r="H252" s="22">
        <f>+HOUR(V252)</f>
        <v>17</v>
      </c>
      <c r="I252" s="22">
        <f>IFERROR(VLOOKUP(B252,MATRICULAS!A:B,2,0),0)*1</f>
        <v>0</v>
      </c>
      <c r="J252" s="27">
        <v>20260519</v>
      </c>
      <c r="K252" s="27">
        <v>149285111</v>
      </c>
      <c r="L252" s="27" t="s">
        <v>134</v>
      </c>
      <c r="M252" s="27" t="s">
        <v>56</v>
      </c>
      <c r="N252" s="27">
        <v>0</v>
      </c>
      <c r="O252" s="27">
        <v>0</v>
      </c>
      <c r="P252" s="27" t="s">
        <v>57</v>
      </c>
      <c r="Q252" s="27">
        <v>150</v>
      </c>
      <c r="R252" s="27" t="s">
        <v>174</v>
      </c>
      <c r="S252" s="27">
        <v>27</v>
      </c>
      <c r="T252" s="27" t="s">
        <v>58</v>
      </c>
      <c r="U252" s="27" t="s">
        <v>59</v>
      </c>
      <c r="V252" s="30">
        <v>46161.747708333336</v>
      </c>
      <c r="W252" s="30">
        <v>46161.747708333336</v>
      </c>
      <c r="X252" s="30">
        <v>46161.749305555553</v>
      </c>
      <c r="Y252" s="27" t="s">
        <v>117</v>
      </c>
      <c r="Z252" s="27" t="s">
        <v>678</v>
      </c>
      <c r="AA252" s="27" t="s">
        <v>53</v>
      </c>
      <c r="AB252" s="27" t="s">
        <v>60</v>
      </c>
      <c r="AC252" s="27" t="s">
        <v>679</v>
      </c>
      <c r="AD252" s="27" t="s">
        <v>118</v>
      </c>
      <c r="AE252" s="27" t="s">
        <v>70</v>
      </c>
      <c r="AF252" s="27" t="s">
        <v>126</v>
      </c>
      <c r="AG252" s="27" t="s">
        <v>166</v>
      </c>
      <c r="AH252" s="27">
        <v>0</v>
      </c>
      <c r="AI252" s="27">
        <v>0</v>
      </c>
      <c r="AJ252" s="27">
        <v>0</v>
      </c>
      <c r="AK252" s="27">
        <v>0</v>
      </c>
      <c r="AL252" s="27" t="s">
        <v>64</v>
      </c>
      <c r="AM252" s="27">
        <v>3</v>
      </c>
      <c r="AN252" s="27">
        <v>139</v>
      </c>
      <c r="AO252" s="27" t="s">
        <v>65</v>
      </c>
      <c r="AP252" s="27">
        <v>37</v>
      </c>
      <c r="AQ252" s="27">
        <v>73</v>
      </c>
      <c r="AR252" s="27">
        <v>1927147</v>
      </c>
      <c r="AS252" s="27" t="s">
        <v>680</v>
      </c>
      <c r="AT252" s="27" t="s">
        <v>681</v>
      </c>
      <c r="AU252" s="31" t="s">
        <v>118</v>
      </c>
    </row>
    <row r="253" spans="1:47" x14ac:dyDescent="0.25">
      <c r="A253" s="7">
        <f>+CONCATENATE(DAY(V253),"/",MONTH(V253),"/",YEAR(V253),"")*1</f>
        <v>46161</v>
      </c>
      <c r="B253" s="23">
        <f>+Z253*1</f>
        <v>1140850630</v>
      </c>
      <c r="C253" s="21" t="str">
        <f>+AA253</f>
        <v>ENTRANTE</v>
      </c>
      <c r="D253" s="3" t="str">
        <f>VLOOKUP(Q253,Code!E:F,2,0)</f>
        <v>Admisiones</v>
      </c>
      <c r="E253" s="3" t="s">
        <v>55</v>
      </c>
      <c r="F253" s="3">
        <f>+AP253</f>
        <v>37</v>
      </c>
      <c r="G253" s="3">
        <f>+S253</f>
        <v>27</v>
      </c>
      <c r="H253" s="22">
        <f>+HOUR(V253)</f>
        <v>17</v>
      </c>
      <c r="I253" s="22">
        <f>IFERROR(VLOOKUP(B253,MATRICULAS!A:B,2,0),0)*1</f>
        <v>1</v>
      </c>
      <c r="J253" s="27">
        <v>20260519</v>
      </c>
      <c r="K253" s="27">
        <v>149284452</v>
      </c>
      <c r="L253" s="27" t="s">
        <v>134</v>
      </c>
      <c r="M253" s="27" t="s">
        <v>56</v>
      </c>
      <c r="N253" s="27">
        <v>0</v>
      </c>
      <c r="O253" s="27">
        <v>0</v>
      </c>
      <c r="P253" s="27" t="s">
        <v>57</v>
      </c>
      <c r="Q253" s="27">
        <v>150</v>
      </c>
      <c r="R253" s="27" t="s">
        <v>162</v>
      </c>
      <c r="S253" s="27">
        <v>27</v>
      </c>
      <c r="T253" s="27" t="s">
        <v>58</v>
      </c>
      <c r="U253" s="27" t="s">
        <v>59</v>
      </c>
      <c r="V253" s="30">
        <v>46161.73982638889</v>
      </c>
      <c r="W253" s="30">
        <v>46161.73982638889</v>
      </c>
      <c r="X253" s="30">
        <v>46161.755671296298</v>
      </c>
      <c r="Y253" s="27" t="s">
        <v>117</v>
      </c>
      <c r="Z253" s="27" t="s">
        <v>683</v>
      </c>
      <c r="AA253" s="27" t="s">
        <v>53</v>
      </c>
      <c r="AB253" s="27" t="s">
        <v>60</v>
      </c>
      <c r="AC253" s="27" t="s">
        <v>684</v>
      </c>
      <c r="AD253" s="27" t="s">
        <v>118</v>
      </c>
      <c r="AE253" s="27" t="s">
        <v>61</v>
      </c>
      <c r="AF253" s="27" t="s">
        <v>62</v>
      </c>
      <c r="AG253" s="27" t="s">
        <v>63</v>
      </c>
      <c r="AH253" s="27">
        <v>0</v>
      </c>
      <c r="AI253" s="27">
        <v>0</v>
      </c>
      <c r="AJ253" s="27">
        <v>0</v>
      </c>
      <c r="AK253" s="27">
        <v>0</v>
      </c>
      <c r="AL253" s="27" t="s">
        <v>64</v>
      </c>
      <c r="AM253" s="27">
        <v>3</v>
      </c>
      <c r="AN253" s="27">
        <v>1370</v>
      </c>
      <c r="AO253" s="27" t="s">
        <v>65</v>
      </c>
      <c r="AP253" s="27">
        <v>37</v>
      </c>
      <c r="AQ253" s="27">
        <v>164</v>
      </c>
      <c r="AR253" s="27">
        <v>2501357</v>
      </c>
      <c r="AS253" s="27" t="s">
        <v>685</v>
      </c>
      <c r="AT253" s="27" t="s">
        <v>686</v>
      </c>
      <c r="AU253" s="31" t="s">
        <v>118</v>
      </c>
    </row>
    <row r="254" spans="1:47" x14ac:dyDescent="0.25">
      <c r="A254" s="7">
        <f>+CONCATENATE(DAY(V254),"/",MONTH(V254),"/",YEAR(V254),"")*1</f>
        <v>46161</v>
      </c>
      <c r="B254" s="23">
        <f>+Z254*1</f>
        <v>2616303418</v>
      </c>
      <c r="C254" s="21" t="str">
        <f>+AA254</f>
        <v>ENTRANTE</v>
      </c>
      <c r="D254" s="3" t="str">
        <f>VLOOKUP(Q254,Code!E:F,2,0)</f>
        <v>Admisiones</v>
      </c>
      <c r="E254" s="3" t="s">
        <v>55</v>
      </c>
      <c r="F254" s="3">
        <f>+AP254</f>
        <v>37</v>
      </c>
      <c r="G254" s="3">
        <f>+S254</f>
        <v>27</v>
      </c>
      <c r="H254" s="22">
        <f>+HOUR(V254)</f>
        <v>17</v>
      </c>
      <c r="I254" s="22">
        <f>IFERROR(VLOOKUP(B254,MATRICULAS!A:B,2,0),0)*1</f>
        <v>0</v>
      </c>
      <c r="J254" s="26">
        <v>20260519</v>
      </c>
      <c r="K254" s="26">
        <v>149284200</v>
      </c>
      <c r="L254" s="26" t="s">
        <v>134</v>
      </c>
      <c r="M254" s="26" t="s">
        <v>56</v>
      </c>
      <c r="N254" s="26">
        <v>0</v>
      </c>
      <c r="O254" s="26">
        <v>0</v>
      </c>
      <c r="P254" s="26" t="s">
        <v>57</v>
      </c>
      <c r="Q254" s="26">
        <v>150</v>
      </c>
      <c r="R254" s="26" t="s">
        <v>174</v>
      </c>
      <c r="S254" s="26">
        <v>27</v>
      </c>
      <c r="T254" s="26" t="s">
        <v>58</v>
      </c>
      <c r="U254" s="26" t="s">
        <v>59</v>
      </c>
      <c r="V254" s="28">
        <v>46161.736493055556</v>
      </c>
      <c r="W254" s="28">
        <v>46161.736493055556</v>
      </c>
      <c r="X254" s="28">
        <v>46161.741481481484</v>
      </c>
      <c r="Y254" s="26" t="s">
        <v>117</v>
      </c>
      <c r="Z254" s="26" t="s">
        <v>687</v>
      </c>
      <c r="AA254" s="26" t="s">
        <v>53</v>
      </c>
      <c r="AB254" s="26" t="s">
        <v>60</v>
      </c>
      <c r="AC254" s="26" t="s">
        <v>688</v>
      </c>
      <c r="AD254" s="26" t="s">
        <v>118</v>
      </c>
      <c r="AE254" s="26" t="s">
        <v>61</v>
      </c>
      <c r="AF254" s="26" t="s">
        <v>62</v>
      </c>
      <c r="AG254" s="26" t="s">
        <v>63</v>
      </c>
      <c r="AH254" s="26">
        <v>0</v>
      </c>
      <c r="AI254" s="26">
        <v>0</v>
      </c>
      <c r="AJ254" s="26">
        <v>0</v>
      </c>
      <c r="AK254" s="26">
        <v>0</v>
      </c>
      <c r="AL254" s="26" t="s">
        <v>64</v>
      </c>
      <c r="AM254" s="26">
        <v>3</v>
      </c>
      <c r="AN254" s="26">
        <v>432</v>
      </c>
      <c r="AO254" s="26" t="s">
        <v>65</v>
      </c>
      <c r="AP254" s="26">
        <v>37</v>
      </c>
      <c r="AQ254" s="26">
        <v>1</v>
      </c>
      <c r="AR254" s="26">
        <v>2501349</v>
      </c>
      <c r="AS254" s="26" t="s">
        <v>118</v>
      </c>
      <c r="AT254" s="26" t="s">
        <v>689</v>
      </c>
      <c r="AU254" s="29" t="s">
        <v>118</v>
      </c>
    </row>
    <row r="255" spans="1:47" x14ac:dyDescent="0.25">
      <c r="A255" s="7">
        <f>+CONCATENATE(DAY(V255),"/",MONTH(V255),"/",YEAR(V255),"")*1</f>
        <v>46161</v>
      </c>
      <c r="B255" s="23">
        <f>+Z255*1</f>
        <v>1170248700</v>
      </c>
      <c r="C255" s="21" t="str">
        <f>+AA255</f>
        <v>ENTRANTE</v>
      </c>
      <c r="D255" s="3" t="str">
        <f>VLOOKUP(Q255,Code!E:F,2,0)</f>
        <v>Admisiones</v>
      </c>
      <c r="E255" s="3" t="s">
        <v>55</v>
      </c>
      <c r="F255" s="3">
        <f>+AP255</f>
        <v>37</v>
      </c>
      <c r="G255" s="3">
        <f>+S255</f>
        <v>27</v>
      </c>
      <c r="H255" s="22">
        <f>+HOUR(V255)</f>
        <v>17</v>
      </c>
      <c r="I255" s="22">
        <f>IFERROR(VLOOKUP(B255,MATRICULAS!A:B,2,0),0)*1</f>
        <v>0</v>
      </c>
      <c r="J255" s="27">
        <v>20260519</v>
      </c>
      <c r="K255" s="27">
        <v>149283251</v>
      </c>
      <c r="L255" s="27" t="s">
        <v>134</v>
      </c>
      <c r="M255" s="27" t="s">
        <v>56</v>
      </c>
      <c r="N255" s="27">
        <v>0</v>
      </c>
      <c r="O255" s="27">
        <v>0</v>
      </c>
      <c r="P255" s="27" t="s">
        <v>57</v>
      </c>
      <c r="Q255" s="27">
        <v>150</v>
      </c>
      <c r="R255" s="27" t="s">
        <v>174</v>
      </c>
      <c r="S255" s="27">
        <v>27</v>
      </c>
      <c r="T255" s="27" t="s">
        <v>58</v>
      </c>
      <c r="U255" s="27" t="s">
        <v>59</v>
      </c>
      <c r="V255" s="30">
        <v>46161.723194444443</v>
      </c>
      <c r="W255" s="30">
        <v>46161.723194444443</v>
      </c>
      <c r="X255" s="30">
        <v>46161.724143518521</v>
      </c>
      <c r="Y255" s="27" t="s">
        <v>117</v>
      </c>
      <c r="Z255" s="27" t="s">
        <v>690</v>
      </c>
      <c r="AA255" s="27" t="s">
        <v>53</v>
      </c>
      <c r="AB255" s="27" t="s">
        <v>60</v>
      </c>
      <c r="AC255" s="27" t="s">
        <v>691</v>
      </c>
      <c r="AD255" s="27" t="s">
        <v>118</v>
      </c>
      <c r="AE255" s="27" t="s">
        <v>66</v>
      </c>
      <c r="AF255" s="27" t="s">
        <v>67</v>
      </c>
      <c r="AG255" s="27" t="s">
        <v>67</v>
      </c>
      <c r="AH255" s="27">
        <v>0</v>
      </c>
      <c r="AI255" s="27">
        <v>0</v>
      </c>
      <c r="AJ255" s="27">
        <v>0</v>
      </c>
      <c r="AK255" s="27">
        <v>0</v>
      </c>
      <c r="AL255" s="27" t="s">
        <v>64</v>
      </c>
      <c r="AM255" s="27">
        <v>3</v>
      </c>
      <c r="AN255" s="27">
        <v>82</v>
      </c>
      <c r="AO255" s="27" t="s">
        <v>65</v>
      </c>
      <c r="AP255" s="27">
        <v>37</v>
      </c>
      <c r="AQ255" s="27">
        <v>1</v>
      </c>
      <c r="AR255" s="27">
        <v>2501326</v>
      </c>
      <c r="AS255" s="27" t="s">
        <v>118</v>
      </c>
      <c r="AT255" s="27" t="s">
        <v>692</v>
      </c>
      <c r="AU255" s="31" t="s">
        <v>118</v>
      </c>
    </row>
    <row r="256" spans="1:47" x14ac:dyDescent="0.25">
      <c r="A256" s="7">
        <f>+CONCATENATE(DAY(V256),"/",MONTH(V256),"/",YEAR(V256),"")*1</f>
        <v>46161</v>
      </c>
      <c r="B256" s="23">
        <f>+Z256*1</f>
        <v>3548588929</v>
      </c>
      <c r="C256" s="21" t="str">
        <f>+AA256</f>
        <v>ENTRANTE</v>
      </c>
      <c r="D256" s="3" t="str">
        <f>VLOOKUP(Q256,Code!E:F,2,0)</f>
        <v>Admisiones</v>
      </c>
      <c r="E256" s="3" t="s">
        <v>55</v>
      </c>
      <c r="F256" s="3">
        <f>+AP256</f>
        <v>37</v>
      </c>
      <c r="G256" s="3">
        <f>+S256</f>
        <v>27</v>
      </c>
      <c r="H256" s="22">
        <f>+HOUR(V256)</f>
        <v>16</v>
      </c>
      <c r="I256" s="22">
        <f>IFERROR(VLOOKUP(B256,MATRICULAS!A:B,2,0),0)*1</f>
        <v>0</v>
      </c>
      <c r="J256" s="26">
        <v>20260519</v>
      </c>
      <c r="K256" s="26">
        <v>149281905</v>
      </c>
      <c r="L256" s="26" t="s">
        <v>134</v>
      </c>
      <c r="M256" s="26" t="s">
        <v>56</v>
      </c>
      <c r="N256" s="26">
        <v>0</v>
      </c>
      <c r="O256" s="26">
        <v>0</v>
      </c>
      <c r="P256" s="26" t="s">
        <v>57</v>
      </c>
      <c r="Q256" s="26">
        <v>150</v>
      </c>
      <c r="R256" s="26" t="s">
        <v>174</v>
      </c>
      <c r="S256" s="26">
        <v>27</v>
      </c>
      <c r="T256" s="26" t="s">
        <v>58</v>
      </c>
      <c r="U256" s="26" t="s">
        <v>59</v>
      </c>
      <c r="V256" s="28">
        <v>46161.707627314812</v>
      </c>
      <c r="W256" s="28">
        <v>46161.707627314812</v>
      </c>
      <c r="X256" s="28">
        <v>46161.711747685185</v>
      </c>
      <c r="Y256" s="26" t="s">
        <v>117</v>
      </c>
      <c r="Z256" s="26" t="s">
        <v>693</v>
      </c>
      <c r="AA256" s="26" t="s">
        <v>53</v>
      </c>
      <c r="AB256" s="26" t="s">
        <v>60</v>
      </c>
      <c r="AC256" s="26" t="s">
        <v>694</v>
      </c>
      <c r="AD256" s="26" t="s">
        <v>118</v>
      </c>
      <c r="AE256" s="26" t="s">
        <v>61</v>
      </c>
      <c r="AF256" s="26" t="s">
        <v>62</v>
      </c>
      <c r="AG256" s="26" t="s">
        <v>63</v>
      </c>
      <c r="AH256" s="26">
        <v>0</v>
      </c>
      <c r="AI256" s="26">
        <v>0</v>
      </c>
      <c r="AJ256" s="26">
        <v>0</v>
      </c>
      <c r="AK256" s="26">
        <v>0</v>
      </c>
      <c r="AL256" s="26" t="s">
        <v>64</v>
      </c>
      <c r="AM256" s="26">
        <v>3</v>
      </c>
      <c r="AN256" s="26">
        <v>356</v>
      </c>
      <c r="AO256" s="26" t="s">
        <v>65</v>
      </c>
      <c r="AP256" s="26">
        <v>37</v>
      </c>
      <c r="AQ256" s="26">
        <v>1</v>
      </c>
      <c r="AR256" s="26">
        <v>2501312</v>
      </c>
      <c r="AS256" s="26" t="s">
        <v>118</v>
      </c>
      <c r="AT256" s="26" t="s">
        <v>695</v>
      </c>
      <c r="AU256" s="29" t="s">
        <v>118</v>
      </c>
    </row>
    <row r="257" spans="1:47" x14ac:dyDescent="0.25">
      <c r="A257" s="7">
        <f>+CONCATENATE(DAY(V257),"/",MONTH(V257),"/",YEAR(V257),"")*1</f>
        <v>46161</v>
      </c>
      <c r="B257" s="23">
        <f>+Z257*1</f>
        <v>1158492987</v>
      </c>
      <c r="C257" s="21" t="str">
        <f>+AA257</f>
        <v>ENTRANTE</v>
      </c>
      <c r="D257" s="3" t="str">
        <f>VLOOKUP(Q257,Code!E:F,2,0)</f>
        <v>Admisiones</v>
      </c>
      <c r="E257" s="3" t="s">
        <v>55</v>
      </c>
      <c r="F257" s="3">
        <f>+AP257</f>
        <v>37</v>
      </c>
      <c r="G257" s="3">
        <f>+S257</f>
        <v>27</v>
      </c>
      <c r="H257" s="22">
        <f>+HOUR(V257)</f>
        <v>16</v>
      </c>
      <c r="I257" s="22">
        <f>IFERROR(VLOOKUP(B257,MATRICULAS!A:B,2,0),0)*1</f>
        <v>0</v>
      </c>
      <c r="J257" s="27">
        <v>20260519</v>
      </c>
      <c r="K257" s="27">
        <v>149281669</v>
      </c>
      <c r="L257" s="27" t="s">
        <v>134</v>
      </c>
      <c r="M257" s="27" t="s">
        <v>56</v>
      </c>
      <c r="N257" s="27">
        <v>0</v>
      </c>
      <c r="O257" s="27">
        <v>0</v>
      </c>
      <c r="P257" s="27" t="s">
        <v>57</v>
      </c>
      <c r="Q257" s="27">
        <v>150</v>
      </c>
      <c r="R257" s="27" t="s">
        <v>163</v>
      </c>
      <c r="S257" s="27">
        <v>27</v>
      </c>
      <c r="T257" s="27" t="s">
        <v>58</v>
      </c>
      <c r="U257" s="27" t="s">
        <v>59</v>
      </c>
      <c r="V257" s="30">
        <v>46161.702581018515</v>
      </c>
      <c r="W257" s="30">
        <v>46161.702592592592</v>
      </c>
      <c r="X257" s="30">
        <v>46161.709479166668</v>
      </c>
      <c r="Y257" s="27" t="s">
        <v>117</v>
      </c>
      <c r="Z257" s="27" t="s">
        <v>696</v>
      </c>
      <c r="AA257" s="27" t="s">
        <v>53</v>
      </c>
      <c r="AB257" s="27" t="s">
        <v>60</v>
      </c>
      <c r="AC257" s="27" t="s">
        <v>697</v>
      </c>
      <c r="AD257" s="27" t="s">
        <v>118</v>
      </c>
      <c r="AE257" s="27" t="s">
        <v>61</v>
      </c>
      <c r="AF257" s="27" t="s">
        <v>62</v>
      </c>
      <c r="AG257" s="27" t="s">
        <v>63</v>
      </c>
      <c r="AH257" s="27">
        <v>0</v>
      </c>
      <c r="AI257" s="27">
        <v>0</v>
      </c>
      <c r="AJ257" s="27">
        <v>0</v>
      </c>
      <c r="AK257" s="27">
        <v>0</v>
      </c>
      <c r="AL257" s="27" t="s">
        <v>64</v>
      </c>
      <c r="AM257" s="27">
        <v>3</v>
      </c>
      <c r="AN257" s="27">
        <v>596</v>
      </c>
      <c r="AO257" s="27" t="s">
        <v>65</v>
      </c>
      <c r="AP257" s="27">
        <v>37</v>
      </c>
      <c r="AQ257" s="27">
        <v>201</v>
      </c>
      <c r="AR257" s="27">
        <v>2499207</v>
      </c>
      <c r="AS257" s="27" t="s">
        <v>118</v>
      </c>
      <c r="AT257" s="27" t="s">
        <v>698</v>
      </c>
      <c r="AU257" s="31" t="s">
        <v>118</v>
      </c>
    </row>
    <row r="258" spans="1:47" x14ac:dyDescent="0.25">
      <c r="A258" s="7">
        <f>+CONCATENATE(DAY(V258),"/",MONTH(V258),"/",YEAR(V258),"")*1</f>
        <v>46161</v>
      </c>
      <c r="B258" s="23">
        <f>+Z258*1</f>
        <v>1159537784</v>
      </c>
      <c r="C258" s="21" t="str">
        <f>+AA258</f>
        <v>ENTRANTE</v>
      </c>
      <c r="D258" s="3" t="str">
        <f>VLOOKUP(Q258,Code!E:F,2,0)</f>
        <v>Admisiones</v>
      </c>
      <c r="E258" s="3" t="s">
        <v>55</v>
      </c>
      <c r="F258" s="3">
        <f>+AP258</f>
        <v>37</v>
      </c>
      <c r="G258" s="3">
        <f>+S258</f>
        <v>27</v>
      </c>
      <c r="H258" s="22">
        <f>+HOUR(V258)</f>
        <v>15</v>
      </c>
      <c r="I258" s="22">
        <f>IFERROR(VLOOKUP(B258,MATRICULAS!A:B,2,0),0)*1</f>
        <v>0</v>
      </c>
      <c r="J258" s="26">
        <v>20260519</v>
      </c>
      <c r="K258" s="26">
        <v>149280476</v>
      </c>
      <c r="L258" s="26" t="s">
        <v>134</v>
      </c>
      <c r="M258" s="26" t="s">
        <v>56</v>
      </c>
      <c r="N258" s="26">
        <v>0</v>
      </c>
      <c r="O258" s="26">
        <v>0</v>
      </c>
      <c r="P258" s="26" t="s">
        <v>57</v>
      </c>
      <c r="Q258" s="26">
        <v>150</v>
      </c>
      <c r="R258" s="26" t="s">
        <v>163</v>
      </c>
      <c r="S258" s="26">
        <v>27</v>
      </c>
      <c r="T258" s="26" t="s">
        <v>58</v>
      </c>
      <c r="U258" s="26" t="s">
        <v>59</v>
      </c>
      <c r="V258" s="28">
        <v>46161.665856481479</v>
      </c>
      <c r="W258" s="28">
        <v>46161.665856481479</v>
      </c>
      <c r="X258" s="28">
        <v>46161.674953703703</v>
      </c>
      <c r="Y258" s="26" t="s">
        <v>117</v>
      </c>
      <c r="Z258" s="26" t="s">
        <v>699</v>
      </c>
      <c r="AA258" s="26" t="s">
        <v>53</v>
      </c>
      <c r="AB258" s="26" t="s">
        <v>60</v>
      </c>
      <c r="AC258" s="26" t="s">
        <v>700</v>
      </c>
      <c r="AD258" s="26" t="s">
        <v>118</v>
      </c>
      <c r="AE258" s="26" t="s">
        <v>61</v>
      </c>
      <c r="AF258" s="26" t="s">
        <v>62</v>
      </c>
      <c r="AG258" s="26" t="s">
        <v>63</v>
      </c>
      <c r="AH258" s="26">
        <v>0</v>
      </c>
      <c r="AI258" s="26">
        <v>0</v>
      </c>
      <c r="AJ258" s="26">
        <v>0</v>
      </c>
      <c r="AK258" s="26">
        <v>0</v>
      </c>
      <c r="AL258" s="26" t="s">
        <v>64</v>
      </c>
      <c r="AM258" s="26">
        <v>3</v>
      </c>
      <c r="AN258" s="26">
        <v>786</v>
      </c>
      <c r="AO258" s="26" t="s">
        <v>65</v>
      </c>
      <c r="AP258" s="26">
        <v>37</v>
      </c>
      <c r="AQ258" s="26">
        <v>157</v>
      </c>
      <c r="AR258" s="26">
        <v>1658268</v>
      </c>
      <c r="AS258" s="26" t="s">
        <v>118</v>
      </c>
      <c r="AT258" s="26" t="s">
        <v>701</v>
      </c>
      <c r="AU258" s="29" t="s">
        <v>118</v>
      </c>
    </row>
    <row r="259" spans="1:47" x14ac:dyDescent="0.25">
      <c r="A259" s="7">
        <f>+CONCATENATE(DAY(V259),"/",MONTH(V259),"/",YEAR(V259),"")*1</f>
        <v>46161</v>
      </c>
      <c r="B259" s="23">
        <f>+Z259*1</f>
        <v>1135201656</v>
      </c>
      <c r="C259" s="21" t="str">
        <f>+AA259</f>
        <v>ENTRANTE</v>
      </c>
      <c r="D259" s="3" t="str">
        <f>VLOOKUP(Q259,Code!E:F,2,0)</f>
        <v>Admisiones</v>
      </c>
      <c r="E259" s="3" t="s">
        <v>55</v>
      </c>
      <c r="F259" s="3">
        <f>+AP259</f>
        <v>37</v>
      </c>
      <c r="G259" s="3">
        <f>+S259</f>
        <v>27</v>
      </c>
      <c r="H259" s="22">
        <f>+HOUR(V259)</f>
        <v>15</v>
      </c>
      <c r="I259" s="22">
        <f>IFERROR(VLOOKUP(B259,MATRICULAS!A:B,2,0),0)*1</f>
        <v>0</v>
      </c>
      <c r="J259" s="27">
        <v>20260519</v>
      </c>
      <c r="K259" s="27">
        <v>149280310</v>
      </c>
      <c r="L259" s="27" t="s">
        <v>134</v>
      </c>
      <c r="M259" s="27" t="s">
        <v>56</v>
      </c>
      <c r="N259" s="27">
        <v>0</v>
      </c>
      <c r="O259" s="27">
        <v>0</v>
      </c>
      <c r="P259" s="27" t="s">
        <v>57</v>
      </c>
      <c r="Q259" s="27">
        <v>150</v>
      </c>
      <c r="R259" s="27" t="s">
        <v>174</v>
      </c>
      <c r="S259" s="27">
        <v>27</v>
      </c>
      <c r="T259" s="27" t="s">
        <v>58</v>
      </c>
      <c r="U259" s="27" t="s">
        <v>59</v>
      </c>
      <c r="V259" s="30">
        <v>46161.660787037035</v>
      </c>
      <c r="W259" s="30">
        <v>46161.660787037035</v>
      </c>
      <c r="X259" s="30">
        <v>46161.666134259256</v>
      </c>
      <c r="Y259" s="27" t="s">
        <v>117</v>
      </c>
      <c r="Z259" s="27" t="s">
        <v>702</v>
      </c>
      <c r="AA259" s="27" t="s">
        <v>53</v>
      </c>
      <c r="AB259" s="27" t="s">
        <v>60</v>
      </c>
      <c r="AC259" s="27" t="s">
        <v>703</v>
      </c>
      <c r="AD259" s="27" t="s">
        <v>118</v>
      </c>
      <c r="AE259" s="27" t="s">
        <v>66</v>
      </c>
      <c r="AF259" s="27" t="s">
        <v>67</v>
      </c>
      <c r="AG259" s="27" t="s">
        <v>67</v>
      </c>
      <c r="AH259" s="27">
        <v>0</v>
      </c>
      <c r="AI259" s="27">
        <v>0</v>
      </c>
      <c r="AJ259" s="27">
        <v>0</v>
      </c>
      <c r="AK259" s="27">
        <v>0</v>
      </c>
      <c r="AL259" s="27" t="s">
        <v>64</v>
      </c>
      <c r="AM259" s="27">
        <v>3</v>
      </c>
      <c r="AN259" s="27">
        <v>463</v>
      </c>
      <c r="AO259" s="27" t="s">
        <v>65</v>
      </c>
      <c r="AP259" s="27">
        <v>37</v>
      </c>
      <c r="AQ259" s="27">
        <v>1</v>
      </c>
      <c r="AR259" s="27">
        <v>2501242</v>
      </c>
      <c r="AS259" s="27" t="s">
        <v>118</v>
      </c>
      <c r="AT259" s="27" t="s">
        <v>704</v>
      </c>
      <c r="AU259" s="31" t="s">
        <v>118</v>
      </c>
    </row>
    <row r="260" spans="1:47" x14ac:dyDescent="0.25">
      <c r="A260" s="7">
        <f>+CONCATENATE(DAY(V260),"/",MONTH(V260),"/",YEAR(V260),"")*1</f>
        <v>46161</v>
      </c>
      <c r="B260" s="23">
        <f>+Z260*1</f>
        <v>3462532582</v>
      </c>
      <c r="C260" s="21" t="str">
        <f>+AA260</f>
        <v>ENTRANTE</v>
      </c>
      <c r="D260" s="3" t="str">
        <f>VLOOKUP(Q260,Code!E:F,2,0)</f>
        <v>Admisiones</v>
      </c>
      <c r="E260" s="3" t="s">
        <v>55</v>
      </c>
      <c r="F260" s="3">
        <f>+AP260</f>
        <v>37</v>
      </c>
      <c r="G260" s="3">
        <f>+S260</f>
        <v>27</v>
      </c>
      <c r="H260" s="22">
        <f>+HOUR(V260)</f>
        <v>15</v>
      </c>
      <c r="I260" s="22">
        <f>IFERROR(VLOOKUP(B260,MATRICULAS!A:B,2,0),0)*1</f>
        <v>0</v>
      </c>
      <c r="J260" s="27">
        <v>20260519</v>
      </c>
      <c r="K260" s="27">
        <v>149279672</v>
      </c>
      <c r="L260" s="27" t="s">
        <v>134</v>
      </c>
      <c r="M260" s="27" t="s">
        <v>56</v>
      </c>
      <c r="N260" s="27">
        <v>0</v>
      </c>
      <c r="O260" s="27">
        <v>0</v>
      </c>
      <c r="P260" s="27" t="s">
        <v>57</v>
      </c>
      <c r="Q260" s="27">
        <v>150</v>
      </c>
      <c r="R260" s="27" t="s">
        <v>152</v>
      </c>
      <c r="S260" s="27">
        <v>27</v>
      </c>
      <c r="T260" s="27" t="s">
        <v>58</v>
      </c>
      <c r="U260" s="27" t="s">
        <v>59</v>
      </c>
      <c r="V260" s="30">
        <v>46161.636273148149</v>
      </c>
      <c r="W260" s="30">
        <v>46161.636273148149</v>
      </c>
      <c r="X260" s="30">
        <v>46161.641469907408</v>
      </c>
      <c r="Y260" s="27" t="s">
        <v>117</v>
      </c>
      <c r="Z260" s="27" t="s">
        <v>705</v>
      </c>
      <c r="AA260" s="27" t="s">
        <v>53</v>
      </c>
      <c r="AB260" s="27" t="s">
        <v>60</v>
      </c>
      <c r="AC260" s="27" t="s">
        <v>706</v>
      </c>
      <c r="AD260" s="27" t="s">
        <v>118</v>
      </c>
      <c r="AE260" s="27" t="s">
        <v>61</v>
      </c>
      <c r="AF260" s="27" t="s">
        <v>62</v>
      </c>
      <c r="AG260" s="27" t="s">
        <v>63</v>
      </c>
      <c r="AH260" s="27">
        <v>0</v>
      </c>
      <c r="AI260" s="27">
        <v>0</v>
      </c>
      <c r="AJ260" s="27">
        <v>0</v>
      </c>
      <c r="AK260" s="27">
        <v>0</v>
      </c>
      <c r="AL260" s="27" t="s">
        <v>64</v>
      </c>
      <c r="AM260" s="27">
        <v>3</v>
      </c>
      <c r="AN260" s="27">
        <v>449</v>
      </c>
      <c r="AO260" s="27" t="s">
        <v>65</v>
      </c>
      <c r="AP260" s="27">
        <v>37</v>
      </c>
      <c r="AQ260" s="27">
        <v>201</v>
      </c>
      <c r="AR260" s="27">
        <v>2492628</v>
      </c>
      <c r="AS260" s="27" t="s">
        <v>118</v>
      </c>
      <c r="AT260" s="27" t="s">
        <v>707</v>
      </c>
      <c r="AU260" s="31" t="s">
        <v>118</v>
      </c>
    </row>
    <row r="261" spans="1:47" x14ac:dyDescent="0.25">
      <c r="A261" s="7">
        <f>+CONCATENATE(DAY(V261),"/",MONTH(V261),"/",YEAR(V261),"")*1</f>
        <v>46161</v>
      </c>
      <c r="B261" s="23">
        <f>+Z261*1</f>
        <v>2291451544</v>
      </c>
      <c r="C261" s="21" t="str">
        <f>+AA261</f>
        <v>ENTRANTE</v>
      </c>
      <c r="D261" s="3" t="str">
        <f>VLOOKUP(Q261,Code!E:F,2,0)</f>
        <v>Admisiones</v>
      </c>
      <c r="E261" s="3" t="s">
        <v>55</v>
      </c>
      <c r="F261" s="3">
        <f>+AP261</f>
        <v>37</v>
      </c>
      <c r="G261" s="3">
        <f>+S261</f>
        <v>27</v>
      </c>
      <c r="H261" s="22">
        <f>+HOUR(V261)</f>
        <v>15</v>
      </c>
      <c r="I261" s="22">
        <f>IFERROR(VLOOKUP(B261,MATRICULAS!A:B,2,0),0)*1</f>
        <v>0</v>
      </c>
      <c r="J261" s="26">
        <v>20260519</v>
      </c>
      <c r="K261" s="26">
        <v>149279602</v>
      </c>
      <c r="L261" s="26" t="s">
        <v>134</v>
      </c>
      <c r="M261" s="26" t="s">
        <v>56</v>
      </c>
      <c r="N261" s="26">
        <v>0</v>
      </c>
      <c r="O261" s="26">
        <v>0</v>
      </c>
      <c r="P261" s="26" t="s">
        <v>57</v>
      </c>
      <c r="Q261" s="26">
        <v>150</v>
      </c>
      <c r="R261" s="26" t="s">
        <v>163</v>
      </c>
      <c r="S261" s="26">
        <v>27</v>
      </c>
      <c r="T261" s="26" t="s">
        <v>58</v>
      </c>
      <c r="U261" s="26" t="s">
        <v>59</v>
      </c>
      <c r="V261" s="28">
        <v>46161.634004629632</v>
      </c>
      <c r="W261" s="28">
        <v>46161.634004629632</v>
      </c>
      <c r="X261" s="28">
        <v>46161.637881944444</v>
      </c>
      <c r="Y261" s="26" t="s">
        <v>117</v>
      </c>
      <c r="Z261" s="26" t="s">
        <v>708</v>
      </c>
      <c r="AA261" s="26" t="s">
        <v>53</v>
      </c>
      <c r="AB261" s="26" t="s">
        <v>60</v>
      </c>
      <c r="AC261" s="26" t="s">
        <v>709</v>
      </c>
      <c r="AD261" s="26" t="s">
        <v>118</v>
      </c>
      <c r="AE261" s="26" t="s">
        <v>61</v>
      </c>
      <c r="AF261" s="26" t="s">
        <v>62</v>
      </c>
      <c r="AG261" s="26" t="s">
        <v>63</v>
      </c>
      <c r="AH261" s="26">
        <v>0</v>
      </c>
      <c r="AI261" s="26">
        <v>0</v>
      </c>
      <c r="AJ261" s="26">
        <v>0</v>
      </c>
      <c r="AK261" s="26">
        <v>0</v>
      </c>
      <c r="AL261" s="26" t="s">
        <v>64</v>
      </c>
      <c r="AM261" s="26">
        <v>3</v>
      </c>
      <c r="AN261" s="26">
        <v>336</v>
      </c>
      <c r="AO261" s="26" t="s">
        <v>65</v>
      </c>
      <c r="AP261" s="26">
        <v>37</v>
      </c>
      <c r="AQ261" s="26">
        <v>1</v>
      </c>
      <c r="AR261" s="26">
        <v>2501198</v>
      </c>
      <c r="AS261" s="26" t="s">
        <v>118</v>
      </c>
      <c r="AT261" s="26" t="s">
        <v>710</v>
      </c>
      <c r="AU261" s="29" t="s">
        <v>118</v>
      </c>
    </row>
    <row r="262" spans="1:47" x14ac:dyDescent="0.25">
      <c r="A262" s="7">
        <f>+CONCATENATE(DAY(V262),"/",MONTH(V262),"/",YEAR(V262),"")*1</f>
        <v>46161</v>
      </c>
      <c r="B262" s="23">
        <f>+Z262*1</f>
        <v>3497403581</v>
      </c>
      <c r="C262" s="21" t="str">
        <f>+AA262</f>
        <v>ENTRANTE</v>
      </c>
      <c r="D262" s="3" t="str">
        <f>VLOOKUP(Q262,Code!E:F,2,0)</f>
        <v>Admisiones</v>
      </c>
      <c r="E262" s="3" t="s">
        <v>55</v>
      </c>
      <c r="F262" s="3">
        <f>+AP262</f>
        <v>37</v>
      </c>
      <c r="G262" s="3">
        <f>+S262</f>
        <v>26</v>
      </c>
      <c r="H262" s="22">
        <f>+HOUR(V262)</f>
        <v>14</v>
      </c>
      <c r="I262" s="22">
        <f>IFERROR(VLOOKUP(B262,MATRICULAS!A:B,2,0),0)*1</f>
        <v>1</v>
      </c>
      <c r="J262" s="27">
        <v>20260519</v>
      </c>
      <c r="K262" s="27">
        <v>149279182</v>
      </c>
      <c r="L262" s="27" t="s">
        <v>134</v>
      </c>
      <c r="M262" s="27" t="s">
        <v>56</v>
      </c>
      <c r="N262" s="27">
        <v>0</v>
      </c>
      <c r="O262" s="27">
        <v>0</v>
      </c>
      <c r="P262" s="27" t="s">
        <v>57</v>
      </c>
      <c r="Q262" s="27">
        <v>150</v>
      </c>
      <c r="R262" s="27" t="s">
        <v>145</v>
      </c>
      <c r="S262" s="27">
        <v>26</v>
      </c>
      <c r="T262" s="27" t="s">
        <v>58</v>
      </c>
      <c r="U262" s="27" t="s">
        <v>59</v>
      </c>
      <c r="V262" s="30">
        <v>46161.617071759261</v>
      </c>
      <c r="W262" s="30">
        <v>46161.617071759261</v>
      </c>
      <c r="X262" s="30">
        <v>46161.618761574071</v>
      </c>
      <c r="Y262" s="27" t="s">
        <v>117</v>
      </c>
      <c r="Z262" s="27" t="s">
        <v>711</v>
      </c>
      <c r="AA262" s="27" t="s">
        <v>53</v>
      </c>
      <c r="AB262" s="27" t="s">
        <v>60</v>
      </c>
      <c r="AC262" s="27" t="s">
        <v>712</v>
      </c>
      <c r="AD262" s="27" t="s">
        <v>118</v>
      </c>
      <c r="AE262" s="27" t="s">
        <v>61</v>
      </c>
      <c r="AF262" s="27" t="s">
        <v>62</v>
      </c>
      <c r="AG262" s="27" t="s">
        <v>63</v>
      </c>
      <c r="AH262" s="27">
        <v>0</v>
      </c>
      <c r="AI262" s="27">
        <v>0</v>
      </c>
      <c r="AJ262" s="27">
        <v>0</v>
      </c>
      <c r="AK262" s="27">
        <v>0</v>
      </c>
      <c r="AL262" s="27" t="s">
        <v>64</v>
      </c>
      <c r="AM262" s="27">
        <v>3</v>
      </c>
      <c r="AN262" s="27">
        <v>147</v>
      </c>
      <c r="AO262" s="27" t="s">
        <v>65</v>
      </c>
      <c r="AP262" s="27">
        <v>37</v>
      </c>
      <c r="AQ262" s="27">
        <v>201</v>
      </c>
      <c r="AR262" s="27">
        <v>2494493</v>
      </c>
      <c r="AS262" s="27" t="s">
        <v>118</v>
      </c>
      <c r="AT262" s="27" t="s">
        <v>713</v>
      </c>
      <c r="AU262" s="31" t="s">
        <v>118</v>
      </c>
    </row>
    <row r="263" spans="1:47" x14ac:dyDescent="0.25">
      <c r="A263" s="7">
        <f>+CONCATENATE(DAY(V263),"/",MONTH(V263),"/",YEAR(V263),"")*1</f>
        <v>46161</v>
      </c>
      <c r="B263" s="23">
        <f>+Z263*1</f>
        <v>3625359678</v>
      </c>
      <c r="C263" s="21" t="str">
        <f>+AA263</f>
        <v>ENTRANTE</v>
      </c>
      <c r="D263" s="3" t="str">
        <f>VLOOKUP(Q263,Code!E:F,2,0)</f>
        <v>Admisiones</v>
      </c>
      <c r="E263" s="3" t="s">
        <v>55</v>
      </c>
      <c r="F263" s="3">
        <f>+AP263</f>
        <v>37</v>
      </c>
      <c r="G263" s="3">
        <f>+S263</f>
        <v>26</v>
      </c>
      <c r="H263" s="22">
        <f>+HOUR(V263)</f>
        <v>14</v>
      </c>
      <c r="I263" s="22">
        <f>IFERROR(VLOOKUP(B263,MATRICULAS!A:B,2,0),0)*1</f>
        <v>0</v>
      </c>
      <c r="J263" s="27">
        <v>20260519</v>
      </c>
      <c r="K263" s="27">
        <v>149278191</v>
      </c>
      <c r="L263" s="27" t="s">
        <v>134</v>
      </c>
      <c r="M263" s="27" t="s">
        <v>56</v>
      </c>
      <c r="N263" s="27">
        <v>0</v>
      </c>
      <c r="O263" s="27">
        <v>0</v>
      </c>
      <c r="P263" s="27" t="s">
        <v>57</v>
      </c>
      <c r="Q263" s="27">
        <v>150</v>
      </c>
      <c r="R263" s="27" t="s">
        <v>145</v>
      </c>
      <c r="S263" s="27">
        <v>26</v>
      </c>
      <c r="T263" s="27" t="s">
        <v>58</v>
      </c>
      <c r="U263" s="27" t="s">
        <v>59</v>
      </c>
      <c r="V263" s="30">
        <v>46161.588159722225</v>
      </c>
      <c r="W263" s="30">
        <v>46161.588159722225</v>
      </c>
      <c r="X263" s="30">
        <v>46161.589074074072</v>
      </c>
      <c r="Y263" s="27" t="s">
        <v>117</v>
      </c>
      <c r="Z263" s="27" t="s">
        <v>714</v>
      </c>
      <c r="AA263" s="27" t="s">
        <v>53</v>
      </c>
      <c r="AB263" s="27" t="s">
        <v>60</v>
      </c>
      <c r="AC263" s="27" t="s">
        <v>715</v>
      </c>
      <c r="AD263" s="27" t="s">
        <v>118</v>
      </c>
      <c r="AE263" s="27" t="s">
        <v>70</v>
      </c>
      <c r="AF263" s="27" t="s">
        <v>133</v>
      </c>
      <c r="AG263" s="27" t="s">
        <v>150</v>
      </c>
      <c r="AH263" s="27">
        <v>0</v>
      </c>
      <c r="AI263" s="27">
        <v>0</v>
      </c>
      <c r="AJ263" s="27">
        <v>0</v>
      </c>
      <c r="AK263" s="27">
        <v>0</v>
      </c>
      <c r="AL263" s="27" t="s">
        <v>64</v>
      </c>
      <c r="AM263" s="27">
        <v>3</v>
      </c>
      <c r="AN263" s="27">
        <v>80</v>
      </c>
      <c r="AO263" s="27" t="s">
        <v>65</v>
      </c>
      <c r="AP263" s="27">
        <v>37</v>
      </c>
      <c r="AQ263" s="27">
        <v>0</v>
      </c>
      <c r="AR263" s="27">
        <v>0</v>
      </c>
      <c r="AS263" s="27" t="s">
        <v>118</v>
      </c>
      <c r="AT263" s="27" t="s">
        <v>716</v>
      </c>
      <c r="AU263" s="31" t="s">
        <v>118</v>
      </c>
    </row>
    <row r="264" spans="1:47" x14ac:dyDescent="0.25">
      <c r="A264" s="7">
        <f>+CONCATENATE(DAY(V264),"/",MONTH(V264),"/",YEAR(V264),"")*1</f>
        <v>46161</v>
      </c>
      <c r="B264" s="23">
        <f>+Z264*1</f>
        <v>1171177278</v>
      </c>
      <c r="C264" s="21" t="str">
        <f>+AA264</f>
        <v>ENTRANTE</v>
      </c>
      <c r="D264" s="3" t="str">
        <f>VLOOKUP(Q264,Code!E:F,2,0)</f>
        <v>Admisiones</v>
      </c>
      <c r="E264" s="3" t="s">
        <v>55</v>
      </c>
      <c r="F264" s="3">
        <f>+AP264</f>
        <v>37</v>
      </c>
      <c r="G264" s="3">
        <f>+S264</f>
        <v>26</v>
      </c>
      <c r="H264" s="22">
        <f>+HOUR(V264)</f>
        <v>13</v>
      </c>
      <c r="I264" s="22">
        <f>IFERROR(VLOOKUP(B264,MATRICULAS!A:B,2,0),0)*1</f>
        <v>1</v>
      </c>
      <c r="J264" s="26">
        <v>20260519</v>
      </c>
      <c r="K264" s="26">
        <v>149277920</v>
      </c>
      <c r="L264" s="26" t="s">
        <v>134</v>
      </c>
      <c r="M264" s="26" t="s">
        <v>56</v>
      </c>
      <c r="N264" s="26">
        <v>0</v>
      </c>
      <c r="O264" s="26">
        <v>0</v>
      </c>
      <c r="P264" s="26" t="s">
        <v>57</v>
      </c>
      <c r="Q264" s="26">
        <v>150</v>
      </c>
      <c r="R264" s="26" t="s">
        <v>153</v>
      </c>
      <c r="S264" s="26">
        <v>26</v>
      </c>
      <c r="T264" s="26" t="s">
        <v>58</v>
      </c>
      <c r="U264" s="26" t="s">
        <v>59</v>
      </c>
      <c r="V264" s="28">
        <v>46161.58016203704</v>
      </c>
      <c r="W264" s="28">
        <v>46161.58016203704</v>
      </c>
      <c r="X264" s="28">
        <v>46161.595081018517</v>
      </c>
      <c r="Y264" s="26" t="s">
        <v>117</v>
      </c>
      <c r="Z264" s="26" t="s">
        <v>717</v>
      </c>
      <c r="AA264" s="26" t="s">
        <v>53</v>
      </c>
      <c r="AB264" s="26" t="s">
        <v>60</v>
      </c>
      <c r="AC264" s="26" t="s">
        <v>718</v>
      </c>
      <c r="AD264" s="26" t="s">
        <v>118</v>
      </c>
      <c r="AE264" s="26" t="s">
        <v>66</v>
      </c>
      <c r="AF264" s="26" t="s">
        <v>67</v>
      </c>
      <c r="AG264" s="26" t="s">
        <v>67</v>
      </c>
      <c r="AH264" s="26">
        <v>0</v>
      </c>
      <c r="AI264" s="26">
        <v>0</v>
      </c>
      <c r="AJ264" s="26">
        <v>0</v>
      </c>
      <c r="AK264" s="26">
        <v>0</v>
      </c>
      <c r="AL264" s="26" t="s">
        <v>64</v>
      </c>
      <c r="AM264" s="26">
        <v>3</v>
      </c>
      <c r="AN264" s="26">
        <v>1290</v>
      </c>
      <c r="AO264" s="26" t="s">
        <v>65</v>
      </c>
      <c r="AP264" s="26">
        <v>37</v>
      </c>
      <c r="AQ264" s="26">
        <v>201</v>
      </c>
      <c r="AR264" s="26">
        <v>2501114</v>
      </c>
      <c r="AS264" s="26" t="s">
        <v>118</v>
      </c>
      <c r="AT264" s="26" t="s">
        <v>719</v>
      </c>
      <c r="AU264" s="29" t="s">
        <v>118</v>
      </c>
    </row>
    <row r="265" spans="1:47" x14ac:dyDescent="0.25">
      <c r="A265" s="7">
        <f>+CONCATENATE(DAY(V265),"/",MONTH(V265),"/",YEAR(V265),"")*1</f>
        <v>46161</v>
      </c>
      <c r="B265" s="23">
        <f>+Z265*1</f>
        <v>2614610300</v>
      </c>
      <c r="C265" s="21" t="str">
        <f>+AA265</f>
        <v>ENTRANTE</v>
      </c>
      <c r="D265" s="3" t="str">
        <f>VLOOKUP(Q265,Code!E:F,2,0)</f>
        <v>Admisiones</v>
      </c>
      <c r="E265" s="3" t="s">
        <v>55</v>
      </c>
      <c r="F265" s="3">
        <f>+AP265</f>
        <v>37</v>
      </c>
      <c r="G265" s="3">
        <f>+S265</f>
        <v>26</v>
      </c>
      <c r="H265" s="22">
        <f>+HOUR(V265)</f>
        <v>13</v>
      </c>
      <c r="I265" s="22">
        <f>IFERROR(VLOOKUP(B265,MATRICULAS!A:B,2,0),0)*1</f>
        <v>0</v>
      </c>
      <c r="J265" s="26">
        <v>20260519</v>
      </c>
      <c r="K265" s="26">
        <v>149277164</v>
      </c>
      <c r="L265" s="26" t="s">
        <v>134</v>
      </c>
      <c r="M265" s="26" t="s">
        <v>56</v>
      </c>
      <c r="N265" s="26">
        <v>0</v>
      </c>
      <c r="O265" s="26">
        <v>0</v>
      </c>
      <c r="P265" s="26" t="s">
        <v>57</v>
      </c>
      <c r="Q265" s="26">
        <v>150</v>
      </c>
      <c r="R265" s="26" t="s">
        <v>145</v>
      </c>
      <c r="S265" s="26">
        <v>26</v>
      </c>
      <c r="T265" s="26" t="s">
        <v>58</v>
      </c>
      <c r="U265" s="26" t="s">
        <v>59</v>
      </c>
      <c r="V265" s="28">
        <v>46161.55810185185</v>
      </c>
      <c r="W265" s="28">
        <v>46161.55810185185</v>
      </c>
      <c r="X265" s="28">
        <v>46161.565439814818</v>
      </c>
      <c r="Y265" s="26" t="s">
        <v>117</v>
      </c>
      <c r="Z265" s="26" t="s">
        <v>720</v>
      </c>
      <c r="AA265" s="26" t="s">
        <v>53</v>
      </c>
      <c r="AB265" s="26" t="s">
        <v>60</v>
      </c>
      <c r="AC265" s="26" t="s">
        <v>721</v>
      </c>
      <c r="AD265" s="26" t="s">
        <v>118</v>
      </c>
      <c r="AE265" s="26" t="s">
        <v>70</v>
      </c>
      <c r="AF265" s="26" t="s">
        <v>148</v>
      </c>
      <c r="AG265" s="26" t="s">
        <v>148</v>
      </c>
      <c r="AH265" s="26">
        <v>0</v>
      </c>
      <c r="AI265" s="26">
        <v>0</v>
      </c>
      <c r="AJ265" s="26">
        <v>0</v>
      </c>
      <c r="AK265" s="26">
        <v>0</v>
      </c>
      <c r="AL265" s="26" t="s">
        <v>64</v>
      </c>
      <c r="AM265" s="26">
        <v>3</v>
      </c>
      <c r="AN265" s="26">
        <v>635</v>
      </c>
      <c r="AO265" s="26" t="s">
        <v>65</v>
      </c>
      <c r="AP265" s="26">
        <v>37</v>
      </c>
      <c r="AQ265" s="26">
        <v>1</v>
      </c>
      <c r="AR265" s="26">
        <v>2501097</v>
      </c>
      <c r="AS265" s="26" t="s">
        <v>118</v>
      </c>
      <c r="AT265" s="26" t="s">
        <v>722</v>
      </c>
      <c r="AU265" s="29" t="s">
        <v>118</v>
      </c>
    </row>
    <row r="266" spans="1:47" x14ac:dyDescent="0.25">
      <c r="A266" s="7">
        <f>+CONCATENATE(DAY(V266),"/",MONTH(V266),"/",YEAR(V266),"")*1</f>
        <v>46161</v>
      </c>
      <c r="B266" s="23">
        <f>+Z266*1</f>
        <v>1169597528</v>
      </c>
      <c r="C266" s="21" t="str">
        <f>+AA266</f>
        <v>ENTRANTE</v>
      </c>
      <c r="D266" s="3" t="str">
        <f>VLOOKUP(Q266,Code!E:F,2,0)</f>
        <v>Admisiones</v>
      </c>
      <c r="E266" s="3" t="s">
        <v>55</v>
      </c>
      <c r="F266" s="3">
        <f>+AP266</f>
        <v>37</v>
      </c>
      <c r="G266" s="3">
        <f>+S266</f>
        <v>26</v>
      </c>
      <c r="H266" s="22">
        <f>+HOUR(V266)</f>
        <v>13</v>
      </c>
      <c r="I266" s="22">
        <f>IFERROR(VLOOKUP(B266,MATRICULAS!A:B,2,0),0)*1</f>
        <v>1</v>
      </c>
      <c r="J266" s="27">
        <v>20260519</v>
      </c>
      <c r="K266" s="27">
        <v>149277095</v>
      </c>
      <c r="L266" s="27" t="s">
        <v>134</v>
      </c>
      <c r="M266" s="27" t="s">
        <v>56</v>
      </c>
      <c r="N266" s="27">
        <v>0</v>
      </c>
      <c r="O266" s="27">
        <v>0</v>
      </c>
      <c r="P266" s="27" t="s">
        <v>57</v>
      </c>
      <c r="Q266" s="27">
        <v>150</v>
      </c>
      <c r="R266" s="27" t="s">
        <v>127</v>
      </c>
      <c r="S266" s="27">
        <v>26</v>
      </c>
      <c r="T266" s="27" t="s">
        <v>58</v>
      </c>
      <c r="U266" s="27" t="s">
        <v>59</v>
      </c>
      <c r="V266" s="30">
        <v>46161.556388888886</v>
      </c>
      <c r="W266" s="30">
        <v>46161.556400462963</v>
      </c>
      <c r="X266" s="30">
        <v>46161.574525462966</v>
      </c>
      <c r="Y266" s="27" t="s">
        <v>117</v>
      </c>
      <c r="Z266" s="27" t="s">
        <v>551</v>
      </c>
      <c r="AA266" s="27" t="s">
        <v>53</v>
      </c>
      <c r="AB266" s="27" t="s">
        <v>60</v>
      </c>
      <c r="AC266" s="27" t="s">
        <v>723</v>
      </c>
      <c r="AD266" s="27" t="s">
        <v>118</v>
      </c>
      <c r="AE266" s="27" t="s">
        <v>61</v>
      </c>
      <c r="AF266" s="27" t="s">
        <v>62</v>
      </c>
      <c r="AG266" s="27" t="s">
        <v>63</v>
      </c>
      <c r="AH266" s="27">
        <v>0</v>
      </c>
      <c r="AI266" s="27">
        <v>0</v>
      </c>
      <c r="AJ266" s="27">
        <v>0</v>
      </c>
      <c r="AK266" s="27">
        <v>0</v>
      </c>
      <c r="AL266" s="27" t="s">
        <v>64</v>
      </c>
      <c r="AM266" s="27">
        <v>3</v>
      </c>
      <c r="AN266" s="27">
        <v>1567</v>
      </c>
      <c r="AO266" s="27" t="s">
        <v>65</v>
      </c>
      <c r="AP266" s="27">
        <v>37</v>
      </c>
      <c r="AQ266" s="27">
        <v>202</v>
      </c>
      <c r="AR266" s="27">
        <v>2500647</v>
      </c>
      <c r="AS266" s="27" t="s">
        <v>118</v>
      </c>
      <c r="AT266" s="27" t="s">
        <v>724</v>
      </c>
      <c r="AU266" s="31" t="s">
        <v>118</v>
      </c>
    </row>
    <row r="267" spans="1:47" x14ac:dyDescent="0.25">
      <c r="A267" s="7">
        <f>+CONCATENATE(DAY(V267),"/",MONTH(V267),"/",YEAR(V267),"")*1</f>
        <v>46161</v>
      </c>
      <c r="B267" s="23">
        <f>+Z267*1</f>
        <v>1160001355</v>
      </c>
      <c r="C267" s="21" t="str">
        <f>+AA267</f>
        <v>ENTRANTE</v>
      </c>
      <c r="D267" s="3" t="str">
        <f>VLOOKUP(Q267,Code!E:F,2,0)</f>
        <v>Admisiones</v>
      </c>
      <c r="E267" s="3" t="s">
        <v>55</v>
      </c>
      <c r="F267" s="3">
        <f>+AP267</f>
        <v>37</v>
      </c>
      <c r="G267" s="3">
        <f>+S267</f>
        <v>26</v>
      </c>
      <c r="H267" s="22">
        <f>+HOUR(V267)</f>
        <v>12</v>
      </c>
      <c r="I267" s="22">
        <f>IFERROR(VLOOKUP(B267,MATRICULAS!A:B,2,0),0)*1</f>
        <v>0</v>
      </c>
      <c r="J267" s="26">
        <v>20260519</v>
      </c>
      <c r="K267" s="26">
        <v>149276398</v>
      </c>
      <c r="L267" s="26" t="s">
        <v>134</v>
      </c>
      <c r="M267" s="26" t="s">
        <v>56</v>
      </c>
      <c r="N267" s="26">
        <v>0</v>
      </c>
      <c r="O267" s="26">
        <v>0</v>
      </c>
      <c r="P267" s="26" t="s">
        <v>57</v>
      </c>
      <c r="Q267" s="26">
        <v>150</v>
      </c>
      <c r="R267" s="26" t="s">
        <v>127</v>
      </c>
      <c r="S267" s="26">
        <v>26</v>
      </c>
      <c r="T267" s="26" t="s">
        <v>58</v>
      </c>
      <c r="U267" s="26" t="s">
        <v>59</v>
      </c>
      <c r="V267" s="28">
        <v>46161.532939814817</v>
      </c>
      <c r="W267" s="28">
        <v>46161.532939814817</v>
      </c>
      <c r="X267" s="28">
        <v>46161.538113425922</v>
      </c>
      <c r="Y267" s="26" t="s">
        <v>117</v>
      </c>
      <c r="Z267" s="26" t="s">
        <v>725</v>
      </c>
      <c r="AA267" s="26" t="s">
        <v>53</v>
      </c>
      <c r="AB267" s="26" t="s">
        <v>60</v>
      </c>
      <c r="AC267" s="26" t="s">
        <v>726</v>
      </c>
      <c r="AD267" s="26" t="s">
        <v>118</v>
      </c>
      <c r="AE267" s="26" t="s">
        <v>61</v>
      </c>
      <c r="AF267" s="26" t="s">
        <v>62</v>
      </c>
      <c r="AG267" s="26" t="s">
        <v>63</v>
      </c>
      <c r="AH267" s="26">
        <v>0</v>
      </c>
      <c r="AI267" s="26">
        <v>0</v>
      </c>
      <c r="AJ267" s="26">
        <v>0</v>
      </c>
      <c r="AK267" s="26">
        <v>0</v>
      </c>
      <c r="AL267" s="26" t="s">
        <v>64</v>
      </c>
      <c r="AM267" s="26">
        <v>3</v>
      </c>
      <c r="AN267" s="26">
        <v>447</v>
      </c>
      <c r="AO267" s="26" t="s">
        <v>65</v>
      </c>
      <c r="AP267" s="26">
        <v>37</v>
      </c>
      <c r="AQ267" s="26">
        <v>202</v>
      </c>
      <c r="AR267" s="26">
        <v>2496524</v>
      </c>
      <c r="AS267" s="26" t="s">
        <v>118</v>
      </c>
      <c r="AT267" s="26" t="s">
        <v>727</v>
      </c>
      <c r="AU267" s="29" t="s">
        <v>118</v>
      </c>
    </row>
    <row r="268" spans="1:47" x14ac:dyDescent="0.25">
      <c r="A268" s="7">
        <f>+CONCATENATE(DAY(V268),"/",MONTH(V268),"/",YEAR(V268),"")*1</f>
        <v>46161</v>
      </c>
      <c r="B268" s="23">
        <f>+Z268*1</f>
        <v>1142100095</v>
      </c>
      <c r="C268" s="21" t="str">
        <f>+AA268</f>
        <v>ENTRANTE</v>
      </c>
      <c r="D268" s="3" t="str">
        <f>VLOOKUP(Q268,Code!E:F,2,0)</f>
        <v>Admisiones</v>
      </c>
      <c r="E268" s="3" t="s">
        <v>55</v>
      </c>
      <c r="F268" s="3">
        <f>+AP268</f>
        <v>37</v>
      </c>
      <c r="G268" s="3">
        <f>+S268</f>
        <v>26</v>
      </c>
      <c r="H268" s="22">
        <f>+HOUR(V268)</f>
        <v>12</v>
      </c>
      <c r="I268" s="22">
        <f>IFERROR(VLOOKUP(B268,MATRICULAS!A:B,2,0),0)*1</f>
        <v>0</v>
      </c>
      <c r="J268" s="27">
        <v>20260519</v>
      </c>
      <c r="K268" s="27">
        <v>149276058</v>
      </c>
      <c r="L268" s="27" t="s">
        <v>134</v>
      </c>
      <c r="M268" s="27" t="s">
        <v>56</v>
      </c>
      <c r="N268" s="27">
        <v>0</v>
      </c>
      <c r="O268" s="27">
        <v>0</v>
      </c>
      <c r="P268" s="27" t="s">
        <v>57</v>
      </c>
      <c r="Q268" s="27">
        <v>150</v>
      </c>
      <c r="R268" s="27" t="s">
        <v>151</v>
      </c>
      <c r="S268" s="27">
        <v>26</v>
      </c>
      <c r="T268" s="27" t="s">
        <v>58</v>
      </c>
      <c r="U268" s="27" t="s">
        <v>59</v>
      </c>
      <c r="V268" s="30">
        <v>46161.518738425926</v>
      </c>
      <c r="W268" s="30">
        <v>46161.518738425926</v>
      </c>
      <c r="X268" s="30">
        <v>46161.522569444445</v>
      </c>
      <c r="Y268" s="27" t="s">
        <v>117</v>
      </c>
      <c r="Z268" s="27" t="s">
        <v>728</v>
      </c>
      <c r="AA268" s="27" t="s">
        <v>53</v>
      </c>
      <c r="AB268" s="27" t="s">
        <v>60</v>
      </c>
      <c r="AC268" s="27" t="s">
        <v>729</v>
      </c>
      <c r="AD268" s="27" t="s">
        <v>118</v>
      </c>
      <c r="AE268" s="27" t="s">
        <v>66</v>
      </c>
      <c r="AF268" s="27" t="s">
        <v>67</v>
      </c>
      <c r="AG268" s="27" t="s">
        <v>67</v>
      </c>
      <c r="AH268" s="27">
        <v>0</v>
      </c>
      <c r="AI268" s="27">
        <v>0</v>
      </c>
      <c r="AJ268" s="27">
        <v>0</v>
      </c>
      <c r="AK268" s="27">
        <v>0</v>
      </c>
      <c r="AL268" s="27" t="s">
        <v>64</v>
      </c>
      <c r="AM268" s="27">
        <v>3</v>
      </c>
      <c r="AN268" s="27">
        <v>332</v>
      </c>
      <c r="AO268" s="27" t="s">
        <v>65</v>
      </c>
      <c r="AP268" s="27">
        <v>37</v>
      </c>
      <c r="AQ268" s="27">
        <v>164</v>
      </c>
      <c r="AR268" s="27">
        <v>2501057</v>
      </c>
      <c r="AS268" s="27" t="s">
        <v>118</v>
      </c>
      <c r="AT268" s="27" t="s">
        <v>730</v>
      </c>
      <c r="AU268" s="31" t="s">
        <v>118</v>
      </c>
    </row>
    <row r="269" spans="1:47" x14ac:dyDescent="0.25">
      <c r="A269" s="7">
        <f>+CONCATENATE(DAY(V269),"/",MONTH(V269),"/",YEAR(V269),"")*1</f>
        <v>46161</v>
      </c>
      <c r="B269" s="23">
        <f>+Z269*1</f>
        <v>1168079488</v>
      </c>
      <c r="C269" s="21" t="str">
        <f>+AA269</f>
        <v>ENTRANTE</v>
      </c>
      <c r="D269" s="3" t="str">
        <f>VLOOKUP(Q269,Code!E:F,2,0)</f>
        <v>Admisiones</v>
      </c>
      <c r="E269" s="3" t="s">
        <v>55</v>
      </c>
      <c r="F269" s="3">
        <f>+AP269</f>
        <v>37</v>
      </c>
      <c r="G269" s="3">
        <f>+S269</f>
        <v>26</v>
      </c>
      <c r="H269" s="22">
        <f>+HOUR(V269)</f>
        <v>12</v>
      </c>
      <c r="I269" s="22">
        <f>IFERROR(VLOOKUP(B269,MATRICULAS!A:B,2,0),0)*1</f>
        <v>0</v>
      </c>
      <c r="J269" s="26">
        <v>20260519</v>
      </c>
      <c r="K269" s="26">
        <v>149275607</v>
      </c>
      <c r="L269" s="26" t="s">
        <v>134</v>
      </c>
      <c r="M269" s="26" t="s">
        <v>56</v>
      </c>
      <c r="N269" s="26">
        <v>0</v>
      </c>
      <c r="O269" s="26">
        <v>0</v>
      </c>
      <c r="P269" s="26" t="s">
        <v>57</v>
      </c>
      <c r="Q269" s="26">
        <v>150</v>
      </c>
      <c r="R269" s="26" t="s">
        <v>127</v>
      </c>
      <c r="S269" s="26">
        <v>26</v>
      </c>
      <c r="T269" s="26" t="s">
        <v>58</v>
      </c>
      <c r="U269" s="26" t="s">
        <v>59</v>
      </c>
      <c r="V269" s="28">
        <v>46161.504432870373</v>
      </c>
      <c r="W269" s="28">
        <v>46161.504432870373</v>
      </c>
      <c r="X269" s="28">
        <v>46161.508472222224</v>
      </c>
      <c r="Y269" s="26" t="s">
        <v>117</v>
      </c>
      <c r="Z269" s="26" t="s">
        <v>731</v>
      </c>
      <c r="AA269" s="26" t="s">
        <v>53</v>
      </c>
      <c r="AB269" s="26" t="s">
        <v>60</v>
      </c>
      <c r="AC269" s="26" t="s">
        <v>732</v>
      </c>
      <c r="AD269" s="26" t="s">
        <v>118</v>
      </c>
      <c r="AE269" s="26" t="s">
        <v>61</v>
      </c>
      <c r="AF269" s="26" t="s">
        <v>62</v>
      </c>
      <c r="AG269" s="26" t="s">
        <v>63</v>
      </c>
      <c r="AH269" s="26">
        <v>0</v>
      </c>
      <c r="AI269" s="26">
        <v>0</v>
      </c>
      <c r="AJ269" s="26">
        <v>0</v>
      </c>
      <c r="AK269" s="26">
        <v>0</v>
      </c>
      <c r="AL269" s="26" t="s">
        <v>64</v>
      </c>
      <c r="AM269" s="26">
        <v>3</v>
      </c>
      <c r="AN269" s="26">
        <v>350</v>
      </c>
      <c r="AO269" s="26" t="s">
        <v>65</v>
      </c>
      <c r="AP269" s="26">
        <v>37</v>
      </c>
      <c r="AQ269" s="26">
        <v>202</v>
      </c>
      <c r="AR269" s="26">
        <v>2501021</v>
      </c>
      <c r="AS269" s="26" t="s">
        <v>118</v>
      </c>
      <c r="AT269" s="26" t="s">
        <v>733</v>
      </c>
      <c r="AU269" s="29" t="s">
        <v>118</v>
      </c>
    </row>
    <row r="270" spans="1:47" x14ac:dyDescent="0.25">
      <c r="A270" s="7">
        <f>+CONCATENATE(DAY(V270),"/",MONTH(V270),"/",YEAR(V270),"")*1</f>
        <v>46161</v>
      </c>
      <c r="B270" s="23">
        <f>+Z270*1</f>
        <v>1158060444</v>
      </c>
      <c r="C270" s="21" t="str">
        <f>+AA270</f>
        <v>ENTRANTE</v>
      </c>
      <c r="D270" s="3" t="str">
        <f>VLOOKUP(Q270,Code!E:F,2,0)</f>
        <v>Admisiones</v>
      </c>
      <c r="E270" s="3" t="s">
        <v>55</v>
      </c>
      <c r="F270" s="3">
        <f>+AP270</f>
        <v>37</v>
      </c>
      <c r="G270" s="3">
        <f>+S270</f>
        <v>26</v>
      </c>
      <c r="H270" s="22">
        <f>+HOUR(V270)</f>
        <v>11</v>
      </c>
      <c r="I270" s="22">
        <f>IFERROR(VLOOKUP(B270,MATRICULAS!A:B,2,0),0)*1</f>
        <v>0</v>
      </c>
      <c r="J270" s="27">
        <v>20260519</v>
      </c>
      <c r="K270" s="27">
        <v>149273937</v>
      </c>
      <c r="L270" s="27" t="s">
        <v>134</v>
      </c>
      <c r="M270" s="27" t="s">
        <v>56</v>
      </c>
      <c r="N270" s="27">
        <v>0</v>
      </c>
      <c r="O270" s="27">
        <v>0</v>
      </c>
      <c r="P270" s="27" t="s">
        <v>57</v>
      </c>
      <c r="Q270" s="27">
        <v>150</v>
      </c>
      <c r="R270" s="27" t="s">
        <v>145</v>
      </c>
      <c r="S270" s="27">
        <v>26</v>
      </c>
      <c r="T270" s="27" t="s">
        <v>58</v>
      </c>
      <c r="U270" s="27" t="s">
        <v>59</v>
      </c>
      <c r="V270" s="30">
        <v>46161.463587962964</v>
      </c>
      <c r="W270" s="30">
        <v>46161.463587962964</v>
      </c>
      <c r="X270" s="30">
        <v>46161.468576388892</v>
      </c>
      <c r="Y270" s="27" t="s">
        <v>117</v>
      </c>
      <c r="Z270" s="27" t="s">
        <v>734</v>
      </c>
      <c r="AA270" s="27" t="s">
        <v>53</v>
      </c>
      <c r="AB270" s="27" t="s">
        <v>60</v>
      </c>
      <c r="AC270" s="27" t="s">
        <v>735</v>
      </c>
      <c r="AD270" s="27" t="s">
        <v>118</v>
      </c>
      <c r="AE270" s="27" t="s">
        <v>61</v>
      </c>
      <c r="AF270" s="27" t="s">
        <v>62</v>
      </c>
      <c r="AG270" s="27" t="s">
        <v>63</v>
      </c>
      <c r="AH270" s="27">
        <v>0</v>
      </c>
      <c r="AI270" s="27">
        <v>0</v>
      </c>
      <c r="AJ270" s="27">
        <v>0</v>
      </c>
      <c r="AK270" s="27">
        <v>0</v>
      </c>
      <c r="AL270" s="27" t="s">
        <v>64</v>
      </c>
      <c r="AM270" s="27">
        <v>3</v>
      </c>
      <c r="AN270" s="27">
        <v>432</v>
      </c>
      <c r="AO270" s="27" t="s">
        <v>65</v>
      </c>
      <c r="AP270" s="27">
        <v>37</v>
      </c>
      <c r="AQ270" s="27">
        <v>151</v>
      </c>
      <c r="AR270" s="27">
        <v>1448857</v>
      </c>
      <c r="AS270" s="27" t="s">
        <v>118</v>
      </c>
      <c r="AT270" s="27" t="s">
        <v>736</v>
      </c>
      <c r="AU270" s="31" t="s">
        <v>118</v>
      </c>
    </row>
    <row r="271" spans="1:47" x14ac:dyDescent="0.25">
      <c r="A271" s="7">
        <f>+CONCATENATE(DAY(V271),"/",MONTH(V271),"/",YEAR(V271),"")*1</f>
        <v>46161</v>
      </c>
      <c r="B271" s="23">
        <f>+Z271*1</f>
        <v>2974572876</v>
      </c>
      <c r="C271" s="21" t="str">
        <f>+AA271</f>
        <v>ENTRANTE</v>
      </c>
      <c r="D271" s="3" t="str">
        <f>VLOOKUP(Q271,Code!E:F,2,0)</f>
        <v>Admisiones</v>
      </c>
      <c r="E271" s="3" t="s">
        <v>55</v>
      </c>
      <c r="F271" s="3">
        <f>+AP271</f>
        <v>37</v>
      </c>
      <c r="G271" s="3">
        <f>+S271</f>
        <v>26</v>
      </c>
      <c r="H271" s="22">
        <f>+HOUR(V271)</f>
        <v>11</v>
      </c>
      <c r="I271" s="22">
        <f>IFERROR(VLOOKUP(B271,MATRICULAS!A:B,2,0),0)*1</f>
        <v>0</v>
      </c>
      <c r="J271" s="26">
        <v>20260519</v>
      </c>
      <c r="K271" s="26">
        <v>149273741</v>
      </c>
      <c r="L271" s="26" t="s">
        <v>134</v>
      </c>
      <c r="M271" s="26" t="s">
        <v>56</v>
      </c>
      <c r="N271" s="26">
        <v>0</v>
      </c>
      <c r="O271" s="26">
        <v>0</v>
      </c>
      <c r="P271" s="26" t="s">
        <v>57</v>
      </c>
      <c r="Q271" s="26">
        <v>150</v>
      </c>
      <c r="R271" s="26" t="s">
        <v>145</v>
      </c>
      <c r="S271" s="26">
        <v>26</v>
      </c>
      <c r="T271" s="26" t="s">
        <v>58</v>
      </c>
      <c r="U271" s="26" t="s">
        <v>59</v>
      </c>
      <c r="V271" s="28">
        <v>46161.45921296296</v>
      </c>
      <c r="W271" s="28">
        <v>46161.45921296296</v>
      </c>
      <c r="X271" s="28">
        <v>46161.461331018516</v>
      </c>
      <c r="Y271" s="26" t="s">
        <v>117</v>
      </c>
      <c r="Z271" s="26" t="s">
        <v>192</v>
      </c>
      <c r="AA271" s="26" t="s">
        <v>53</v>
      </c>
      <c r="AB271" s="26" t="s">
        <v>60</v>
      </c>
      <c r="AC271" s="26" t="s">
        <v>737</v>
      </c>
      <c r="AD271" s="26" t="s">
        <v>118</v>
      </c>
      <c r="AE271" s="26" t="s">
        <v>61</v>
      </c>
      <c r="AF271" s="26" t="s">
        <v>62</v>
      </c>
      <c r="AG271" s="26" t="s">
        <v>63</v>
      </c>
      <c r="AH271" s="26">
        <v>0</v>
      </c>
      <c r="AI271" s="26">
        <v>0</v>
      </c>
      <c r="AJ271" s="26">
        <v>0</v>
      </c>
      <c r="AK271" s="26">
        <v>0</v>
      </c>
      <c r="AL271" s="26" t="s">
        <v>64</v>
      </c>
      <c r="AM271" s="26">
        <v>3</v>
      </c>
      <c r="AN271" s="26">
        <v>184</v>
      </c>
      <c r="AO271" s="26" t="s">
        <v>65</v>
      </c>
      <c r="AP271" s="26">
        <v>37</v>
      </c>
      <c r="AQ271" s="26">
        <v>175</v>
      </c>
      <c r="AR271" s="26">
        <v>2149962</v>
      </c>
      <c r="AS271" s="26" t="s">
        <v>118</v>
      </c>
      <c r="AT271" s="26" t="s">
        <v>738</v>
      </c>
      <c r="AU271" s="29" t="s">
        <v>118</v>
      </c>
    </row>
    <row r="272" spans="1:47" x14ac:dyDescent="0.25">
      <c r="A272" s="7">
        <f>+CONCATENATE(DAY(V272),"/",MONTH(V272),"/",YEAR(V272),"")*1</f>
        <v>46162</v>
      </c>
      <c r="B272" s="23">
        <f>+Z272*1</f>
        <v>1135761660</v>
      </c>
      <c r="C272" s="21" t="str">
        <f>+AA272</f>
        <v>ENTRANTE</v>
      </c>
      <c r="D272" s="3" t="str">
        <f>VLOOKUP(Q272,Code!E:F,2,0)</f>
        <v>Admisiones</v>
      </c>
      <c r="E272" s="3" t="s">
        <v>55</v>
      </c>
      <c r="F272" s="3">
        <f>+AP272</f>
        <v>37</v>
      </c>
      <c r="G272" s="3">
        <f>+S272</f>
        <v>27</v>
      </c>
      <c r="H272" s="22">
        <f>+HOUR(V272)</f>
        <v>20</v>
      </c>
      <c r="I272" s="22">
        <f>IFERROR(VLOOKUP(B272,MATRICULAS!A:B,2,0),0)*1</f>
        <v>0</v>
      </c>
      <c r="J272" s="27">
        <v>20260520</v>
      </c>
      <c r="K272" s="27">
        <v>149308958</v>
      </c>
      <c r="L272" s="27" t="s">
        <v>134</v>
      </c>
      <c r="M272" s="27" t="s">
        <v>56</v>
      </c>
      <c r="N272" s="27">
        <v>0</v>
      </c>
      <c r="O272" s="27">
        <v>0</v>
      </c>
      <c r="P272" s="27" t="s">
        <v>57</v>
      </c>
      <c r="Q272" s="27">
        <v>150</v>
      </c>
      <c r="R272" s="27" t="s">
        <v>152</v>
      </c>
      <c r="S272" s="27">
        <v>27</v>
      </c>
      <c r="T272" s="27" t="s">
        <v>58</v>
      </c>
      <c r="U272" s="27" t="s">
        <v>59</v>
      </c>
      <c r="V272" s="30">
        <v>46162.845486111109</v>
      </c>
      <c r="W272" s="30">
        <v>46162.845486111109</v>
      </c>
      <c r="X272" s="30">
        <v>46162.850243055553</v>
      </c>
      <c r="Y272" s="27" t="s">
        <v>117</v>
      </c>
      <c r="Z272" s="27" t="s">
        <v>610</v>
      </c>
      <c r="AA272" s="27" t="s">
        <v>53</v>
      </c>
      <c r="AB272" s="27" t="s">
        <v>60</v>
      </c>
      <c r="AC272" s="27" t="s">
        <v>611</v>
      </c>
      <c r="AD272" s="27" t="s">
        <v>118</v>
      </c>
      <c r="AE272" s="27" t="s">
        <v>61</v>
      </c>
      <c r="AF272" s="27" t="s">
        <v>62</v>
      </c>
      <c r="AG272" s="27" t="s">
        <v>63</v>
      </c>
      <c r="AH272" s="27">
        <v>0</v>
      </c>
      <c r="AI272" s="27">
        <v>0</v>
      </c>
      <c r="AJ272" s="27">
        <v>0</v>
      </c>
      <c r="AK272" s="27">
        <v>0</v>
      </c>
      <c r="AL272" s="27" t="s">
        <v>64</v>
      </c>
      <c r="AM272" s="27">
        <v>3</v>
      </c>
      <c r="AN272" s="27">
        <v>412</v>
      </c>
      <c r="AO272" s="27" t="s">
        <v>65</v>
      </c>
      <c r="AP272" s="27">
        <v>37</v>
      </c>
      <c r="AQ272" s="27">
        <v>0</v>
      </c>
      <c r="AR272" s="27">
        <v>0</v>
      </c>
      <c r="AS272" s="27" t="s">
        <v>118</v>
      </c>
      <c r="AT272" s="27" t="s">
        <v>612</v>
      </c>
      <c r="AU272" s="31" t="s">
        <v>118</v>
      </c>
    </row>
    <row r="273" spans="1:47" x14ac:dyDescent="0.25">
      <c r="A273" s="7">
        <f>+CONCATENATE(DAY(V273),"/",MONTH(V273),"/",YEAR(V273),"")*1</f>
        <v>46162</v>
      </c>
      <c r="B273" s="23">
        <f>+Z273*1</f>
        <v>2964458719</v>
      </c>
      <c r="C273" s="21" t="str">
        <f>+AA273</f>
        <v>ENTRANTE</v>
      </c>
      <c r="D273" s="3" t="str">
        <f>VLOOKUP(Q273,Code!E:F,2,0)</f>
        <v>Admisiones</v>
      </c>
      <c r="E273" s="3" t="s">
        <v>55</v>
      </c>
      <c r="F273" s="3">
        <f>+AP273</f>
        <v>37</v>
      </c>
      <c r="G273" s="3">
        <f>+S273</f>
        <v>27</v>
      </c>
      <c r="H273" s="22">
        <f>+HOUR(V273)</f>
        <v>20</v>
      </c>
      <c r="I273" s="22">
        <f>IFERROR(VLOOKUP(B273,MATRICULAS!A:B,2,0),0)*1</f>
        <v>1</v>
      </c>
      <c r="J273" s="26">
        <v>20260520</v>
      </c>
      <c r="K273" s="26">
        <v>149308791</v>
      </c>
      <c r="L273" s="26" t="s">
        <v>134</v>
      </c>
      <c r="M273" s="26" t="s">
        <v>56</v>
      </c>
      <c r="N273" s="26">
        <v>0</v>
      </c>
      <c r="O273" s="26">
        <v>0</v>
      </c>
      <c r="P273" s="26" t="s">
        <v>57</v>
      </c>
      <c r="Q273" s="26">
        <v>150</v>
      </c>
      <c r="R273" s="26" t="s">
        <v>163</v>
      </c>
      <c r="S273" s="26">
        <v>27</v>
      </c>
      <c r="T273" s="26" t="s">
        <v>58</v>
      </c>
      <c r="U273" s="26" t="s">
        <v>59</v>
      </c>
      <c r="V273" s="28">
        <v>46162.840844907405</v>
      </c>
      <c r="W273" s="28">
        <v>46162.840844907405</v>
      </c>
      <c r="X273" s="28">
        <v>46162.854178240741</v>
      </c>
      <c r="Y273" s="26" t="s">
        <v>117</v>
      </c>
      <c r="Z273" s="26" t="s">
        <v>613</v>
      </c>
      <c r="AA273" s="26" t="s">
        <v>53</v>
      </c>
      <c r="AB273" s="26" t="s">
        <v>60</v>
      </c>
      <c r="AC273" s="26" t="s">
        <v>614</v>
      </c>
      <c r="AD273" s="26" t="s">
        <v>118</v>
      </c>
      <c r="AE273" s="26" t="s">
        <v>61</v>
      </c>
      <c r="AF273" s="26" t="s">
        <v>62</v>
      </c>
      <c r="AG273" s="26" t="s">
        <v>63</v>
      </c>
      <c r="AH273" s="26">
        <v>0</v>
      </c>
      <c r="AI273" s="26">
        <v>0</v>
      </c>
      <c r="AJ273" s="26">
        <v>0</v>
      </c>
      <c r="AK273" s="26">
        <v>0</v>
      </c>
      <c r="AL273" s="26" t="s">
        <v>64</v>
      </c>
      <c r="AM273" s="26">
        <v>3</v>
      </c>
      <c r="AN273" s="26">
        <v>1152</v>
      </c>
      <c r="AO273" s="26" t="s">
        <v>65</v>
      </c>
      <c r="AP273" s="26">
        <v>37</v>
      </c>
      <c r="AQ273" s="26">
        <v>201</v>
      </c>
      <c r="AR273" s="26">
        <v>2499709</v>
      </c>
      <c r="AS273" s="26" t="s">
        <v>118</v>
      </c>
      <c r="AT273" s="26" t="s">
        <v>615</v>
      </c>
      <c r="AU273" s="29" t="s">
        <v>118</v>
      </c>
    </row>
    <row r="274" spans="1:47" x14ac:dyDescent="0.25">
      <c r="A274" s="7">
        <f>+CONCATENATE(DAY(V274),"/",MONTH(V274),"/",YEAR(V274),"")*1</f>
        <v>46162</v>
      </c>
      <c r="B274" s="23">
        <f>+Z274*1</f>
        <v>3876667497</v>
      </c>
      <c r="C274" s="21" t="str">
        <f>+AA274</f>
        <v>ENTRANTE</v>
      </c>
      <c r="D274" s="3" t="str">
        <f>VLOOKUP(Q274,Code!E:F,2,0)</f>
        <v>Admisiones</v>
      </c>
      <c r="E274" s="3" t="s">
        <v>55</v>
      </c>
      <c r="F274" s="3">
        <f>+AP274</f>
        <v>37</v>
      </c>
      <c r="G274" s="3">
        <f>+S274</f>
        <v>27</v>
      </c>
      <c r="H274" s="22">
        <f>+HOUR(V274)</f>
        <v>19</v>
      </c>
      <c r="I274" s="22">
        <f>IFERROR(VLOOKUP(B274,MATRICULAS!A:B,2,0),0)*1</f>
        <v>0</v>
      </c>
      <c r="J274" s="27">
        <v>20260520</v>
      </c>
      <c r="K274" s="27">
        <v>149308286</v>
      </c>
      <c r="L274" s="27" t="s">
        <v>134</v>
      </c>
      <c r="M274" s="27" t="s">
        <v>56</v>
      </c>
      <c r="N274" s="27">
        <v>0</v>
      </c>
      <c r="O274" s="27">
        <v>0</v>
      </c>
      <c r="P274" s="27" t="s">
        <v>57</v>
      </c>
      <c r="Q274" s="27">
        <v>150</v>
      </c>
      <c r="R274" s="27" t="s">
        <v>163</v>
      </c>
      <c r="S274" s="27">
        <v>27</v>
      </c>
      <c r="T274" s="27" t="s">
        <v>58</v>
      </c>
      <c r="U274" s="27" t="s">
        <v>59</v>
      </c>
      <c r="V274" s="30">
        <v>46162.825648148151</v>
      </c>
      <c r="W274" s="30">
        <v>46162.825648148151</v>
      </c>
      <c r="X274" s="30">
        <v>46162.827534722222</v>
      </c>
      <c r="Y274" s="27" t="s">
        <v>117</v>
      </c>
      <c r="Z274" s="27" t="s">
        <v>616</v>
      </c>
      <c r="AA274" s="27" t="s">
        <v>53</v>
      </c>
      <c r="AB274" s="27" t="s">
        <v>60</v>
      </c>
      <c r="AC274" s="27" t="s">
        <v>617</v>
      </c>
      <c r="AD274" s="27" t="s">
        <v>118</v>
      </c>
      <c r="AE274" s="27" t="s">
        <v>61</v>
      </c>
      <c r="AF274" s="27" t="s">
        <v>62</v>
      </c>
      <c r="AG274" s="27" t="s">
        <v>63</v>
      </c>
      <c r="AH274" s="27">
        <v>0</v>
      </c>
      <c r="AI274" s="27">
        <v>0</v>
      </c>
      <c r="AJ274" s="27">
        <v>0</v>
      </c>
      <c r="AK274" s="27">
        <v>0</v>
      </c>
      <c r="AL274" s="27" t="s">
        <v>64</v>
      </c>
      <c r="AM274" s="27">
        <v>3</v>
      </c>
      <c r="AN274" s="27">
        <v>164</v>
      </c>
      <c r="AO274" s="27" t="s">
        <v>65</v>
      </c>
      <c r="AP274" s="27">
        <v>37</v>
      </c>
      <c r="AQ274" s="27">
        <v>202</v>
      </c>
      <c r="AR274" s="27">
        <v>2499241</v>
      </c>
      <c r="AS274" s="27" t="s">
        <v>118</v>
      </c>
      <c r="AT274" s="27" t="s">
        <v>618</v>
      </c>
      <c r="AU274" s="31" t="s">
        <v>118</v>
      </c>
    </row>
    <row r="275" spans="1:47" x14ac:dyDescent="0.25">
      <c r="A275" s="7">
        <f>+CONCATENATE(DAY(V275),"/",MONTH(V275),"/",YEAR(V275),"")*1</f>
        <v>46162</v>
      </c>
      <c r="B275" s="23">
        <f>+Z275*1</f>
        <v>3413244260</v>
      </c>
      <c r="C275" s="21" t="str">
        <f>+AA275</f>
        <v>ENTRANTE</v>
      </c>
      <c r="D275" s="3" t="str">
        <f>VLOOKUP(Q275,Code!E:F,2,0)</f>
        <v>Admisiones</v>
      </c>
      <c r="E275" s="3" t="s">
        <v>55</v>
      </c>
      <c r="F275" s="3">
        <f>+AP275</f>
        <v>37</v>
      </c>
      <c r="G275" s="3">
        <f>+S275</f>
        <v>27</v>
      </c>
      <c r="H275" s="22">
        <f>+HOUR(V275)</f>
        <v>19</v>
      </c>
      <c r="I275" s="22">
        <f>IFERROR(VLOOKUP(B275,MATRICULAS!A:B,2,0),0)*1</f>
        <v>0</v>
      </c>
      <c r="J275" s="26">
        <v>20260520</v>
      </c>
      <c r="K275" s="26">
        <v>149307622</v>
      </c>
      <c r="L275" s="26" t="s">
        <v>134</v>
      </c>
      <c r="M275" s="26" t="s">
        <v>56</v>
      </c>
      <c r="N275" s="26">
        <v>0</v>
      </c>
      <c r="O275" s="26">
        <v>0</v>
      </c>
      <c r="P275" s="26" t="s">
        <v>57</v>
      </c>
      <c r="Q275" s="26">
        <v>150</v>
      </c>
      <c r="R275" s="26" t="s">
        <v>174</v>
      </c>
      <c r="S275" s="26">
        <v>27</v>
      </c>
      <c r="T275" s="26" t="s">
        <v>58</v>
      </c>
      <c r="U275" s="26" t="s">
        <v>59</v>
      </c>
      <c r="V275" s="28">
        <v>46162.804097222222</v>
      </c>
      <c r="W275" s="28">
        <v>46162.804108796299</v>
      </c>
      <c r="X275" s="28">
        <v>46162.81832175926</v>
      </c>
      <c r="Y275" s="26" t="s">
        <v>117</v>
      </c>
      <c r="Z275" s="26" t="s">
        <v>223</v>
      </c>
      <c r="AA275" s="26" t="s">
        <v>53</v>
      </c>
      <c r="AB275" s="26" t="s">
        <v>60</v>
      </c>
      <c r="AC275" s="26" t="s">
        <v>619</v>
      </c>
      <c r="AD275" s="26" t="s">
        <v>118</v>
      </c>
      <c r="AE275" s="26" t="s">
        <v>61</v>
      </c>
      <c r="AF275" s="26" t="s">
        <v>62</v>
      </c>
      <c r="AG275" s="26" t="s">
        <v>63</v>
      </c>
      <c r="AH275" s="26">
        <v>0</v>
      </c>
      <c r="AI275" s="26">
        <v>0</v>
      </c>
      <c r="AJ275" s="26">
        <v>0</v>
      </c>
      <c r="AK275" s="26">
        <v>0</v>
      </c>
      <c r="AL275" s="26" t="s">
        <v>64</v>
      </c>
      <c r="AM275" s="26">
        <v>3</v>
      </c>
      <c r="AN275" s="26">
        <v>1229</v>
      </c>
      <c r="AO275" s="26" t="s">
        <v>65</v>
      </c>
      <c r="AP275" s="26">
        <v>37</v>
      </c>
      <c r="AQ275" s="26">
        <v>193</v>
      </c>
      <c r="AR275" s="26">
        <v>2355119</v>
      </c>
      <c r="AS275" s="26" t="s">
        <v>118</v>
      </c>
      <c r="AT275" s="26" t="s">
        <v>620</v>
      </c>
      <c r="AU275" s="29" t="s">
        <v>118</v>
      </c>
    </row>
    <row r="276" spans="1:47" x14ac:dyDescent="0.25">
      <c r="A276" s="7">
        <f>+CONCATENATE(DAY(V276),"/",MONTH(V276),"/",YEAR(V276),"")*1</f>
        <v>46162</v>
      </c>
      <c r="B276" s="23">
        <f>+Z276*1</f>
        <v>1144467532</v>
      </c>
      <c r="C276" s="21" t="str">
        <f>+AA276</f>
        <v>ENTRANTE</v>
      </c>
      <c r="D276" s="3" t="str">
        <f>VLOOKUP(Q276,Code!E:F,2,0)</f>
        <v>Admisiones</v>
      </c>
      <c r="E276" s="3" t="s">
        <v>55</v>
      </c>
      <c r="F276" s="3">
        <f>+AP276</f>
        <v>37</v>
      </c>
      <c r="G276" s="3">
        <f>+S276</f>
        <v>0</v>
      </c>
      <c r="H276" s="22">
        <f>+HOUR(V276)</f>
        <v>18</v>
      </c>
      <c r="I276" s="22">
        <f>IFERROR(VLOOKUP(B276,MATRICULAS!A:B,2,0),0)*1</f>
        <v>1</v>
      </c>
      <c r="J276" s="27">
        <v>20260520</v>
      </c>
      <c r="K276" s="27">
        <v>149306925</v>
      </c>
      <c r="L276" s="27" t="s">
        <v>134</v>
      </c>
      <c r="M276" s="27" t="s">
        <v>56</v>
      </c>
      <c r="N276" s="27">
        <v>0</v>
      </c>
      <c r="O276" s="27">
        <v>0</v>
      </c>
      <c r="P276" s="27" t="s">
        <v>57</v>
      </c>
      <c r="Q276" s="27">
        <v>150</v>
      </c>
      <c r="R276" s="27" t="s">
        <v>162</v>
      </c>
      <c r="S276" s="27">
        <v>0</v>
      </c>
      <c r="T276" s="27" t="s">
        <v>58</v>
      </c>
      <c r="U276" s="27" t="s">
        <v>59</v>
      </c>
      <c r="V276" s="30">
        <v>46162.777812499997</v>
      </c>
      <c r="W276" s="30">
        <v>46162.777812499997</v>
      </c>
      <c r="X276" s="30">
        <v>46162.78334490741</v>
      </c>
      <c r="Y276" s="27" t="s">
        <v>117</v>
      </c>
      <c r="Z276" s="27" t="s">
        <v>621</v>
      </c>
      <c r="AA276" s="27" t="s">
        <v>53</v>
      </c>
      <c r="AB276" s="27" t="s">
        <v>60</v>
      </c>
      <c r="AC276" s="27" t="s">
        <v>622</v>
      </c>
      <c r="AD276" s="27" t="s">
        <v>118</v>
      </c>
      <c r="AE276" s="27" t="s">
        <v>61</v>
      </c>
      <c r="AF276" s="27" t="s">
        <v>62</v>
      </c>
      <c r="AG276" s="27" t="s">
        <v>63</v>
      </c>
      <c r="AH276" s="27">
        <v>0</v>
      </c>
      <c r="AI276" s="27">
        <v>0</v>
      </c>
      <c r="AJ276" s="27">
        <v>0</v>
      </c>
      <c r="AK276" s="27">
        <v>0</v>
      </c>
      <c r="AL276" s="27" t="s">
        <v>64</v>
      </c>
      <c r="AM276" s="27">
        <v>3</v>
      </c>
      <c r="AN276" s="27">
        <v>479</v>
      </c>
      <c r="AO276" s="27" t="s">
        <v>65</v>
      </c>
      <c r="AP276" s="27">
        <v>37</v>
      </c>
      <c r="AQ276" s="27">
        <v>201</v>
      </c>
      <c r="AR276" s="27">
        <v>2499166</v>
      </c>
      <c r="AS276" s="27" t="s">
        <v>118</v>
      </c>
      <c r="AT276" s="27" t="s">
        <v>623</v>
      </c>
      <c r="AU276" s="31" t="s">
        <v>118</v>
      </c>
    </row>
    <row r="277" spans="1:47" x14ac:dyDescent="0.25">
      <c r="A277" s="7">
        <f>+CONCATENATE(DAY(V277),"/",MONTH(V277),"/",YEAR(V277),"")*1</f>
        <v>46162</v>
      </c>
      <c r="B277" s="23">
        <f>+Z277*1</f>
        <v>2324671435</v>
      </c>
      <c r="C277" s="21" t="str">
        <f>+AA277</f>
        <v>ENTRANTE</v>
      </c>
      <c r="D277" s="3" t="str">
        <f>VLOOKUP(Q277,Code!E:F,2,0)</f>
        <v>Admisiones</v>
      </c>
      <c r="E277" s="3" t="s">
        <v>55</v>
      </c>
      <c r="F277" s="3">
        <f>+AP277</f>
        <v>37</v>
      </c>
      <c r="G277" s="3">
        <f>+S277</f>
        <v>27</v>
      </c>
      <c r="H277" s="22">
        <f>+HOUR(V277)</f>
        <v>17</v>
      </c>
      <c r="I277" s="22">
        <f>IFERROR(VLOOKUP(B277,MATRICULAS!A:B,2,0),0)*1</f>
        <v>0</v>
      </c>
      <c r="J277" s="26">
        <v>20260520</v>
      </c>
      <c r="K277" s="26">
        <v>149305566</v>
      </c>
      <c r="L277" s="26" t="s">
        <v>134</v>
      </c>
      <c r="M277" s="26" t="s">
        <v>56</v>
      </c>
      <c r="N277" s="26">
        <v>0</v>
      </c>
      <c r="O277" s="26">
        <v>0</v>
      </c>
      <c r="P277" s="26" t="s">
        <v>57</v>
      </c>
      <c r="Q277" s="26">
        <v>150</v>
      </c>
      <c r="R277" s="26" t="s">
        <v>174</v>
      </c>
      <c r="S277" s="26">
        <v>27</v>
      </c>
      <c r="T277" s="26" t="s">
        <v>58</v>
      </c>
      <c r="U277" s="26" t="s">
        <v>59</v>
      </c>
      <c r="V277" s="28">
        <v>46162.732581018521</v>
      </c>
      <c r="W277" s="28">
        <v>46162.732581018521</v>
      </c>
      <c r="X277" s="28">
        <v>46162.736631944441</v>
      </c>
      <c r="Y277" s="26" t="s">
        <v>117</v>
      </c>
      <c r="Z277" s="26" t="s">
        <v>624</v>
      </c>
      <c r="AA277" s="26" t="s">
        <v>53</v>
      </c>
      <c r="AB277" s="26" t="s">
        <v>60</v>
      </c>
      <c r="AC277" s="26" t="s">
        <v>625</v>
      </c>
      <c r="AD277" s="26" t="s">
        <v>118</v>
      </c>
      <c r="AE277" s="26" t="s">
        <v>70</v>
      </c>
      <c r="AF277" s="26" t="s">
        <v>126</v>
      </c>
      <c r="AG277" s="26" t="s">
        <v>626</v>
      </c>
      <c r="AH277" s="26">
        <v>0</v>
      </c>
      <c r="AI277" s="26">
        <v>0</v>
      </c>
      <c r="AJ277" s="26">
        <v>0</v>
      </c>
      <c r="AK277" s="26">
        <v>0</v>
      </c>
      <c r="AL277" s="26" t="s">
        <v>64</v>
      </c>
      <c r="AM277" s="26">
        <v>3</v>
      </c>
      <c r="AN277" s="26">
        <v>350</v>
      </c>
      <c r="AO277" s="26" t="s">
        <v>65</v>
      </c>
      <c r="AP277" s="26">
        <v>37</v>
      </c>
      <c r="AQ277" s="26">
        <v>155</v>
      </c>
      <c r="AR277" s="26">
        <v>1572655</v>
      </c>
      <c r="AS277" s="26" t="s">
        <v>118</v>
      </c>
      <c r="AT277" s="26" t="s">
        <v>627</v>
      </c>
      <c r="AU277" s="29" t="s">
        <v>118</v>
      </c>
    </row>
    <row r="278" spans="1:47" x14ac:dyDescent="0.25">
      <c r="A278" s="7">
        <f>+CONCATENATE(DAY(V278),"/",MONTH(V278),"/",YEAR(V278),"")*1</f>
        <v>46162</v>
      </c>
      <c r="B278" s="23">
        <f>+Z278*1</f>
        <v>1176095499</v>
      </c>
      <c r="C278" s="21" t="str">
        <f>+AA278</f>
        <v>ENTRANTE</v>
      </c>
      <c r="D278" s="3" t="str">
        <f>VLOOKUP(Q278,Code!E:F,2,0)</f>
        <v>Admisiones</v>
      </c>
      <c r="E278" s="3" t="s">
        <v>55</v>
      </c>
      <c r="F278" s="3">
        <f>+AP278</f>
        <v>37</v>
      </c>
      <c r="G278" s="3">
        <f>+S278</f>
        <v>27</v>
      </c>
      <c r="H278" s="22">
        <f>+HOUR(V278)</f>
        <v>16</v>
      </c>
      <c r="I278" s="22">
        <f>IFERROR(VLOOKUP(B278,MATRICULAS!A:B,2,0),0)*1</f>
        <v>0</v>
      </c>
      <c r="J278" s="27">
        <v>20260520</v>
      </c>
      <c r="K278" s="27">
        <v>149304815</v>
      </c>
      <c r="L278" s="27" t="s">
        <v>134</v>
      </c>
      <c r="M278" s="27" t="s">
        <v>56</v>
      </c>
      <c r="N278" s="27">
        <v>0</v>
      </c>
      <c r="O278" s="27">
        <v>0</v>
      </c>
      <c r="P278" s="27" t="s">
        <v>57</v>
      </c>
      <c r="Q278" s="27">
        <v>150</v>
      </c>
      <c r="R278" s="27" t="s">
        <v>174</v>
      </c>
      <c r="S278" s="27">
        <v>27</v>
      </c>
      <c r="T278" s="27" t="s">
        <v>58</v>
      </c>
      <c r="U278" s="27" t="s">
        <v>59</v>
      </c>
      <c r="V278" s="30">
        <v>46162.704699074071</v>
      </c>
      <c r="W278" s="30">
        <v>46162.704699074071</v>
      </c>
      <c r="X278" s="30">
        <v>46162.707106481481</v>
      </c>
      <c r="Y278" s="27" t="s">
        <v>117</v>
      </c>
      <c r="Z278" s="27" t="s">
        <v>628</v>
      </c>
      <c r="AA278" s="27" t="s">
        <v>53</v>
      </c>
      <c r="AB278" s="27" t="s">
        <v>60</v>
      </c>
      <c r="AC278" s="27" t="s">
        <v>629</v>
      </c>
      <c r="AD278" s="27" t="s">
        <v>118</v>
      </c>
      <c r="AE278" s="27" t="s">
        <v>66</v>
      </c>
      <c r="AF278" s="27" t="s">
        <v>67</v>
      </c>
      <c r="AG278" s="27" t="s">
        <v>67</v>
      </c>
      <c r="AH278" s="27">
        <v>0</v>
      </c>
      <c r="AI278" s="27">
        <v>0</v>
      </c>
      <c r="AJ278" s="27">
        <v>0</v>
      </c>
      <c r="AK278" s="27">
        <v>0</v>
      </c>
      <c r="AL278" s="27" t="s">
        <v>64</v>
      </c>
      <c r="AM278" s="27">
        <v>3</v>
      </c>
      <c r="AN278" s="27">
        <v>209</v>
      </c>
      <c r="AO278" s="27" t="s">
        <v>65</v>
      </c>
      <c r="AP278" s="27">
        <v>37</v>
      </c>
      <c r="AQ278" s="27">
        <v>175</v>
      </c>
      <c r="AR278" s="27">
        <v>2287486</v>
      </c>
      <c r="AS278" s="27" t="s">
        <v>118</v>
      </c>
      <c r="AT278" s="27" t="s">
        <v>630</v>
      </c>
      <c r="AU278" s="31" t="s">
        <v>118</v>
      </c>
    </row>
    <row r="279" spans="1:47" x14ac:dyDescent="0.25">
      <c r="A279" s="7">
        <f>+CONCATENATE(DAY(V279),"/",MONTH(V279),"/",YEAR(V279),"")*1</f>
        <v>46162</v>
      </c>
      <c r="B279" s="23">
        <f>+Z279*1</f>
        <v>1147646338</v>
      </c>
      <c r="C279" s="21" t="str">
        <f>+AA279</f>
        <v>ENTRANTE</v>
      </c>
      <c r="D279" s="3" t="str">
        <f>VLOOKUP(Q279,Code!E:F,2,0)</f>
        <v>Admisiones</v>
      </c>
      <c r="E279" s="3" t="s">
        <v>55</v>
      </c>
      <c r="F279" s="3">
        <f>+AP279</f>
        <v>37</v>
      </c>
      <c r="G279" s="3">
        <f>+S279</f>
        <v>27</v>
      </c>
      <c r="H279" s="22">
        <f>+HOUR(V279)</f>
        <v>15</v>
      </c>
      <c r="I279" s="22">
        <f>IFERROR(VLOOKUP(B279,MATRICULAS!A:B,2,0),0)*1</f>
        <v>0</v>
      </c>
      <c r="J279" s="26">
        <v>20260520</v>
      </c>
      <c r="K279" s="26">
        <v>149302562</v>
      </c>
      <c r="L279" s="26" t="s">
        <v>134</v>
      </c>
      <c r="M279" s="26" t="s">
        <v>56</v>
      </c>
      <c r="N279" s="26">
        <v>0</v>
      </c>
      <c r="O279" s="26">
        <v>0</v>
      </c>
      <c r="P279" s="26" t="s">
        <v>57</v>
      </c>
      <c r="Q279" s="26">
        <v>150</v>
      </c>
      <c r="R279" s="26" t="s">
        <v>163</v>
      </c>
      <c r="S279" s="26">
        <v>27</v>
      </c>
      <c r="T279" s="26" t="s">
        <v>58</v>
      </c>
      <c r="U279" s="26" t="s">
        <v>59</v>
      </c>
      <c r="V279" s="28">
        <v>46162.650092592594</v>
      </c>
      <c r="W279" s="28">
        <v>46162.650092592594</v>
      </c>
      <c r="X279" s="28">
        <v>46162.66138888889</v>
      </c>
      <c r="Y279" s="26" t="s">
        <v>117</v>
      </c>
      <c r="Z279" s="26" t="s">
        <v>631</v>
      </c>
      <c r="AA279" s="26" t="s">
        <v>53</v>
      </c>
      <c r="AB279" s="26" t="s">
        <v>60</v>
      </c>
      <c r="AC279" s="26" t="s">
        <v>632</v>
      </c>
      <c r="AD279" s="26" t="s">
        <v>118</v>
      </c>
      <c r="AE279" s="26" t="s">
        <v>66</v>
      </c>
      <c r="AF279" s="26" t="s">
        <v>67</v>
      </c>
      <c r="AG279" s="26" t="s">
        <v>67</v>
      </c>
      <c r="AH279" s="26">
        <v>0</v>
      </c>
      <c r="AI279" s="26">
        <v>0</v>
      </c>
      <c r="AJ279" s="26">
        <v>0</v>
      </c>
      <c r="AK279" s="26">
        <v>0</v>
      </c>
      <c r="AL279" s="26" t="s">
        <v>64</v>
      </c>
      <c r="AM279" s="26">
        <v>3</v>
      </c>
      <c r="AN279" s="26">
        <v>976</v>
      </c>
      <c r="AO279" s="26" t="s">
        <v>65</v>
      </c>
      <c r="AP279" s="26">
        <v>37</v>
      </c>
      <c r="AQ279" s="26">
        <v>1</v>
      </c>
      <c r="AR279" s="26">
        <v>2502053</v>
      </c>
      <c r="AS279" s="26" t="s">
        <v>118</v>
      </c>
      <c r="AT279" s="26" t="s">
        <v>633</v>
      </c>
      <c r="AU279" s="29" t="s">
        <v>118</v>
      </c>
    </row>
    <row r="280" spans="1:47" x14ac:dyDescent="0.25">
      <c r="A280" s="7">
        <f>+CONCATENATE(DAY(V280),"/",MONTH(V280),"/",YEAR(V280),"")*1</f>
        <v>46162</v>
      </c>
      <c r="B280" s="23">
        <f>+Z280*1</f>
        <v>1123717144</v>
      </c>
      <c r="C280" s="21" t="str">
        <f>+AA280</f>
        <v>ENTRANTE</v>
      </c>
      <c r="D280" s="3" t="str">
        <f>VLOOKUP(Q280,Code!E:F,2,0)</f>
        <v>Admisiones</v>
      </c>
      <c r="E280" s="3" t="s">
        <v>55</v>
      </c>
      <c r="F280" s="3">
        <f>+AP280</f>
        <v>37</v>
      </c>
      <c r="G280" s="3">
        <f>+S280</f>
        <v>26</v>
      </c>
      <c r="H280" s="22">
        <f>+HOUR(V280)</f>
        <v>13</v>
      </c>
      <c r="I280" s="22">
        <f>IFERROR(VLOOKUP(B280,MATRICULAS!A:B,2,0),0)*1</f>
        <v>0</v>
      </c>
      <c r="J280" s="27">
        <v>20260520</v>
      </c>
      <c r="K280" s="27">
        <v>149300351</v>
      </c>
      <c r="L280" s="27" t="s">
        <v>134</v>
      </c>
      <c r="M280" s="27" t="s">
        <v>56</v>
      </c>
      <c r="N280" s="27">
        <v>0</v>
      </c>
      <c r="O280" s="27">
        <v>0</v>
      </c>
      <c r="P280" s="27" t="s">
        <v>57</v>
      </c>
      <c r="Q280" s="27">
        <v>150</v>
      </c>
      <c r="R280" s="27" t="s">
        <v>127</v>
      </c>
      <c r="S280" s="27">
        <v>26</v>
      </c>
      <c r="T280" s="27" t="s">
        <v>58</v>
      </c>
      <c r="U280" s="27" t="s">
        <v>59</v>
      </c>
      <c r="V280" s="30">
        <v>46162.579398148147</v>
      </c>
      <c r="W280" s="30">
        <v>46162.579398148147</v>
      </c>
      <c r="X280" s="30">
        <v>46162.579976851855</v>
      </c>
      <c r="Y280" s="27" t="s">
        <v>117</v>
      </c>
      <c r="Z280" s="27" t="s">
        <v>634</v>
      </c>
      <c r="AA280" s="27" t="s">
        <v>53</v>
      </c>
      <c r="AB280" s="27" t="s">
        <v>60</v>
      </c>
      <c r="AC280" s="27" t="s">
        <v>635</v>
      </c>
      <c r="AD280" s="27" t="s">
        <v>118</v>
      </c>
      <c r="AE280" s="27" t="s">
        <v>66</v>
      </c>
      <c r="AF280" s="27" t="s">
        <v>67</v>
      </c>
      <c r="AG280" s="27" t="s">
        <v>67</v>
      </c>
      <c r="AH280" s="27">
        <v>0</v>
      </c>
      <c r="AI280" s="27">
        <v>0</v>
      </c>
      <c r="AJ280" s="27">
        <v>0</v>
      </c>
      <c r="AK280" s="27">
        <v>0</v>
      </c>
      <c r="AL280" s="27" t="s">
        <v>64</v>
      </c>
      <c r="AM280" s="27">
        <v>3</v>
      </c>
      <c r="AN280" s="27">
        <v>51</v>
      </c>
      <c r="AO280" s="27" t="s">
        <v>65</v>
      </c>
      <c r="AP280" s="27">
        <v>37</v>
      </c>
      <c r="AQ280" s="27">
        <v>0</v>
      </c>
      <c r="AR280" s="27">
        <v>0</v>
      </c>
      <c r="AS280" s="27" t="s">
        <v>118</v>
      </c>
      <c r="AT280" s="27" t="s">
        <v>636</v>
      </c>
      <c r="AU280" s="31" t="s">
        <v>118</v>
      </c>
    </row>
    <row r="281" spans="1:47" x14ac:dyDescent="0.25">
      <c r="A281" s="7">
        <f>+CONCATENATE(DAY(V281),"/",MONTH(V281),"/",YEAR(V281),"")*1</f>
        <v>46162</v>
      </c>
      <c r="B281" s="23">
        <f>+Z281*1</f>
        <v>3884881290</v>
      </c>
      <c r="C281" s="21" t="str">
        <f>+AA281</f>
        <v>ENTRANTE</v>
      </c>
      <c r="D281" s="3" t="str">
        <f>VLOOKUP(Q281,Code!E:F,2,0)</f>
        <v>Admisiones</v>
      </c>
      <c r="E281" s="3" t="s">
        <v>55</v>
      </c>
      <c r="F281" s="3">
        <f>+AP281</f>
        <v>37</v>
      </c>
      <c r="G281" s="3">
        <f>+S281</f>
        <v>26</v>
      </c>
      <c r="H281" s="22">
        <f>+HOUR(V281)</f>
        <v>13</v>
      </c>
      <c r="I281" s="22">
        <f>IFERROR(VLOOKUP(B281,MATRICULAS!A:B,2,0),0)*1</f>
        <v>0</v>
      </c>
      <c r="J281" s="26">
        <v>20260520</v>
      </c>
      <c r="K281" s="26">
        <v>149300204</v>
      </c>
      <c r="L281" s="26" t="s">
        <v>134</v>
      </c>
      <c r="M281" s="26" t="s">
        <v>56</v>
      </c>
      <c r="N281" s="26">
        <v>0</v>
      </c>
      <c r="O281" s="26">
        <v>0</v>
      </c>
      <c r="P281" s="26" t="s">
        <v>57</v>
      </c>
      <c r="Q281" s="26">
        <v>150</v>
      </c>
      <c r="R281" s="26" t="s">
        <v>151</v>
      </c>
      <c r="S281" s="26">
        <v>26</v>
      </c>
      <c r="T281" s="26" t="s">
        <v>58</v>
      </c>
      <c r="U281" s="26" t="s">
        <v>59</v>
      </c>
      <c r="V281" s="28">
        <v>46162.573460648149</v>
      </c>
      <c r="W281" s="28">
        <v>46162.573460648149</v>
      </c>
      <c r="X281" s="28">
        <v>46162.588136574072</v>
      </c>
      <c r="Y281" s="26" t="s">
        <v>117</v>
      </c>
      <c r="Z281" s="26" t="s">
        <v>581</v>
      </c>
      <c r="AA281" s="26" t="s">
        <v>53</v>
      </c>
      <c r="AB281" s="26" t="s">
        <v>60</v>
      </c>
      <c r="AC281" s="26" t="s">
        <v>637</v>
      </c>
      <c r="AD281" s="26" t="s">
        <v>118</v>
      </c>
      <c r="AE281" s="26" t="s">
        <v>61</v>
      </c>
      <c r="AF281" s="26" t="s">
        <v>62</v>
      </c>
      <c r="AG281" s="26" t="s">
        <v>63</v>
      </c>
      <c r="AH281" s="26">
        <v>0</v>
      </c>
      <c r="AI281" s="26">
        <v>0</v>
      </c>
      <c r="AJ281" s="26">
        <v>0</v>
      </c>
      <c r="AK281" s="26">
        <v>0</v>
      </c>
      <c r="AL281" s="26" t="s">
        <v>64</v>
      </c>
      <c r="AM281" s="26">
        <v>3</v>
      </c>
      <c r="AN281" s="26">
        <v>1269</v>
      </c>
      <c r="AO281" s="26" t="s">
        <v>65</v>
      </c>
      <c r="AP281" s="26">
        <v>37</v>
      </c>
      <c r="AQ281" s="26">
        <v>199</v>
      </c>
      <c r="AR281" s="26">
        <v>2476580</v>
      </c>
      <c r="AS281" s="26" t="s">
        <v>118</v>
      </c>
      <c r="AT281" s="26" t="s">
        <v>638</v>
      </c>
      <c r="AU281" s="29" t="s">
        <v>118</v>
      </c>
    </row>
    <row r="282" spans="1:47" x14ac:dyDescent="0.25">
      <c r="A282" s="7">
        <f>+CONCATENATE(DAY(V282),"/",MONTH(V282),"/",YEAR(V282),"")*1</f>
        <v>46162</v>
      </c>
      <c r="B282" s="23">
        <f>+Z282*1</f>
        <v>1154949499</v>
      </c>
      <c r="C282" s="21" t="str">
        <f>+AA282</f>
        <v>ENTRANTE</v>
      </c>
      <c r="D282" s="3" t="str">
        <f>VLOOKUP(Q282,Code!E:F,2,0)</f>
        <v>Admisiones</v>
      </c>
      <c r="E282" s="3" t="s">
        <v>55</v>
      </c>
      <c r="F282" s="3">
        <f>+AP282</f>
        <v>37</v>
      </c>
      <c r="G282" s="3">
        <f>+S282</f>
        <v>26</v>
      </c>
      <c r="H282" s="22">
        <f>+HOUR(V282)</f>
        <v>13</v>
      </c>
      <c r="I282" s="22">
        <f>IFERROR(VLOOKUP(B282,MATRICULAS!A:B,2,0),0)*1</f>
        <v>0</v>
      </c>
      <c r="J282" s="27">
        <v>20260520</v>
      </c>
      <c r="K282" s="27">
        <v>149300099</v>
      </c>
      <c r="L282" s="27" t="s">
        <v>134</v>
      </c>
      <c r="M282" s="27" t="s">
        <v>56</v>
      </c>
      <c r="N282" s="27">
        <v>0</v>
      </c>
      <c r="O282" s="27">
        <v>0</v>
      </c>
      <c r="P282" s="27" t="s">
        <v>57</v>
      </c>
      <c r="Q282" s="27">
        <v>150</v>
      </c>
      <c r="R282" s="27" t="s">
        <v>127</v>
      </c>
      <c r="S282" s="27">
        <v>26</v>
      </c>
      <c r="T282" s="27" t="s">
        <v>58</v>
      </c>
      <c r="U282" s="27" t="s">
        <v>59</v>
      </c>
      <c r="V282" s="30">
        <v>46162.56962962963</v>
      </c>
      <c r="W282" s="30">
        <v>46162.56962962963</v>
      </c>
      <c r="X282" s="30">
        <v>46162.576412037037</v>
      </c>
      <c r="Y282" s="27" t="s">
        <v>117</v>
      </c>
      <c r="Z282" s="27" t="s">
        <v>639</v>
      </c>
      <c r="AA282" s="27" t="s">
        <v>53</v>
      </c>
      <c r="AB282" s="27" t="s">
        <v>60</v>
      </c>
      <c r="AC282" s="27" t="s">
        <v>640</v>
      </c>
      <c r="AD282" s="27" t="s">
        <v>118</v>
      </c>
      <c r="AE282" s="27" t="s">
        <v>61</v>
      </c>
      <c r="AF282" s="27" t="s">
        <v>62</v>
      </c>
      <c r="AG282" s="27" t="s">
        <v>63</v>
      </c>
      <c r="AH282" s="27">
        <v>0</v>
      </c>
      <c r="AI282" s="27">
        <v>0</v>
      </c>
      <c r="AJ282" s="27">
        <v>0</v>
      </c>
      <c r="AK282" s="27">
        <v>0</v>
      </c>
      <c r="AL282" s="27" t="s">
        <v>64</v>
      </c>
      <c r="AM282" s="27">
        <v>3</v>
      </c>
      <c r="AN282" s="27">
        <v>586</v>
      </c>
      <c r="AO282" s="27" t="s">
        <v>65</v>
      </c>
      <c r="AP282" s="27">
        <v>37</v>
      </c>
      <c r="AQ282" s="27">
        <v>201</v>
      </c>
      <c r="AR282" s="27">
        <v>2501191</v>
      </c>
      <c r="AS282" s="27" t="s">
        <v>118</v>
      </c>
      <c r="AT282" s="27" t="s">
        <v>641</v>
      </c>
      <c r="AU282" s="31" t="s">
        <v>118</v>
      </c>
    </row>
    <row r="283" spans="1:47" x14ac:dyDescent="0.25">
      <c r="A283" s="7">
        <f>+CONCATENATE(DAY(V283),"/",MONTH(V283),"/",YEAR(V283),"")*1</f>
        <v>46162</v>
      </c>
      <c r="B283" s="23">
        <f>+Z283*1</f>
        <v>3874799847</v>
      </c>
      <c r="C283" s="21" t="str">
        <f>+AA283</f>
        <v>ENTRANTE</v>
      </c>
      <c r="D283" s="3" t="str">
        <f>VLOOKUP(Q283,Code!E:F,2,0)</f>
        <v>Admisiones</v>
      </c>
      <c r="E283" s="3" t="s">
        <v>55</v>
      </c>
      <c r="F283" s="3">
        <f>+AP283</f>
        <v>37</v>
      </c>
      <c r="G283" s="3">
        <f>+S283</f>
        <v>26</v>
      </c>
      <c r="H283" s="22">
        <f>+HOUR(V283)</f>
        <v>13</v>
      </c>
      <c r="I283" s="22">
        <f>IFERROR(VLOOKUP(B283,MATRICULAS!A:B,2,0),0)*1</f>
        <v>0</v>
      </c>
      <c r="J283" s="26">
        <v>20260520</v>
      </c>
      <c r="K283" s="26">
        <v>149299952</v>
      </c>
      <c r="L283" s="26" t="s">
        <v>134</v>
      </c>
      <c r="M283" s="26" t="s">
        <v>56</v>
      </c>
      <c r="N283" s="26">
        <v>0</v>
      </c>
      <c r="O283" s="26">
        <v>0</v>
      </c>
      <c r="P283" s="26" t="s">
        <v>57</v>
      </c>
      <c r="Q283" s="26">
        <v>150</v>
      </c>
      <c r="R283" s="26" t="s">
        <v>145</v>
      </c>
      <c r="S283" s="26">
        <v>26</v>
      </c>
      <c r="T283" s="26" t="s">
        <v>58</v>
      </c>
      <c r="U283" s="26" t="s">
        <v>59</v>
      </c>
      <c r="V283" s="28">
        <v>46162.565358796295</v>
      </c>
      <c r="W283" s="28">
        <v>46162.565358796295</v>
      </c>
      <c r="X283" s="28">
        <v>46162.571215277778</v>
      </c>
      <c r="Y283" s="26" t="s">
        <v>117</v>
      </c>
      <c r="Z283" s="26" t="s">
        <v>642</v>
      </c>
      <c r="AA283" s="26" t="s">
        <v>53</v>
      </c>
      <c r="AB283" s="26" t="s">
        <v>60</v>
      </c>
      <c r="AC283" s="26" t="s">
        <v>643</v>
      </c>
      <c r="AD283" s="26" t="s">
        <v>118</v>
      </c>
      <c r="AE283" s="26" t="s">
        <v>61</v>
      </c>
      <c r="AF283" s="26" t="s">
        <v>62</v>
      </c>
      <c r="AG283" s="26" t="s">
        <v>63</v>
      </c>
      <c r="AH283" s="26">
        <v>0</v>
      </c>
      <c r="AI283" s="26">
        <v>0</v>
      </c>
      <c r="AJ283" s="26">
        <v>0</v>
      </c>
      <c r="AK283" s="26">
        <v>0</v>
      </c>
      <c r="AL283" s="26" t="s">
        <v>64</v>
      </c>
      <c r="AM283" s="26">
        <v>3</v>
      </c>
      <c r="AN283" s="26">
        <v>507</v>
      </c>
      <c r="AO283" s="26" t="s">
        <v>65</v>
      </c>
      <c r="AP283" s="26">
        <v>37</v>
      </c>
      <c r="AQ283" s="26">
        <v>198</v>
      </c>
      <c r="AR283" s="26">
        <v>2483957</v>
      </c>
      <c r="AS283" s="26" t="s">
        <v>118</v>
      </c>
      <c r="AT283" s="26" t="s">
        <v>644</v>
      </c>
      <c r="AU283" s="29" t="s">
        <v>118</v>
      </c>
    </row>
    <row r="284" spans="1:47" x14ac:dyDescent="0.25">
      <c r="A284" s="7">
        <f>+CONCATENATE(DAY(V284),"/",MONTH(V284),"/",YEAR(V284),"")*1</f>
        <v>46162</v>
      </c>
      <c r="B284" s="23">
        <f>+Z284*1</f>
        <v>2364249984</v>
      </c>
      <c r="C284" s="21" t="str">
        <f>+AA284</f>
        <v>ENTRANTE</v>
      </c>
      <c r="D284" s="3" t="str">
        <f>VLOOKUP(Q284,Code!E:F,2,0)</f>
        <v>Admisiones</v>
      </c>
      <c r="E284" s="3" t="s">
        <v>55</v>
      </c>
      <c r="F284" s="3">
        <f>+AP284</f>
        <v>37</v>
      </c>
      <c r="G284" s="3">
        <f>+S284</f>
        <v>26</v>
      </c>
      <c r="H284" s="22">
        <f>+HOUR(V284)</f>
        <v>13</v>
      </c>
      <c r="I284" s="22">
        <f>IFERROR(VLOOKUP(B284,MATRICULAS!A:B,2,0),0)*1</f>
        <v>0</v>
      </c>
      <c r="J284" s="27">
        <v>20260520</v>
      </c>
      <c r="K284" s="27">
        <v>149299881</v>
      </c>
      <c r="L284" s="27" t="s">
        <v>134</v>
      </c>
      <c r="M284" s="27" t="s">
        <v>56</v>
      </c>
      <c r="N284" s="27">
        <v>0</v>
      </c>
      <c r="O284" s="27">
        <v>0</v>
      </c>
      <c r="P284" s="27" t="s">
        <v>57</v>
      </c>
      <c r="Q284" s="27">
        <v>150</v>
      </c>
      <c r="R284" s="27" t="s">
        <v>127</v>
      </c>
      <c r="S284" s="27">
        <v>26</v>
      </c>
      <c r="T284" s="27" t="s">
        <v>58</v>
      </c>
      <c r="U284" s="27" t="s">
        <v>59</v>
      </c>
      <c r="V284" s="30">
        <v>46162.563946759263</v>
      </c>
      <c r="W284" s="30">
        <v>46162.563946759263</v>
      </c>
      <c r="X284" s="30">
        <v>46162.565775462965</v>
      </c>
      <c r="Y284" s="27" t="s">
        <v>117</v>
      </c>
      <c r="Z284" s="27" t="s">
        <v>645</v>
      </c>
      <c r="AA284" s="27" t="s">
        <v>53</v>
      </c>
      <c r="AB284" s="27" t="s">
        <v>60</v>
      </c>
      <c r="AC284" s="27" t="s">
        <v>646</v>
      </c>
      <c r="AD284" s="27" t="s">
        <v>118</v>
      </c>
      <c r="AE284" s="27" t="s">
        <v>70</v>
      </c>
      <c r="AF284" s="27" t="s">
        <v>126</v>
      </c>
      <c r="AG284" s="27" t="s">
        <v>647</v>
      </c>
      <c r="AH284" s="27">
        <v>0</v>
      </c>
      <c r="AI284" s="27">
        <v>0</v>
      </c>
      <c r="AJ284" s="27">
        <v>0</v>
      </c>
      <c r="AK284" s="27">
        <v>0</v>
      </c>
      <c r="AL284" s="27" t="s">
        <v>64</v>
      </c>
      <c r="AM284" s="27">
        <v>3</v>
      </c>
      <c r="AN284" s="27">
        <v>158</v>
      </c>
      <c r="AO284" s="27" t="s">
        <v>65</v>
      </c>
      <c r="AP284" s="27">
        <v>37</v>
      </c>
      <c r="AQ284" s="27">
        <v>192</v>
      </c>
      <c r="AR284" s="27">
        <v>2314367</v>
      </c>
      <c r="AS284" s="27" t="s">
        <v>118</v>
      </c>
      <c r="AT284" s="27" t="s">
        <v>648</v>
      </c>
      <c r="AU284" s="31" t="s">
        <v>118</v>
      </c>
    </row>
    <row r="285" spans="1:47" x14ac:dyDescent="0.25">
      <c r="A285" s="7">
        <f>+CONCATENATE(DAY(V285),"/",MONTH(V285),"/",YEAR(V285),"")*1</f>
        <v>46162</v>
      </c>
      <c r="B285" s="23">
        <f>+Z285*1</f>
        <v>1133418057</v>
      </c>
      <c r="C285" s="21" t="str">
        <f>+AA285</f>
        <v>ENTRANTE</v>
      </c>
      <c r="D285" s="3" t="str">
        <f>VLOOKUP(Q285,Code!E:F,2,0)</f>
        <v>Admisiones</v>
      </c>
      <c r="E285" s="3" t="s">
        <v>55</v>
      </c>
      <c r="F285" s="3">
        <f>+AP285</f>
        <v>37</v>
      </c>
      <c r="G285" s="3">
        <f>+S285</f>
        <v>26</v>
      </c>
      <c r="H285" s="22">
        <f>+HOUR(V285)</f>
        <v>11</v>
      </c>
      <c r="I285" s="22">
        <f>IFERROR(VLOOKUP(B285,MATRICULAS!A:B,2,0),0)*1</f>
        <v>0</v>
      </c>
      <c r="J285" s="27">
        <v>20260520</v>
      </c>
      <c r="K285" s="27">
        <v>149296836</v>
      </c>
      <c r="L285" s="27" t="s">
        <v>134</v>
      </c>
      <c r="M285" s="27" t="s">
        <v>56</v>
      </c>
      <c r="N285" s="27">
        <v>0</v>
      </c>
      <c r="O285" s="27">
        <v>0</v>
      </c>
      <c r="P285" s="27" t="s">
        <v>57</v>
      </c>
      <c r="Q285" s="27">
        <v>150</v>
      </c>
      <c r="R285" s="27" t="s">
        <v>127</v>
      </c>
      <c r="S285" s="27">
        <v>26</v>
      </c>
      <c r="T285" s="27" t="s">
        <v>58</v>
      </c>
      <c r="U285" s="27" t="s">
        <v>59</v>
      </c>
      <c r="V285" s="30">
        <v>46162.487743055557</v>
      </c>
      <c r="W285" s="30">
        <v>46162.487743055557</v>
      </c>
      <c r="X285" s="30">
        <v>46162.494409722225</v>
      </c>
      <c r="Y285" s="27" t="s">
        <v>117</v>
      </c>
      <c r="Z285" s="27" t="s">
        <v>650</v>
      </c>
      <c r="AA285" s="27" t="s">
        <v>53</v>
      </c>
      <c r="AB285" s="27" t="s">
        <v>60</v>
      </c>
      <c r="AC285" s="27" t="s">
        <v>651</v>
      </c>
      <c r="AD285" s="27" t="s">
        <v>118</v>
      </c>
      <c r="AE285" s="27" t="s">
        <v>61</v>
      </c>
      <c r="AF285" s="27" t="s">
        <v>62</v>
      </c>
      <c r="AG285" s="27" t="s">
        <v>63</v>
      </c>
      <c r="AH285" s="27">
        <v>0</v>
      </c>
      <c r="AI285" s="27">
        <v>0</v>
      </c>
      <c r="AJ285" s="27">
        <v>0</v>
      </c>
      <c r="AK285" s="27">
        <v>0</v>
      </c>
      <c r="AL285" s="27" t="s">
        <v>64</v>
      </c>
      <c r="AM285" s="27">
        <v>3</v>
      </c>
      <c r="AN285" s="27">
        <v>577</v>
      </c>
      <c r="AO285" s="27" t="s">
        <v>65</v>
      </c>
      <c r="AP285" s="27">
        <v>37</v>
      </c>
      <c r="AQ285" s="27">
        <v>1</v>
      </c>
      <c r="AR285" s="27">
        <v>2501833</v>
      </c>
      <c r="AS285" s="27" t="s">
        <v>118</v>
      </c>
      <c r="AT285" s="27" t="s">
        <v>652</v>
      </c>
      <c r="AU285" s="31" t="s">
        <v>118</v>
      </c>
    </row>
    <row r="286" spans="1:47" x14ac:dyDescent="0.25">
      <c r="A286" s="7">
        <f>+CONCATENATE(DAY(V286),"/",MONTH(V286),"/",YEAR(V286),"")*1</f>
        <v>46162</v>
      </c>
      <c r="B286" s="23">
        <f>+Z286*1</f>
        <v>1165344381</v>
      </c>
      <c r="C286" s="21" t="str">
        <f>+AA286</f>
        <v>ENTRANTE</v>
      </c>
      <c r="D286" s="3" t="str">
        <f>VLOOKUP(Q286,Code!E:F,2,0)</f>
        <v>Admisiones</v>
      </c>
      <c r="E286" s="3" t="s">
        <v>55</v>
      </c>
      <c r="F286" s="3">
        <f>+AP286</f>
        <v>37</v>
      </c>
      <c r="G286" s="3">
        <f>+S286</f>
        <v>26</v>
      </c>
      <c r="H286" s="22">
        <f>+HOUR(V286)</f>
        <v>11</v>
      </c>
      <c r="I286" s="22">
        <f>IFERROR(VLOOKUP(B286,MATRICULAS!A:B,2,0),0)*1</f>
        <v>0</v>
      </c>
      <c r="J286" s="26">
        <v>20260520</v>
      </c>
      <c r="K286" s="26">
        <v>149296366</v>
      </c>
      <c r="L286" s="26" t="s">
        <v>134</v>
      </c>
      <c r="M286" s="26" t="s">
        <v>56</v>
      </c>
      <c r="N286" s="26">
        <v>0</v>
      </c>
      <c r="O286" s="26">
        <v>0</v>
      </c>
      <c r="P286" s="26" t="s">
        <v>57</v>
      </c>
      <c r="Q286" s="26">
        <v>150</v>
      </c>
      <c r="R286" s="26" t="s">
        <v>127</v>
      </c>
      <c r="S286" s="26">
        <v>26</v>
      </c>
      <c r="T286" s="26" t="s">
        <v>58</v>
      </c>
      <c r="U286" s="26" t="s">
        <v>59</v>
      </c>
      <c r="V286" s="28">
        <v>46162.477638888886</v>
      </c>
      <c r="W286" s="28">
        <v>46162.477638888886</v>
      </c>
      <c r="X286" s="28">
        <v>46162.485567129632</v>
      </c>
      <c r="Y286" s="26" t="s">
        <v>117</v>
      </c>
      <c r="Z286" s="26" t="s">
        <v>653</v>
      </c>
      <c r="AA286" s="26" t="s">
        <v>53</v>
      </c>
      <c r="AB286" s="26" t="s">
        <v>60</v>
      </c>
      <c r="AC286" s="26" t="s">
        <v>654</v>
      </c>
      <c r="AD286" s="26" t="s">
        <v>118</v>
      </c>
      <c r="AE286" s="26" t="s">
        <v>61</v>
      </c>
      <c r="AF286" s="26" t="s">
        <v>62</v>
      </c>
      <c r="AG286" s="26" t="s">
        <v>63</v>
      </c>
      <c r="AH286" s="26">
        <v>0</v>
      </c>
      <c r="AI286" s="26">
        <v>0</v>
      </c>
      <c r="AJ286" s="26">
        <v>0</v>
      </c>
      <c r="AK286" s="26">
        <v>0</v>
      </c>
      <c r="AL286" s="26" t="s">
        <v>64</v>
      </c>
      <c r="AM286" s="26">
        <v>3</v>
      </c>
      <c r="AN286" s="26">
        <v>686</v>
      </c>
      <c r="AO286" s="26" t="s">
        <v>65</v>
      </c>
      <c r="AP286" s="26">
        <v>37</v>
      </c>
      <c r="AQ286" s="26">
        <v>201</v>
      </c>
      <c r="AR286" s="26">
        <v>2489905</v>
      </c>
      <c r="AS286" s="26" t="s">
        <v>118</v>
      </c>
      <c r="AT286" s="26" t="s">
        <v>655</v>
      </c>
      <c r="AU286" s="29" t="s">
        <v>118</v>
      </c>
    </row>
    <row r="287" spans="1:47" x14ac:dyDescent="0.25">
      <c r="A287" s="7">
        <f>+CONCATENATE(DAY(V287),"/",MONTH(V287),"/",YEAR(V287),"")*1</f>
        <v>46162</v>
      </c>
      <c r="B287" s="23">
        <f>+Z287*1</f>
        <v>2945469272</v>
      </c>
      <c r="C287" s="21" t="str">
        <f>+AA287</f>
        <v>ENTRANTE</v>
      </c>
      <c r="D287" s="3" t="str">
        <f>VLOOKUP(Q287,Code!E:F,2,0)</f>
        <v>Admisiones</v>
      </c>
      <c r="E287" s="3" t="s">
        <v>55</v>
      </c>
      <c r="F287" s="3">
        <f>+AP287</f>
        <v>37</v>
      </c>
      <c r="G287" s="3">
        <f>+S287</f>
        <v>26</v>
      </c>
      <c r="H287" s="22">
        <f>+HOUR(V287)</f>
        <v>10</v>
      </c>
      <c r="I287" s="22">
        <f>IFERROR(VLOOKUP(B287,MATRICULAS!A:B,2,0),0)*1</f>
        <v>0</v>
      </c>
      <c r="J287" s="27">
        <v>20260520</v>
      </c>
      <c r="K287" s="27">
        <v>149295159</v>
      </c>
      <c r="L287" s="27" t="s">
        <v>134</v>
      </c>
      <c r="M287" s="27" t="s">
        <v>56</v>
      </c>
      <c r="N287" s="27">
        <v>0</v>
      </c>
      <c r="O287" s="27">
        <v>0</v>
      </c>
      <c r="P287" s="27" t="s">
        <v>57</v>
      </c>
      <c r="Q287" s="27">
        <v>150</v>
      </c>
      <c r="R287" s="27" t="s">
        <v>145</v>
      </c>
      <c r="S287" s="27">
        <v>26</v>
      </c>
      <c r="T287" s="27" t="s">
        <v>58</v>
      </c>
      <c r="U287" s="27" t="s">
        <v>59</v>
      </c>
      <c r="V287" s="30">
        <v>46162.448738425926</v>
      </c>
      <c r="W287" s="30">
        <v>46162.448738425926</v>
      </c>
      <c r="X287" s="30">
        <v>46162.449247685188</v>
      </c>
      <c r="Y287" s="27" t="s">
        <v>117</v>
      </c>
      <c r="Z287" s="27" t="s">
        <v>656</v>
      </c>
      <c r="AA287" s="27" t="s">
        <v>53</v>
      </c>
      <c r="AB287" s="27" t="s">
        <v>60</v>
      </c>
      <c r="AC287" s="27" t="s">
        <v>657</v>
      </c>
      <c r="AD287" s="27" t="s">
        <v>118</v>
      </c>
      <c r="AE287" s="27" t="s">
        <v>61</v>
      </c>
      <c r="AF287" s="27" t="s">
        <v>62</v>
      </c>
      <c r="AG287" s="27" t="s">
        <v>63</v>
      </c>
      <c r="AH287" s="27">
        <v>0</v>
      </c>
      <c r="AI287" s="27">
        <v>0</v>
      </c>
      <c r="AJ287" s="27">
        <v>0</v>
      </c>
      <c r="AK287" s="27">
        <v>0</v>
      </c>
      <c r="AL287" s="27" t="s">
        <v>64</v>
      </c>
      <c r="AM287" s="27">
        <v>3</v>
      </c>
      <c r="AN287" s="27">
        <v>45</v>
      </c>
      <c r="AO287" s="27" t="s">
        <v>65</v>
      </c>
      <c r="AP287" s="27">
        <v>37</v>
      </c>
      <c r="AQ287" s="27">
        <v>1</v>
      </c>
      <c r="AR287" s="27">
        <v>2324418</v>
      </c>
      <c r="AS287" s="27" t="s">
        <v>658</v>
      </c>
      <c r="AT287" s="27" t="s">
        <v>659</v>
      </c>
      <c r="AU287" s="31" t="s">
        <v>118</v>
      </c>
    </row>
    <row r="288" spans="1:47" x14ac:dyDescent="0.25">
      <c r="A288" s="7">
        <f>+CONCATENATE(DAY(V288),"/",MONTH(V288),"/",YEAR(V288),"")*1</f>
        <v>46162</v>
      </c>
      <c r="B288" s="23">
        <f>+Z288*1</f>
        <v>1164380626</v>
      </c>
      <c r="C288" s="21" t="str">
        <f>+AA288</f>
        <v>ENTRANTE</v>
      </c>
      <c r="D288" s="3" t="str">
        <f>VLOOKUP(Q288,Code!E:F,2,0)</f>
        <v>Admisiones</v>
      </c>
      <c r="E288" s="3" t="s">
        <v>55</v>
      </c>
      <c r="F288" s="3">
        <f>+AP288</f>
        <v>37</v>
      </c>
      <c r="G288" s="3">
        <f>+S288</f>
        <v>26</v>
      </c>
      <c r="H288" s="22">
        <f>+HOUR(V288)</f>
        <v>9</v>
      </c>
      <c r="I288" s="22">
        <f>IFERROR(VLOOKUP(B288,MATRICULAS!A:B,2,0),0)*1</f>
        <v>0</v>
      </c>
      <c r="J288" s="26">
        <v>20260520</v>
      </c>
      <c r="K288" s="26">
        <v>149292657</v>
      </c>
      <c r="L288" s="26" t="s">
        <v>134</v>
      </c>
      <c r="M288" s="26" t="s">
        <v>56</v>
      </c>
      <c r="N288" s="26">
        <v>0</v>
      </c>
      <c r="O288" s="26">
        <v>0</v>
      </c>
      <c r="P288" s="26" t="s">
        <v>57</v>
      </c>
      <c r="Q288" s="26">
        <v>150</v>
      </c>
      <c r="R288" s="26" t="s">
        <v>145</v>
      </c>
      <c r="S288" s="26">
        <v>26</v>
      </c>
      <c r="T288" s="26" t="s">
        <v>58</v>
      </c>
      <c r="U288" s="26" t="s">
        <v>59</v>
      </c>
      <c r="V288" s="28">
        <v>46162.386331018519</v>
      </c>
      <c r="W288" s="28">
        <v>46162.386331018519</v>
      </c>
      <c r="X288" s="28">
        <v>46162.3903125</v>
      </c>
      <c r="Y288" s="26" t="s">
        <v>117</v>
      </c>
      <c r="Z288" s="26" t="s">
        <v>660</v>
      </c>
      <c r="AA288" s="26" t="s">
        <v>53</v>
      </c>
      <c r="AB288" s="26" t="s">
        <v>60</v>
      </c>
      <c r="AC288" s="26" t="s">
        <v>661</v>
      </c>
      <c r="AD288" s="26" t="s">
        <v>118</v>
      </c>
      <c r="AE288" s="26" t="s">
        <v>61</v>
      </c>
      <c r="AF288" s="26" t="s">
        <v>62</v>
      </c>
      <c r="AG288" s="26" t="s">
        <v>63</v>
      </c>
      <c r="AH288" s="26">
        <v>0</v>
      </c>
      <c r="AI288" s="26">
        <v>0</v>
      </c>
      <c r="AJ288" s="26">
        <v>0</v>
      </c>
      <c r="AK288" s="26">
        <v>0</v>
      </c>
      <c r="AL288" s="26" t="s">
        <v>64</v>
      </c>
      <c r="AM288" s="26">
        <v>3</v>
      </c>
      <c r="AN288" s="26">
        <v>345</v>
      </c>
      <c r="AO288" s="26" t="s">
        <v>65</v>
      </c>
      <c r="AP288" s="26">
        <v>37</v>
      </c>
      <c r="AQ288" s="26">
        <v>0</v>
      </c>
      <c r="AR288" s="26">
        <v>0</v>
      </c>
      <c r="AS288" s="26" t="s">
        <v>118</v>
      </c>
      <c r="AT288" s="26" t="s">
        <v>662</v>
      </c>
      <c r="AU288" s="29" t="s">
        <v>118</v>
      </c>
    </row>
    <row r="289" spans="1:47" x14ac:dyDescent="0.25">
      <c r="A289" s="7">
        <f>+CONCATENATE(DAY(V289),"/",MONTH(V289),"/",YEAR(V289),"")*1</f>
        <v>46162</v>
      </c>
      <c r="B289" s="23">
        <f>+Z289*1</f>
        <v>2995727480</v>
      </c>
      <c r="C289" s="21" t="str">
        <f>+AA289</f>
        <v>ENTRANTE</v>
      </c>
      <c r="D289" s="3" t="str">
        <f>VLOOKUP(Q289,Code!E:F,2,0)</f>
        <v>Admisiones</v>
      </c>
      <c r="E289" s="3" t="s">
        <v>55</v>
      </c>
      <c r="F289" s="3">
        <f>+AP289</f>
        <v>37</v>
      </c>
      <c r="G289" s="3">
        <f>+S289</f>
        <v>26</v>
      </c>
      <c r="H289" s="22">
        <f>+HOUR(V289)</f>
        <v>9</v>
      </c>
      <c r="I289" s="22">
        <f>IFERROR(VLOOKUP(B289,MATRICULAS!A:B,2,0),0)*1</f>
        <v>1</v>
      </c>
      <c r="J289" s="26">
        <v>20260520</v>
      </c>
      <c r="K289" s="26">
        <v>149292358</v>
      </c>
      <c r="L289" s="26" t="s">
        <v>134</v>
      </c>
      <c r="M289" s="26" t="s">
        <v>56</v>
      </c>
      <c r="N289" s="26">
        <v>0</v>
      </c>
      <c r="O289" s="26">
        <v>0</v>
      </c>
      <c r="P289" s="26" t="s">
        <v>57</v>
      </c>
      <c r="Q289" s="26">
        <v>150</v>
      </c>
      <c r="R289" s="26" t="s">
        <v>151</v>
      </c>
      <c r="S289" s="26">
        <v>26</v>
      </c>
      <c r="T289" s="26" t="s">
        <v>58</v>
      </c>
      <c r="U289" s="26" t="s">
        <v>59</v>
      </c>
      <c r="V289" s="28">
        <v>46162.375057870369</v>
      </c>
      <c r="W289" s="28">
        <v>46162.375057870369</v>
      </c>
      <c r="X289" s="28">
        <v>46162.382986111108</v>
      </c>
      <c r="Y289" s="26" t="s">
        <v>117</v>
      </c>
      <c r="Z289" s="26" t="s">
        <v>663</v>
      </c>
      <c r="AA289" s="26" t="s">
        <v>53</v>
      </c>
      <c r="AB289" s="26" t="s">
        <v>60</v>
      </c>
      <c r="AC289" s="26" t="s">
        <v>664</v>
      </c>
      <c r="AD289" s="26" t="s">
        <v>118</v>
      </c>
      <c r="AE289" s="26" t="s">
        <v>61</v>
      </c>
      <c r="AF289" s="26" t="s">
        <v>62</v>
      </c>
      <c r="AG289" s="26" t="s">
        <v>63</v>
      </c>
      <c r="AH289" s="26">
        <v>0</v>
      </c>
      <c r="AI289" s="26">
        <v>0</v>
      </c>
      <c r="AJ289" s="26">
        <v>0</v>
      </c>
      <c r="AK289" s="26">
        <v>0</v>
      </c>
      <c r="AL289" s="26" t="s">
        <v>64</v>
      </c>
      <c r="AM289" s="26">
        <v>3</v>
      </c>
      <c r="AN289" s="26">
        <v>686</v>
      </c>
      <c r="AO289" s="26" t="s">
        <v>65</v>
      </c>
      <c r="AP289" s="26">
        <v>37</v>
      </c>
      <c r="AQ289" s="26">
        <v>201</v>
      </c>
      <c r="AR289" s="26">
        <v>2500430</v>
      </c>
      <c r="AS289" s="26" t="s">
        <v>118</v>
      </c>
      <c r="AT289" s="26" t="s">
        <v>665</v>
      </c>
      <c r="AU289" s="29" t="s">
        <v>118</v>
      </c>
    </row>
    <row r="290" spans="1:47" x14ac:dyDescent="0.25">
      <c r="A290" s="7">
        <f>+CONCATENATE(DAY(V290),"/",MONTH(V290),"/",YEAR(V290),"")*1</f>
        <v>46163</v>
      </c>
      <c r="B290" s="23">
        <f>+Z290*1</f>
        <v>3444464286</v>
      </c>
      <c r="C290" s="21" t="str">
        <f>+AA290</f>
        <v>ENTRANTE</v>
      </c>
      <c r="D290" s="3" t="str">
        <f>VLOOKUP(Q290,Code!E:F,2,0)</f>
        <v>Admisiones</v>
      </c>
      <c r="E290" s="3" t="s">
        <v>55</v>
      </c>
      <c r="F290" s="3">
        <f>+AP290</f>
        <v>37</v>
      </c>
      <c r="G290" s="3">
        <f>+S290</f>
        <v>27</v>
      </c>
      <c r="H290" s="22">
        <f>+HOUR(V290)</f>
        <v>20</v>
      </c>
      <c r="I290" s="22">
        <f>IFERROR(VLOOKUP(B290,MATRICULAS!A:B,2,0),0)*1</f>
        <v>0</v>
      </c>
      <c r="J290" s="27">
        <v>20260521</v>
      </c>
      <c r="K290" s="27">
        <v>149327451</v>
      </c>
      <c r="L290" s="27" t="s">
        <v>134</v>
      </c>
      <c r="M290" s="27" t="s">
        <v>56</v>
      </c>
      <c r="N290" s="27">
        <v>0</v>
      </c>
      <c r="O290" s="27">
        <v>0</v>
      </c>
      <c r="P290" s="27" t="s">
        <v>57</v>
      </c>
      <c r="Q290" s="27">
        <v>150</v>
      </c>
      <c r="R290" s="27" t="s">
        <v>174</v>
      </c>
      <c r="S290" s="27">
        <v>27</v>
      </c>
      <c r="T290" s="27" t="s">
        <v>58</v>
      </c>
      <c r="U290" s="27" t="s">
        <v>59</v>
      </c>
      <c r="V290" s="30">
        <v>46163.859247685185</v>
      </c>
      <c r="W290" s="30">
        <v>46163.859247685185</v>
      </c>
      <c r="X290" s="30">
        <v>46163.87709490741</v>
      </c>
      <c r="Y290" s="27" t="s">
        <v>117</v>
      </c>
      <c r="Z290" s="27" t="s">
        <v>536</v>
      </c>
      <c r="AA290" s="27" t="s">
        <v>53</v>
      </c>
      <c r="AB290" s="27" t="s">
        <v>60</v>
      </c>
      <c r="AC290" s="27" t="s">
        <v>537</v>
      </c>
      <c r="AD290" s="27" t="s">
        <v>118</v>
      </c>
      <c r="AE290" s="27" t="s">
        <v>61</v>
      </c>
      <c r="AF290" s="27" t="s">
        <v>62</v>
      </c>
      <c r="AG290" s="27" t="s">
        <v>63</v>
      </c>
      <c r="AH290" s="27">
        <v>0</v>
      </c>
      <c r="AI290" s="27">
        <v>0</v>
      </c>
      <c r="AJ290" s="27">
        <v>0</v>
      </c>
      <c r="AK290" s="27">
        <v>0</v>
      </c>
      <c r="AL290" s="27" t="s">
        <v>64</v>
      </c>
      <c r="AM290" s="27">
        <v>3</v>
      </c>
      <c r="AN290" s="27">
        <v>1542</v>
      </c>
      <c r="AO290" s="27" t="s">
        <v>65</v>
      </c>
      <c r="AP290" s="27">
        <v>37</v>
      </c>
      <c r="AQ290" s="27">
        <v>114</v>
      </c>
      <c r="AR290" s="27">
        <v>785998</v>
      </c>
      <c r="AS290" s="27" t="s">
        <v>118</v>
      </c>
      <c r="AT290" s="27" t="s">
        <v>538</v>
      </c>
      <c r="AU290" s="31" t="s">
        <v>118</v>
      </c>
    </row>
    <row r="291" spans="1:47" x14ac:dyDescent="0.25">
      <c r="A291" s="7">
        <f>+CONCATENATE(DAY(V291),"/",MONTH(V291),"/",YEAR(V291),"")*1</f>
        <v>46163</v>
      </c>
      <c r="B291" s="23">
        <f>+Z291*1</f>
        <v>1128897839</v>
      </c>
      <c r="C291" s="21" t="str">
        <f>+AA291</f>
        <v>ENTRANTE</v>
      </c>
      <c r="D291" s="3" t="str">
        <f>VLOOKUP(Q291,Code!E:F,2,0)</f>
        <v>Admisiones</v>
      </c>
      <c r="E291" s="3" t="s">
        <v>55</v>
      </c>
      <c r="F291" s="3">
        <f>+AP291</f>
        <v>37</v>
      </c>
      <c r="G291" s="3">
        <f>+S291</f>
        <v>27</v>
      </c>
      <c r="H291" s="22">
        <f>+HOUR(V291)</f>
        <v>19</v>
      </c>
      <c r="I291" s="22">
        <f>IFERROR(VLOOKUP(B291,MATRICULAS!A:B,2,0),0)*1</f>
        <v>0</v>
      </c>
      <c r="J291" s="26">
        <v>20260521</v>
      </c>
      <c r="K291" s="26">
        <v>149326326</v>
      </c>
      <c r="L291" s="26" t="s">
        <v>134</v>
      </c>
      <c r="M291" s="26" t="s">
        <v>56</v>
      </c>
      <c r="N291" s="26">
        <v>0</v>
      </c>
      <c r="O291" s="26">
        <v>0</v>
      </c>
      <c r="P291" s="26" t="s">
        <v>57</v>
      </c>
      <c r="Q291" s="26">
        <v>150</v>
      </c>
      <c r="R291" s="26" t="s">
        <v>174</v>
      </c>
      <c r="S291" s="26">
        <v>27</v>
      </c>
      <c r="T291" s="26" t="s">
        <v>58</v>
      </c>
      <c r="U291" s="26" t="s">
        <v>59</v>
      </c>
      <c r="V291" s="28">
        <v>46163.827673611115</v>
      </c>
      <c r="W291" s="28">
        <v>46163.827673611115</v>
      </c>
      <c r="X291" s="28">
        <v>46163.829641203702</v>
      </c>
      <c r="Y291" s="26" t="s">
        <v>117</v>
      </c>
      <c r="Z291" s="26" t="s">
        <v>539</v>
      </c>
      <c r="AA291" s="26" t="s">
        <v>53</v>
      </c>
      <c r="AB291" s="26" t="s">
        <v>60</v>
      </c>
      <c r="AC291" s="26" t="s">
        <v>540</v>
      </c>
      <c r="AD291" s="26" t="s">
        <v>118</v>
      </c>
      <c r="AE291" s="26" t="s">
        <v>66</v>
      </c>
      <c r="AF291" s="26" t="s">
        <v>67</v>
      </c>
      <c r="AG291" s="26" t="s">
        <v>67</v>
      </c>
      <c r="AH291" s="26">
        <v>0</v>
      </c>
      <c r="AI291" s="26">
        <v>0</v>
      </c>
      <c r="AJ291" s="26">
        <v>0</v>
      </c>
      <c r="AK291" s="26">
        <v>0</v>
      </c>
      <c r="AL291" s="26" t="s">
        <v>64</v>
      </c>
      <c r="AM291" s="26">
        <v>3</v>
      </c>
      <c r="AN291" s="26">
        <v>171</v>
      </c>
      <c r="AO291" s="26" t="s">
        <v>65</v>
      </c>
      <c r="AP291" s="26">
        <v>37</v>
      </c>
      <c r="AQ291" s="26">
        <v>201</v>
      </c>
      <c r="AR291" s="26">
        <v>2500845</v>
      </c>
      <c r="AS291" s="26" t="s">
        <v>118</v>
      </c>
      <c r="AT291" s="26" t="s">
        <v>541</v>
      </c>
      <c r="AU291" s="29" t="s">
        <v>118</v>
      </c>
    </row>
    <row r="292" spans="1:47" x14ac:dyDescent="0.25">
      <c r="A292" s="7">
        <f>+CONCATENATE(DAY(V292),"/",MONTH(V292),"/",YEAR(V292),"")*1</f>
        <v>46163</v>
      </c>
      <c r="B292" s="23">
        <f>+Z292*1</f>
        <v>1164123575</v>
      </c>
      <c r="C292" s="21" t="str">
        <f>+AA292</f>
        <v>ENTRANTE</v>
      </c>
      <c r="D292" s="3" t="str">
        <f>VLOOKUP(Q292,Code!E:F,2,0)</f>
        <v>Admisiones</v>
      </c>
      <c r="E292" s="3" t="s">
        <v>55</v>
      </c>
      <c r="F292" s="3">
        <f>+AP292</f>
        <v>37</v>
      </c>
      <c r="G292" s="3">
        <f>+S292</f>
        <v>27</v>
      </c>
      <c r="H292" s="22">
        <f>+HOUR(V292)</f>
        <v>18</v>
      </c>
      <c r="I292" s="22">
        <f>IFERROR(VLOOKUP(B292,MATRICULAS!A:B,2,0),0)*1</f>
        <v>0</v>
      </c>
      <c r="J292" s="27">
        <v>20260521</v>
      </c>
      <c r="K292" s="27">
        <v>149325012</v>
      </c>
      <c r="L292" s="27" t="s">
        <v>134</v>
      </c>
      <c r="M292" s="27" t="s">
        <v>56</v>
      </c>
      <c r="N292" s="27">
        <v>0</v>
      </c>
      <c r="O292" s="27">
        <v>0</v>
      </c>
      <c r="P292" s="27" t="s">
        <v>57</v>
      </c>
      <c r="Q292" s="27">
        <v>150</v>
      </c>
      <c r="R292" s="27" t="s">
        <v>174</v>
      </c>
      <c r="S292" s="27">
        <v>27</v>
      </c>
      <c r="T292" s="27" t="s">
        <v>58</v>
      </c>
      <c r="U292" s="27" t="s">
        <v>59</v>
      </c>
      <c r="V292" s="30">
        <v>46163.787858796299</v>
      </c>
      <c r="W292" s="30">
        <v>46163.787858796299</v>
      </c>
      <c r="X292" s="30">
        <v>46163.797754629632</v>
      </c>
      <c r="Y292" s="27" t="s">
        <v>117</v>
      </c>
      <c r="Z292" s="27" t="s">
        <v>542</v>
      </c>
      <c r="AA292" s="27" t="s">
        <v>53</v>
      </c>
      <c r="AB292" s="27" t="s">
        <v>60</v>
      </c>
      <c r="AC292" s="27" t="s">
        <v>543</v>
      </c>
      <c r="AD292" s="27" t="s">
        <v>118</v>
      </c>
      <c r="AE292" s="27" t="s">
        <v>61</v>
      </c>
      <c r="AF292" s="27" t="s">
        <v>62</v>
      </c>
      <c r="AG292" s="27" t="s">
        <v>63</v>
      </c>
      <c r="AH292" s="27">
        <v>0</v>
      </c>
      <c r="AI292" s="27">
        <v>0</v>
      </c>
      <c r="AJ292" s="27">
        <v>0</v>
      </c>
      <c r="AK292" s="27">
        <v>0</v>
      </c>
      <c r="AL292" s="27" t="s">
        <v>64</v>
      </c>
      <c r="AM292" s="27">
        <v>3</v>
      </c>
      <c r="AN292" s="27">
        <v>856</v>
      </c>
      <c r="AO292" s="27" t="s">
        <v>65</v>
      </c>
      <c r="AP292" s="27">
        <v>37</v>
      </c>
      <c r="AQ292" s="27">
        <v>201</v>
      </c>
      <c r="AR292" s="27">
        <v>2502762</v>
      </c>
      <c r="AS292" s="27" t="s">
        <v>118</v>
      </c>
      <c r="AT292" s="27" t="s">
        <v>544</v>
      </c>
      <c r="AU292" s="31" t="s">
        <v>118</v>
      </c>
    </row>
    <row r="293" spans="1:47" x14ac:dyDescent="0.25">
      <c r="A293" s="7">
        <f>+CONCATENATE(DAY(V293),"/",MONTH(V293),"/",YEAR(V293),"")*1</f>
        <v>46163</v>
      </c>
      <c r="B293" s="23">
        <f>+Z293*1</f>
        <v>1161486387</v>
      </c>
      <c r="C293" s="21" t="str">
        <f>+AA293</f>
        <v>ENTRANTE</v>
      </c>
      <c r="D293" s="3" t="str">
        <f>VLOOKUP(Q293,Code!E:F,2,0)</f>
        <v>Admisiones</v>
      </c>
      <c r="E293" s="3" t="s">
        <v>55</v>
      </c>
      <c r="F293" s="3">
        <f>+AP293</f>
        <v>37</v>
      </c>
      <c r="G293" s="3">
        <f>+S293</f>
        <v>27</v>
      </c>
      <c r="H293" s="22">
        <f>+HOUR(V293)</f>
        <v>18</v>
      </c>
      <c r="I293" s="22">
        <f>IFERROR(VLOOKUP(B293,MATRICULAS!A:B,2,0),0)*1</f>
        <v>0</v>
      </c>
      <c r="J293" s="26">
        <v>20260521</v>
      </c>
      <c r="K293" s="26">
        <v>149324757</v>
      </c>
      <c r="L293" s="26" t="s">
        <v>134</v>
      </c>
      <c r="M293" s="26" t="s">
        <v>56</v>
      </c>
      <c r="N293" s="26">
        <v>0</v>
      </c>
      <c r="O293" s="26">
        <v>0</v>
      </c>
      <c r="P293" s="26" t="s">
        <v>57</v>
      </c>
      <c r="Q293" s="26">
        <v>150</v>
      </c>
      <c r="R293" s="26" t="s">
        <v>163</v>
      </c>
      <c r="S293" s="26">
        <v>27</v>
      </c>
      <c r="T293" s="26" t="s">
        <v>58</v>
      </c>
      <c r="U293" s="26" t="s">
        <v>59</v>
      </c>
      <c r="V293" s="28">
        <v>46163.780335648145</v>
      </c>
      <c r="W293" s="28">
        <v>46163.780335648145</v>
      </c>
      <c r="X293" s="28">
        <v>46163.781817129631</v>
      </c>
      <c r="Y293" s="26" t="s">
        <v>117</v>
      </c>
      <c r="Z293" s="26" t="s">
        <v>545</v>
      </c>
      <c r="AA293" s="26" t="s">
        <v>53</v>
      </c>
      <c r="AB293" s="26" t="s">
        <v>60</v>
      </c>
      <c r="AC293" s="26" t="s">
        <v>546</v>
      </c>
      <c r="AD293" s="26" t="s">
        <v>118</v>
      </c>
      <c r="AE293" s="26" t="s">
        <v>61</v>
      </c>
      <c r="AF293" s="26" t="s">
        <v>62</v>
      </c>
      <c r="AG293" s="26" t="s">
        <v>63</v>
      </c>
      <c r="AH293" s="26">
        <v>0</v>
      </c>
      <c r="AI293" s="26">
        <v>0</v>
      </c>
      <c r="AJ293" s="26">
        <v>0</v>
      </c>
      <c r="AK293" s="26">
        <v>0</v>
      </c>
      <c r="AL293" s="26" t="s">
        <v>64</v>
      </c>
      <c r="AM293" s="26">
        <v>3</v>
      </c>
      <c r="AN293" s="26">
        <v>129</v>
      </c>
      <c r="AO293" s="26" t="s">
        <v>65</v>
      </c>
      <c r="AP293" s="26">
        <v>37</v>
      </c>
      <c r="AQ293" s="26">
        <v>0</v>
      </c>
      <c r="AR293" s="26">
        <v>0</v>
      </c>
      <c r="AS293" s="26" t="s">
        <v>118</v>
      </c>
      <c r="AT293" s="26" t="s">
        <v>547</v>
      </c>
      <c r="AU293" s="29" t="s">
        <v>118</v>
      </c>
    </row>
    <row r="294" spans="1:47" x14ac:dyDescent="0.25">
      <c r="A294" s="7">
        <f>+CONCATENATE(DAY(V294),"/",MONTH(V294),"/",YEAR(V294),"")*1</f>
        <v>46163</v>
      </c>
      <c r="B294" s="23">
        <f>+Z294*1</f>
        <v>1166933048</v>
      </c>
      <c r="C294" s="21" t="str">
        <f>+AA294</f>
        <v>ENTRANTE</v>
      </c>
      <c r="D294" s="3" t="str">
        <f>VLOOKUP(Q294,Code!E:F,2,0)</f>
        <v>Admisiones</v>
      </c>
      <c r="E294" s="3" t="s">
        <v>55</v>
      </c>
      <c r="F294" s="3">
        <f>+AP294</f>
        <v>37</v>
      </c>
      <c r="G294" s="3">
        <f>+S294</f>
        <v>27</v>
      </c>
      <c r="H294" s="22">
        <f>+HOUR(V294)</f>
        <v>18</v>
      </c>
      <c r="I294" s="22">
        <f>IFERROR(VLOOKUP(B294,MATRICULAS!A:B,2,0),0)*1</f>
        <v>0</v>
      </c>
      <c r="J294" s="27">
        <v>20260521</v>
      </c>
      <c r="K294" s="27">
        <v>149324691</v>
      </c>
      <c r="L294" s="27" t="s">
        <v>134</v>
      </c>
      <c r="M294" s="27" t="s">
        <v>56</v>
      </c>
      <c r="N294" s="27">
        <v>0</v>
      </c>
      <c r="O294" s="27">
        <v>0</v>
      </c>
      <c r="P294" s="27" t="s">
        <v>57</v>
      </c>
      <c r="Q294" s="27">
        <v>150</v>
      </c>
      <c r="R294" s="27" t="s">
        <v>174</v>
      </c>
      <c r="S294" s="27">
        <v>27</v>
      </c>
      <c r="T294" s="27" t="s">
        <v>58</v>
      </c>
      <c r="U294" s="27" t="s">
        <v>59</v>
      </c>
      <c r="V294" s="30">
        <v>46163.778599537036</v>
      </c>
      <c r="W294" s="30">
        <v>46163.778599537036</v>
      </c>
      <c r="X294" s="30">
        <v>46163.786481481482</v>
      </c>
      <c r="Y294" s="27" t="s">
        <v>117</v>
      </c>
      <c r="Z294" s="27" t="s">
        <v>548</v>
      </c>
      <c r="AA294" s="27" t="s">
        <v>53</v>
      </c>
      <c r="AB294" s="27" t="s">
        <v>60</v>
      </c>
      <c r="AC294" s="27" t="s">
        <v>549</v>
      </c>
      <c r="AD294" s="27" t="s">
        <v>118</v>
      </c>
      <c r="AE294" s="27" t="s">
        <v>61</v>
      </c>
      <c r="AF294" s="27" t="s">
        <v>62</v>
      </c>
      <c r="AG294" s="27" t="s">
        <v>63</v>
      </c>
      <c r="AH294" s="27">
        <v>0</v>
      </c>
      <c r="AI294" s="27">
        <v>0</v>
      </c>
      <c r="AJ294" s="27">
        <v>0</v>
      </c>
      <c r="AK294" s="27">
        <v>0</v>
      </c>
      <c r="AL294" s="27" t="s">
        <v>64</v>
      </c>
      <c r="AM294" s="27">
        <v>3</v>
      </c>
      <c r="AN294" s="27">
        <v>682</v>
      </c>
      <c r="AO294" s="27" t="s">
        <v>65</v>
      </c>
      <c r="AP294" s="27">
        <v>37</v>
      </c>
      <c r="AQ294" s="27">
        <v>197</v>
      </c>
      <c r="AR294" s="27">
        <v>2442887</v>
      </c>
      <c r="AS294" s="27" t="s">
        <v>118</v>
      </c>
      <c r="AT294" s="27" t="s">
        <v>550</v>
      </c>
      <c r="AU294" s="31" t="s">
        <v>118</v>
      </c>
    </row>
    <row r="295" spans="1:47" x14ac:dyDescent="0.25">
      <c r="A295" s="7">
        <f>+CONCATENATE(DAY(V295),"/",MONTH(V295),"/",YEAR(V295),"")*1</f>
        <v>46163</v>
      </c>
      <c r="B295" s="23">
        <f>+Z295*1</f>
        <v>2974061524</v>
      </c>
      <c r="C295" s="21" t="str">
        <f>+AA295</f>
        <v>ENTRANTE</v>
      </c>
      <c r="D295" s="3" t="str">
        <f>VLOOKUP(Q295,Code!E:F,2,0)</f>
        <v>Admisiones</v>
      </c>
      <c r="E295" s="3" t="s">
        <v>55</v>
      </c>
      <c r="F295" s="3">
        <f>+AP295</f>
        <v>37</v>
      </c>
      <c r="G295" s="3">
        <f>+S295</f>
        <v>27</v>
      </c>
      <c r="H295" s="22">
        <f>+HOUR(V295)</f>
        <v>18</v>
      </c>
      <c r="I295" s="22">
        <f>IFERROR(VLOOKUP(B295,MATRICULAS!A:B,2,0),0)*1</f>
        <v>0</v>
      </c>
      <c r="J295" s="27">
        <v>20260521</v>
      </c>
      <c r="K295" s="27">
        <v>149323661</v>
      </c>
      <c r="L295" s="27" t="s">
        <v>134</v>
      </c>
      <c r="M295" s="27" t="s">
        <v>56</v>
      </c>
      <c r="N295" s="27">
        <v>0</v>
      </c>
      <c r="O295" s="27">
        <v>0</v>
      </c>
      <c r="P295" s="27" t="s">
        <v>57</v>
      </c>
      <c r="Q295" s="27">
        <v>150</v>
      </c>
      <c r="R295" s="27" t="s">
        <v>174</v>
      </c>
      <c r="S295" s="27">
        <v>27</v>
      </c>
      <c r="T295" s="27" t="s">
        <v>58</v>
      </c>
      <c r="U295" s="27" t="s">
        <v>59</v>
      </c>
      <c r="V295" s="30">
        <v>46163.750567129631</v>
      </c>
      <c r="W295" s="30">
        <v>46163.750567129631</v>
      </c>
      <c r="X295" s="30">
        <v>46163.754016203704</v>
      </c>
      <c r="Y295" s="27" t="s">
        <v>117</v>
      </c>
      <c r="Z295" s="27" t="s">
        <v>552</v>
      </c>
      <c r="AA295" s="27" t="s">
        <v>53</v>
      </c>
      <c r="AB295" s="27" t="s">
        <v>60</v>
      </c>
      <c r="AC295" s="27" t="s">
        <v>553</v>
      </c>
      <c r="AD295" s="27" t="s">
        <v>118</v>
      </c>
      <c r="AE295" s="27" t="s">
        <v>70</v>
      </c>
      <c r="AF295" s="27" t="s">
        <v>147</v>
      </c>
      <c r="AG295" s="27" t="s">
        <v>155</v>
      </c>
      <c r="AH295" s="27">
        <v>0</v>
      </c>
      <c r="AI295" s="27">
        <v>0</v>
      </c>
      <c r="AJ295" s="27">
        <v>0</v>
      </c>
      <c r="AK295" s="27">
        <v>0</v>
      </c>
      <c r="AL295" s="27" t="s">
        <v>64</v>
      </c>
      <c r="AM295" s="27">
        <v>3</v>
      </c>
      <c r="AN295" s="27">
        <v>298</v>
      </c>
      <c r="AO295" s="27" t="s">
        <v>65</v>
      </c>
      <c r="AP295" s="27">
        <v>37</v>
      </c>
      <c r="AQ295" s="27">
        <v>1</v>
      </c>
      <c r="AR295" s="27">
        <v>2502966</v>
      </c>
      <c r="AS295" s="27" t="s">
        <v>118</v>
      </c>
      <c r="AT295" s="27" t="s">
        <v>554</v>
      </c>
      <c r="AU295" s="31" t="s">
        <v>118</v>
      </c>
    </row>
    <row r="296" spans="1:47" x14ac:dyDescent="0.25">
      <c r="A296" s="7">
        <f>+CONCATENATE(DAY(V296),"/",MONTH(V296),"/",YEAR(V296),"")*1</f>
        <v>46163</v>
      </c>
      <c r="B296" s="23">
        <f>+Z296*1</f>
        <v>1136853268</v>
      </c>
      <c r="C296" s="21" t="str">
        <f>+AA296</f>
        <v>ENTRANTE</v>
      </c>
      <c r="D296" s="3" t="str">
        <f>VLOOKUP(Q296,Code!E:F,2,0)</f>
        <v>Admisiones</v>
      </c>
      <c r="E296" s="3" t="s">
        <v>55</v>
      </c>
      <c r="F296" s="3">
        <f>+AP296</f>
        <v>37</v>
      </c>
      <c r="G296" s="3">
        <f>+S296</f>
        <v>27</v>
      </c>
      <c r="H296" s="22">
        <f>+HOUR(V296)</f>
        <v>17</v>
      </c>
      <c r="I296" s="22">
        <f>IFERROR(VLOOKUP(B296,MATRICULAS!A:B,2,0),0)*1</f>
        <v>0</v>
      </c>
      <c r="J296" s="27">
        <v>20260521</v>
      </c>
      <c r="K296" s="27">
        <v>149323093</v>
      </c>
      <c r="L296" s="27" t="s">
        <v>134</v>
      </c>
      <c r="M296" s="27" t="s">
        <v>56</v>
      </c>
      <c r="N296" s="27">
        <v>0</v>
      </c>
      <c r="O296" s="27">
        <v>0</v>
      </c>
      <c r="P296" s="27" t="s">
        <v>57</v>
      </c>
      <c r="Q296" s="27">
        <v>150</v>
      </c>
      <c r="R296" s="27" t="s">
        <v>162</v>
      </c>
      <c r="S296" s="27">
        <v>27</v>
      </c>
      <c r="T296" s="27" t="s">
        <v>58</v>
      </c>
      <c r="U296" s="27" t="s">
        <v>59</v>
      </c>
      <c r="V296" s="30">
        <v>46163.732986111114</v>
      </c>
      <c r="W296" s="30">
        <v>46163.732986111114</v>
      </c>
      <c r="X296" s="30">
        <v>46163.737222222226</v>
      </c>
      <c r="Y296" s="27" t="s">
        <v>117</v>
      </c>
      <c r="Z296" s="27" t="s">
        <v>555</v>
      </c>
      <c r="AA296" s="27" t="s">
        <v>53</v>
      </c>
      <c r="AB296" s="27" t="s">
        <v>60</v>
      </c>
      <c r="AC296" s="27" t="s">
        <v>556</v>
      </c>
      <c r="AD296" s="27" t="s">
        <v>118</v>
      </c>
      <c r="AE296" s="27" t="s">
        <v>61</v>
      </c>
      <c r="AF296" s="27" t="s">
        <v>62</v>
      </c>
      <c r="AG296" s="27" t="s">
        <v>63</v>
      </c>
      <c r="AH296" s="27">
        <v>0</v>
      </c>
      <c r="AI296" s="27">
        <v>0</v>
      </c>
      <c r="AJ296" s="27">
        <v>0</v>
      </c>
      <c r="AK296" s="27">
        <v>0</v>
      </c>
      <c r="AL296" s="27" t="s">
        <v>64</v>
      </c>
      <c r="AM296" s="27">
        <v>3</v>
      </c>
      <c r="AN296" s="27">
        <v>366</v>
      </c>
      <c r="AO296" s="27" t="s">
        <v>65</v>
      </c>
      <c r="AP296" s="27">
        <v>37</v>
      </c>
      <c r="AQ296" s="27">
        <v>201</v>
      </c>
      <c r="AR296" s="27">
        <v>2502415</v>
      </c>
      <c r="AS296" s="27" t="s">
        <v>118</v>
      </c>
      <c r="AT296" s="27" t="s">
        <v>557</v>
      </c>
      <c r="AU296" s="31" t="s">
        <v>118</v>
      </c>
    </row>
    <row r="297" spans="1:47" x14ac:dyDescent="0.25">
      <c r="A297" s="7">
        <f>+CONCATENATE(DAY(V297),"/",MONTH(V297),"/",YEAR(V297),"")*1</f>
        <v>46163</v>
      </c>
      <c r="B297" s="23">
        <f>+Z297*1</f>
        <v>3413201141</v>
      </c>
      <c r="C297" s="21" t="str">
        <f>+AA297</f>
        <v>ENTRANTE</v>
      </c>
      <c r="D297" s="3" t="str">
        <f>VLOOKUP(Q297,Code!E:F,2,0)</f>
        <v>Admisiones</v>
      </c>
      <c r="E297" s="3" t="s">
        <v>55</v>
      </c>
      <c r="F297" s="3">
        <f>+AP297</f>
        <v>37</v>
      </c>
      <c r="G297" s="3">
        <f>+S297</f>
        <v>27</v>
      </c>
      <c r="H297" s="22">
        <f>+HOUR(V297)</f>
        <v>17</v>
      </c>
      <c r="I297" s="22">
        <f>IFERROR(VLOOKUP(B297,MATRICULAS!A:B,2,0),0)*1</f>
        <v>0</v>
      </c>
      <c r="J297" s="26">
        <v>20260521</v>
      </c>
      <c r="K297" s="26">
        <v>149323053</v>
      </c>
      <c r="L297" s="26" t="s">
        <v>134</v>
      </c>
      <c r="M297" s="26" t="s">
        <v>56</v>
      </c>
      <c r="N297" s="26">
        <v>0</v>
      </c>
      <c r="O297" s="26">
        <v>0</v>
      </c>
      <c r="P297" s="26" t="s">
        <v>57</v>
      </c>
      <c r="Q297" s="26">
        <v>150</v>
      </c>
      <c r="R297" s="26" t="s">
        <v>152</v>
      </c>
      <c r="S297" s="26">
        <v>27</v>
      </c>
      <c r="T297" s="26" t="s">
        <v>58</v>
      </c>
      <c r="U297" s="26" t="s">
        <v>59</v>
      </c>
      <c r="V297" s="28">
        <v>46163.731458333335</v>
      </c>
      <c r="W297" s="28">
        <v>46163.731458333335</v>
      </c>
      <c r="X297" s="28">
        <v>46163.750023148146</v>
      </c>
      <c r="Y297" s="26" t="s">
        <v>117</v>
      </c>
      <c r="Z297" s="26" t="s">
        <v>558</v>
      </c>
      <c r="AA297" s="26" t="s">
        <v>53</v>
      </c>
      <c r="AB297" s="26" t="s">
        <v>60</v>
      </c>
      <c r="AC297" s="26" t="s">
        <v>559</v>
      </c>
      <c r="AD297" s="26" t="s">
        <v>118</v>
      </c>
      <c r="AE297" s="26" t="s">
        <v>61</v>
      </c>
      <c r="AF297" s="26" t="s">
        <v>62</v>
      </c>
      <c r="AG297" s="26" t="s">
        <v>63</v>
      </c>
      <c r="AH297" s="26">
        <v>0</v>
      </c>
      <c r="AI297" s="26">
        <v>0</v>
      </c>
      <c r="AJ297" s="26">
        <v>0</v>
      </c>
      <c r="AK297" s="26">
        <v>0</v>
      </c>
      <c r="AL297" s="26" t="s">
        <v>64</v>
      </c>
      <c r="AM297" s="26">
        <v>3</v>
      </c>
      <c r="AN297" s="26">
        <v>1605</v>
      </c>
      <c r="AO297" s="26" t="s">
        <v>65</v>
      </c>
      <c r="AP297" s="26">
        <v>37</v>
      </c>
      <c r="AQ297" s="26">
        <v>1</v>
      </c>
      <c r="AR297" s="26">
        <v>2502951</v>
      </c>
      <c r="AS297" s="26" t="s">
        <v>560</v>
      </c>
      <c r="AT297" s="26" t="s">
        <v>561</v>
      </c>
      <c r="AU297" s="29" t="s">
        <v>118</v>
      </c>
    </row>
    <row r="298" spans="1:47" x14ac:dyDescent="0.25">
      <c r="A298" s="7">
        <f>+CONCATENATE(DAY(V298),"/",MONTH(V298),"/",YEAR(V298),"")*1</f>
        <v>46163</v>
      </c>
      <c r="B298" s="23">
        <f>+Z298*1</f>
        <v>1166489644</v>
      </c>
      <c r="C298" s="21" t="str">
        <f>+AA298</f>
        <v>ENTRANTE</v>
      </c>
      <c r="D298" s="3" t="str">
        <f>VLOOKUP(Q298,Code!E:F,2,0)</f>
        <v>Admisiones</v>
      </c>
      <c r="E298" s="3" t="s">
        <v>55</v>
      </c>
      <c r="F298" s="3">
        <f>+AP298</f>
        <v>37</v>
      </c>
      <c r="G298" s="3">
        <f>+S298</f>
        <v>27</v>
      </c>
      <c r="H298" s="22">
        <f>+HOUR(V298)</f>
        <v>17</v>
      </c>
      <c r="I298" s="22">
        <f>IFERROR(VLOOKUP(B298,MATRICULAS!A:B,2,0),0)*1</f>
        <v>0</v>
      </c>
      <c r="J298" s="27">
        <v>20260521</v>
      </c>
      <c r="K298" s="27">
        <v>149322951</v>
      </c>
      <c r="L298" s="27" t="s">
        <v>134</v>
      </c>
      <c r="M298" s="27" t="s">
        <v>56</v>
      </c>
      <c r="N298" s="27">
        <v>0</v>
      </c>
      <c r="O298" s="27">
        <v>0</v>
      </c>
      <c r="P298" s="27" t="s">
        <v>57</v>
      </c>
      <c r="Q298" s="27">
        <v>150</v>
      </c>
      <c r="R298" s="27" t="s">
        <v>174</v>
      </c>
      <c r="S298" s="27">
        <v>27</v>
      </c>
      <c r="T298" s="27" t="s">
        <v>58</v>
      </c>
      <c r="U298" s="27" t="s">
        <v>59</v>
      </c>
      <c r="V298" s="30">
        <v>46163.728333333333</v>
      </c>
      <c r="W298" s="30">
        <v>46163.728333333333</v>
      </c>
      <c r="X298" s="30">
        <v>46163.735358796293</v>
      </c>
      <c r="Y298" s="27" t="s">
        <v>117</v>
      </c>
      <c r="Z298" s="27" t="s">
        <v>562</v>
      </c>
      <c r="AA298" s="27" t="s">
        <v>53</v>
      </c>
      <c r="AB298" s="27" t="s">
        <v>60</v>
      </c>
      <c r="AC298" s="27" t="s">
        <v>563</v>
      </c>
      <c r="AD298" s="27" t="s">
        <v>118</v>
      </c>
      <c r="AE298" s="27" t="s">
        <v>61</v>
      </c>
      <c r="AF298" s="27" t="s">
        <v>62</v>
      </c>
      <c r="AG298" s="27" t="s">
        <v>63</v>
      </c>
      <c r="AH298" s="27">
        <v>0</v>
      </c>
      <c r="AI298" s="27">
        <v>0</v>
      </c>
      <c r="AJ298" s="27">
        <v>0</v>
      </c>
      <c r="AK298" s="27">
        <v>0</v>
      </c>
      <c r="AL298" s="27" t="s">
        <v>64</v>
      </c>
      <c r="AM298" s="27">
        <v>3</v>
      </c>
      <c r="AN298" s="27">
        <v>607</v>
      </c>
      <c r="AO298" s="27" t="s">
        <v>65</v>
      </c>
      <c r="AP298" s="27">
        <v>37</v>
      </c>
      <c r="AQ298" s="27">
        <v>201</v>
      </c>
      <c r="AR298" s="27">
        <v>2502062</v>
      </c>
      <c r="AS298" s="27" t="s">
        <v>118</v>
      </c>
      <c r="AT298" s="27" t="s">
        <v>564</v>
      </c>
      <c r="AU298" s="31" t="s">
        <v>118</v>
      </c>
    </row>
    <row r="299" spans="1:47" x14ac:dyDescent="0.25">
      <c r="A299" s="7">
        <f>+CONCATENATE(DAY(V299),"/",MONTH(V299),"/",YEAR(V299),"")*1</f>
        <v>46163</v>
      </c>
      <c r="B299" s="23">
        <f>+Z299*1</f>
        <v>1163752717</v>
      </c>
      <c r="C299" s="21" t="str">
        <f>+AA299</f>
        <v>ENTRANTE</v>
      </c>
      <c r="D299" s="3" t="str">
        <f>VLOOKUP(Q299,Code!E:F,2,0)</f>
        <v>Admisiones</v>
      </c>
      <c r="E299" s="3" t="s">
        <v>55</v>
      </c>
      <c r="F299" s="3">
        <f>+AP299</f>
        <v>37</v>
      </c>
      <c r="G299" s="3">
        <f>+S299</f>
        <v>27</v>
      </c>
      <c r="H299" s="22">
        <f>+HOUR(V299)</f>
        <v>16</v>
      </c>
      <c r="I299" s="22">
        <f>IFERROR(VLOOKUP(B299,MATRICULAS!A:B,2,0),0)*1</f>
        <v>0</v>
      </c>
      <c r="J299" s="26">
        <v>20260521</v>
      </c>
      <c r="K299" s="26">
        <v>149322184</v>
      </c>
      <c r="L299" s="26" t="s">
        <v>134</v>
      </c>
      <c r="M299" s="26" t="s">
        <v>56</v>
      </c>
      <c r="N299" s="26">
        <v>0</v>
      </c>
      <c r="O299" s="26">
        <v>0</v>
      </c>
      <c r="P299" s="26" t="s">
        <v>57</v>
      </c>
      <c r="Q299" s="26">
        <v>150</v>
      </c>
      <c r="R299" s="26" t="s">
        <v>163</v>
      </c>
      <c r="S299" s="26">
        <v>27</v>
      </c>
      <c r="T299" s="26" t="s">
        <v>58</v>
      </c>
      <c r="U299" s="26" t="s">
        <v>59</v>
      </c>
      <c r="V299" s="28">
        <v>46163.703379629631</v>
      </c>
      <c r="W299" s="28">
        <v>46163.7033912037</v>
      </c>
      <c r="X299" s="28">
        <v>46163.710798611108</v>
      </c>
      <c r="Y299" s="26" t="s">
        <v>117</v>
      </c>
      <c r="Z299" s="26" t="s">
        <v>566</v>
      </c>
      <c r="AA299" s="26" t="s">
        <v>53</v>
      </c>
      <c r="AB299" s="26" t="s">
        <v>60</v>
      </c>
      <c r="AC299" s="26" t="s">
        <v>567</v>
      </c>
      <c r="AD299" s="26" t="s">
        <v>118</v>
      </c>
      <c r="AE299" s="26" t="s">
        <v>61</v>
      </c>
      <c r="AF299" s="26" t="s">
        <v>62</v>
      </c>
      <c r="AG299" s="26" t="s">
        <v>63</v>
      </c>
      <c r="AH299" s="26">
        <v>0</v>
      </c>
      <c r="AI299" s="26">
        <v>0</v>
      </c>
      <c r="AJ299" s="26">
        <v>0</v>
      </c>
      <c r="AK299" s="26">
        <v>0</v>
      </c>
      <c r="AL299" s="26" t="s">
        <v>64</v>
      </c>
      <c r="AM299" s="26">
        <v>3</v>
      </c>
      <c r="AN299" s="26">
        <v>641</v>
      </c>
      <c r="AO299" s="26" t="s">
        <v>65</v>
      </c>
      <c r="AP299" s="26">
        <v>37</v>
      </c>
      <c r="AQ299" s="26">
        <v>0</v>
      </c>
      <c r="AR299" s="26">
        <v>0</v>
      </c>
      <c r="AS299" s="26" t="s">
        <v>118</v>
      </c>
      <c r="AT299" s="26" t="s">
        <v>568</v>
      </c>
      <c r="AU299" s="29" t="s">
        <v>118</v>
      </c>
    </row>
    <row r="300" spans="1:47" x14ac:dyDescent="0.25">
      <c r="A300" s="7">
        <f>+CONCATENATE(DAY(V300),"/",MONTH(V300),"/",YEAR(V300),"")*1</f>
        <v>46163</v>
      </c>
      <c r="B300" s="23">
        <f>+Z300*1</f>
        <v>3445439154</v>
      </c>
      <c r="C300" s="21" t="str">
        <f>+AA300</f>
        <v>ENTRANTE</v>
      </c>
      <c r="D300" s="3" t="str">
        <f>VLOOKUP(Q300,Code!E:F,2,0)</f>
        <v>Admisiones</v>
      </c>
      <c r="E300" s="3" t="s">
        <v>55</v>
      </c>
      <c r="F300" s="3">
        <f>+AP300</f>
        <v>37</v>
      </c>
      <c r="G300" s="3">
        <f>+S300</f>
        <v>26</v>
      </c>
      <c r="H300" s="22">
        <f>+HOUR(V300)</f>
        <v>14</v>
      </c>
      <c r="I300" s="22">
        <f>IFERROR(VLOOKUP(B300,MATRICULAS!A:B,2,0),0)*1</f>
        <v>0</v>
      </c>
      <c r="J300" s="27">
        <v>20260521</v>
      </c>
      <c r="K300" s="27">
        <v>149319751</v>
      </c>
      <c r="L300" s="27" t="s">
        <v>134</v>
      </c>
      <c r="M300" s="27" t="s">
        <v>56</v>
      </c>
      <c r="N300" s="27">
        <v>0</v>
      </c>
      <c r="O300" s="27">
        <v>0</v>
      </c>
      <c r="P300" s="27" t="s">
        <v>57</v>
      </c>
      <c r="Q300" s="27">
        <v>150</v>
      </c>
      <c r="R300" s="27" t="s">
        <v>151</v>
      </c>
      <c r="S300" s="27">
        <v>26</v>
      </c>
      <c r="T300" s="27" t="s">
        <v>58</v>
      </c>
      <c r="U300" s="27" t="s">
        <v>59</v>
      </c>
      <c r="V300" s="30">
        <v>46163.622974537036</v>
      </c>
      <c r="W300" s="30">
        <v>46163.622974537036</v>
      </c>
      <c r="X300" s="30">
        <v>46163.626527777778</v>
      </c>
      <c r="Y300" s="27" t="s">
        <v>117</v>
      </c>
      <c r="Z300" s="27" t="s">
        <v>569</v>
      </c>
      <c r="AA300" s="27" t="s">
        <v>53</v>
      </c>
      <c r="AB300" s="27" t="s">
        <v>60</v>
      </c>
      <c r="AC300" s="27" t="s">
        <v>570</v>
      </c>
      <c r="AD300" s="27" t="s">
        <v>118</v>
      </c>
      <c r="AE300" s="27" t="s">
        <v>61</v>
      </c>
      <c r="AF300" s="27" t="s">
        <v>62</v>
      </c>
      <c r="AG300" s="27" t="s">
        <v>63</v>
      </c>
      <c r="AH300" s="27">
        <v>0</v>
      </c>
      <c r="AI300" s="27">
        <v>0</v>
      </c>
      <c r="AJ300" s="27">
        <v>0</v>
      </c>
      <c r="AK300" s="27">
        <v>0</v>
      </c>
      <c r="AL300" s="27" t="s">
        <v>64</v>
      </c>
      <c r="AM300" s="27">
        <v>3</v>
      </c>
      <c r="AN300" s="27">
        <v>308</v>
      </c>
      <c r="AO300" s="27" t="s">
        <v>65</v>
      </c>
      <c r="AP300" s="27">
        <v>37</v>
      </c>
      <c r="AQ300" s="27">
        <v>201</v>
      </c>
      <c r="AR300" s="27">
        <v>2502627</v>
      </c>
      <c r="AS300" s="27" t="s">
        <v>118</v>
      </c>
      <c r="AT300" s="27" t="s">
        <v>571</v>
      </c>
      <c r="AU300" s="31" t="s">
        <v>118</v>
      </c>
    </row>
    <row r="301" spans="1:47" x14ac:dyDescent="0.25">
      <c r="A301" s="7">
        <f>+CONCATENATE(DAY(V301),"/",MONTH(V301),"/",YEAR(V301),"")*1</f>
        <v>46163</v>
      </c>
      <c r="B301" s="23">
        <f>+Z301*1</f>
        <v>1168059981</v>
      </c>
      <c r="C301" s="21" t="str">
        <f>+AA301</f>
        <v>ENTRANTE</v>
      </c>
      <c r="D301" s="3" t="str">
        <f>VLOOKUP(Q301,Code!E:F,2,0)</f>
        <v>Admisiones</v>
      </c>
      <c r="E301" s="3" t="s">
        <v>55</v>
      </c>
      <c r="F301" s="3">
        <f>+AP301</f>
        <v>37</v>
      </c>
      <c r="G301" s="3">
        <f>+S301</f>
        <v>26</v>
      </c>
      <c r="H301" s="22">
        <f>+HOUR(V301)</f>
        <v>14</v>
      </c>
      <c r="I301" s="22">
        <f>IFERROR(VLOOKUP(B301,MATRICULAS!A:B,2,0),0)*1</f>
        <v>0</v>
      </c>
      <c r="J301" s="27">
        <v>20260521</v>
      </c>
      <c r="K301" s="27">
        <v>149319689</v>
      </c>
      <c r="L301" s="27" t="s">
        <v>134</v>
      </c>
      <c r="M301" s="27" t="s">
        <v>56</v>
      </c>
      <c r="N301" s="27">
        <v>0</v>
      </c>
      <c r="O301" s="27">
        <v>0</v>
      </c>
      <c r="P301" s="27" t="s">
        <v>57</v>
      </c>
      <c r="Q301" s="27">
        <v>150</v>
      </c>
      <c r="R301" s="27" t="s">
        <v>145</v>
      </c>
      <c r="S301" s="27">
        <v>26</v>
      </c>
      <c r="T301" s="27" t="s">
        <v>58</v>
      </c>
      <c r="U301" s="27" t="s">
        <v>59</v>
      </c>
      <c r="V301" s="30">
        <v>46163.621666666666</v>
      </c>
      <c r="W301" s="30">
        <v>46163.621666666666</v>
      </c>
      <c r="X301" s="30">
        <v>46163.62767361111</v>
      </c>
      <c r="Y301" s="27" t="s">
        <v>117</v>
      </c>
      <c r="Z301" s="27" t="s">
        <v>572</v>
      </c>
      <c r="AA301" s="27" t="s">
        <v>53</v>
      </c>
      <c r="AB301" s="27" t="s">
        <v>60</v>
      </c>
      <c r="AC301" s="27" t="s">
        <v>573</v>
      </c>
      <c r="AD301" s="27" t="s">
        <v>118</v>
      </c>
      <c r="AE301" s="27" t="s">
        <v>61</v>
      </c>
      <c r="AF301" s="27" t="s">
        <v>62</v>
      </c>
      <c r="AG301" s="27" t="s">
        <v>63</v>
      </c>
      <c r="AH301" s="27">
        <v>0</v>
      </c>
      <c r="AI301" s="27">
        <v>0</v>
      </c>
      <c r="AJ301" s="27">
        <v>0</v>
      </c>
      <c r="AK301" s="27">
        <v>0</v>
      </c>
      <c r="AL301" s="27" t="s">
        <v>64</v>
      </c>
      <c r="AM301" s="27">
        <v>3</v>
      </c>
      <c r="AN301" s="27">
        <v>520</v>
      </c>
      <c r="AO301" s="27" t="s">
        <v>65</v>
      </c>
      <c r="AP301" s="27">
        <v>37</v>
      </c>
      <c r="AQ301" s="27">
        <v>1</v>
      </c>
      <c r="AR301" s="27">
        <v>2502834</v>
      </c>
      <c r="AS301" s="27" t="s">
        <v>118</v>
      </c>
      <c r="AT301" s="27" t="s">
        <v>574</v>
      </c>
      <c r="AU301" s="31" t="s">
        <v>118</v>
      </c>
    </row>
    <row r="302" spans="1:47" x14ac:dyDescent="0.25">
      <c r="A302" s="7">
        <f>+CONCATENATE(DAY(V302),"/",MONTH(V302),"/",YEAR(V302),"")*1</f>
        <v>46163</v>
      </c>
      <c r="B302" s="23">
        <f>+Z302*1</f>
        <v>2644529684</v>
      </c>
      <c r="C302" s="21" t="str">
        <f>+AA302</f>
        <v>ENTRANTE</v>
      </c>
      <c r="D302" s="3" t="str">
        <f>VLOOKUP(Q302,Code!E:F,2,0)</f>
        <v>Admisiones</v>
      </c>
      <c r="E302" s="3" t="s">
        <v>55</v>
      </c>
      <c r="F302" s="3">
        <f>+AP302</f>
        <v>37</v>
      </c>
      <c r="G302" s="3">
        <f>+S302</f>
        <v>26</v>
      </c>
      <c r="H302" s="22">
        <f>+HOUR(V302)</f>
        <v>14</v>
      </c>
      <c r="I302" s="22">
        <f>IFERROR(VLOOKUP(B302,MATRICULAS!A:B,2,0),0)*1</f>
        <v>0</v>
      </c>
      <c r="J302" s="26">
        <v>20260521</v>
      </c>
      <c r="K302" s="26">
        <v>149317612</v>
      </c>
      <c r="L302" s="26" t="s">
        <v>134</v>
      </c>
      <c r="M302" s="26" t="s">
        <v>56</v>
      </c>
      <c r="N302" s="26">
        <v>0</v>
      </c>
      <c r="O302" s="26">
        <v>0</v>
      </c>
      <c r="P302" s="26" t="s">
        <v>57</v>
      </c>
      <c r="Q302" s="26">
        <v>150</v>
      </c>
      <c r="R302" s="26" t="s">
        <v>145</v>
      </c>
      <c r="S302" s="26">
        <v>26</v>
      </c>
      <c r="T302" s="26" t="s">
        <v>58</v>
      </c>
      <c r="U302" s="26" t="s">
        <v>59</v>
      </c>
      <c r="V302" s="28">
        <v>46163.583981481483</v>
      </c>
      <c r="W302" s="28">
        <v>46163.583981481483</v>
      </c>
      <c r="X302" s="28">
        <v>46163.585104166668</v>
      </c>
      <c r="Y302" s="26" t="s">
        <v>117</v>
      </c>
      <c r="Z302" s="26" t="s">
        <v>575</v>
      </c>
      <c r="AA302" s="26" t="s">
        <v>53</v>
      </c>
      <c r="AB302" s="26" t="s">
        <v>60</v>
      </c>
      <c r="AC302" s="26" t="s">
        <v>576</v>
      </c>
      <c r="AD302" s="26" t="s">
        <v>118</v>
      </c>
      <c r="AE302" s="26" t="s">
        <v>61</v>
      </c>
      <c r="AF302" s="26" t="s">
        <v>62</v>
      </c>
      <c r="AG302" s="26" t="s">
        <v>63</v>
      </c>
      <c r="AH302" s="26">
        <v>0</v>
      </c>
      <c r="AI302" s="26">
        <v>0</v>
      </c>
      <c r="AJ302" s="26">
        <v>0</v>
      </c>
      <c r="AK302" s="26">
        <v>0</v>
      </c>
      <c r="AL302" s="26" t="s">
        <v>64</v>
      </c>
      <c r="AM302" s="26">
        <v>3</v>
      </c>
      <c r="AN302" s="26">
        <v>98</v>
      </c>
      <c r="AO302" s="26" t="s">
        <v>65</v>
      </c>
      <c r="AP302" s="26">
        <v>37</v>
      </c>
      <c r="AQ302" s="26">
        <v>202</v>
      </c>
      <c r="AR302" s="26">
        <v>2501282</v>
      </c>
      <c r="AS302" s="26" t="s">
        <v>118</v>
      </c>
      <c r="AT302" s="26" t="s">
        <v>577</v>
      </c>
      <c r="AU302" s="29" t="s">
        <v>118</v>
      </c>
    </row>
    <row r="303" spans="1:47" x14ac:dyDescent="0.25">
      <c r="A303" s="7">
        <f>+CONCATENATE(DAY(V303),"/",MONTH(V303),"/",YEAR(V303),"")*1</f>
        <v>46163</v>
      </c>
      <c r="B303" s="23">
        <f>+Z303*1</f>
        <v>1161057385</v>
      </c>
      <c r="C303" s="21" t="str">
        <f>+AA303</f>
        <v>ENTRANTE</v>
      </c>
      <c r="D303" s="3" t="str">
        <f>VLOOKUP(Q303,Code!E:F,2,0)</f>
        <v>Admisiones</v>
      </c>
      <c r="E303" s="3" t="s">
        <v>55</v>
      </c>
      <c r="F303" s="3">
        <f>+AP303</f>
        <v>37</v>
      </c>
      <c r="G303" s="3">
        <f>+S303</f>
        <v>26</v>
      </c>
      <c r="H303" s="22">
        <f>+HOUR(V303)</f>
        <v>13</v>
      </c>
      <c r="I303" s="22">
        <f>IFERROR(VLOOKUP(B303,MATRICULAS!A:B,2,0),0)*1</f>
        <v>0</v>
      </c>
      <c r="J303" s="27">
        <v>20260521</v>
      </c>
      <c r="K303" s="27">
        <v>149316895</v>
      </c>
      <c r="L303" s="27" t="s">
        <v>134</v>
      </c>
      <c r="M303" s="27" t="s">
        <v>56</v>
      </c>
      <c r="N303" s="27">
        <v>0</v>
      </c>
      <c r="O303" s="27">
        <v>0</v>
      </c>
      <c r="P303" s="27" t="s">
        <v>57</v>
      </c>
      <c r="Q303" s="27">
        <v>150</v>
      </c>
      <c r="R303" s="27" t="s">
        <v>153</v>
      </c>
      <c r="S303" s="27">
        <v>26</v>
      </c>
      <c r="T303" s="27" t="s">
        <v>58</v>
      </c>
      <c r="U303" s="27" t="s">
        <v>59</v>
      </c>
      <c r="V303" s="30">
        <v>46163.557430555556</v>
      </c>
      <c r="W303" s="30">
        <v>46163.557430555556</v>
      </c>
      <c r="X303" s="30">
        <v>46163.561122685183</v>
      </c>
      <c r="Y303" s="27" t="s">
        <v>117</v>
      </c>
      <c r="Z303" s="27" t="s">
        <v>578</v>
      </c>
      <c r="AA303" s="27" t="s">
        <v>53</v>
      </c>
      <c r="AB303" s="27" t="s">
        <v>60</v>
      </c>
      <c r="AC303" s="27" t="s">
        <v>579</v>
      </c>
      <c r="AD303" s="27" t="s">
        <v>118</v>
      </c>
      <c r="AE303" s="27" t="s">
        <v>61</v>
      </c>
      <c r="AF303" s="27" t="s">
        <v>62</v>
      </c>
      <c r="AG303" s="27" t="s">
        <v>63</v>
      </c>
      <c r="AH303" s="27">
        <v>0</v>
      </c>
      <c r="AI303" s="27">
        <v>0</v>
      </c>
      <c r="AJ303" s="27">
        <v>0</v>
      </c>
      <c r="AK303" s="27">
        <v>0</v>
      </c>
      <c r="AL303" s="27" t="s">
        <v>64</v>
      </c>
      <c r="AM303" s="27">
        <v>3</v>
      </c>
      <c r="AN303" s="27">
        <v>319</v>
      </c>
      <c r="AO303" s="27" t="s">
        <v>65</v>
      </c>
      <c r="AP303" s="27">
        <v>37</v>
      </c>
      <c r="AQ303" s="27">
        <v>201</v>
      </c>
      <c r="AR303" s="27">
        <v>2502759</v>
      </c>
      <c r="AS303" s="27" t="s">
        <v>118</v>
      </c>
      <c r="AT303" s="27" t="s">
        <v>580</v>
      </c>
      <c r="AU303" s="31" t="s">
        <v>118</v>
      </c>
    </row>
    <row r="304" spans="1:47" x14ac:dyDescent="0.25">
      <c r="A304" s="7">
        <f>+CONCATENATE(DAY(V304),"/",MONTH(V304),"/",YEAR(V304),"")*1</f>
        <v>46163</v>
      </c>
      <c r="B304" s="23">
        <f>+Z304*1</f>
        <v>1147877400</v>
      </c>
      <c r="C304" s="21" t="str">
        <f>+AA304</f>
        <v>ENTRANTE</v>
      </c>
      <c r="D304" s="3" t="str">
        <f>VLOOKUP(Q304,Code!E:F,2,0)</f>
        <v>Admisiones</v>
      </c>
      <c r="E304" s="3" t="s">
        <v>55</v>
      </c>
      <c r="F304" s="3">
        <f>+AP304</f>
        <v>37</v>
      </c>
      <c r="G304" s="3">
        <f>+S304</f>
        <v>26</v>
      </c>
      <c r="H304" s="22">
        <f>+HOUR(V304)</f>
        <v>11</v>
      </c>
      <c r="I304" s="22">
        <f>IFERROR(VLOOKUP(B304,MATRICULAS!A:B,2,0),0)*1</f>
        <v>0</v>
      </c>
      <c r="J304" s="27">
        <v>20260521</v>
      </c>
      <c r="K304" s="27">
        <v>149314573</v>
      </c>
      <c r="L304" s="27" t="s">
        <v>134</v>
      </c>
      <c r="M304" s="27" t="s">
        <v>56</v>
      </c>
      <c r="N304" s="27">
        <v>0</v>
      </c>
      <c r="O304" s="27">
        <v>0</v>
      </c>
      <c r="P304" s="27" t="s">
        <v>57</v>
      </c>
      <c r="Q304" s="27">
        <v>150</v>
      </c>
      <c r="R304" s="27" t="s">
        <v>145</v>
      </c>
      <c r="S304" s="27">
        <v>26</v>
      </c>
      <c r="T304" s="27" t="s">
        <v>58</v>
      </c>
      <c r="U304" s="27" t="s">
        <v>59</v>
      </c>
      <c r="V304" s="30">
        <v>46163.498854166668</v>
      </c>
      <c r="W304" s="30">
        <v>46163.498854166668</v>
      </c>
      <c r="X304" s="30">
        <v>46163.504849537036</v>
      </c>
      <c r="Y304" s="27" t="s">
        <v>117</v>
      </c>
      <c r="Z304" s="27" t="s">
        <v>582</v>
      </c>
      <c r="AA304" s="27" t="s">
        <v>53</v>
      </c>
      <c r="AB304" s="27" t="s">
        <v>60</v>
      </c>
      <c r="AC304" s="27" t="s">
        <v>583</v>
      </c>
      <c r="AD304" s="27" t="s">
        <v>118</v>
      </c>
      <c r="AE304" s="27" t="s">
        <v>66</v>
      </c>
      <c r="AF304" s="27" t="s">
        <v>67</v>
      </c>
      <c r="AG304" s="27" t="s">
        <v>67</v>
      </c>
      <c r="AH304" s="27">
        <v>0</v>
      </c>
      <c r="AI304" s="27">
        <v>0</v>
      </c>
      <c r="AJ304" s="27">
        <v>0</v>
      </c>
      <c r="AK304" s="27">
        <v>0</v>
      </c>
      <c r="AL304" s="27" t="s">
        <v>64</v>
      </c>
      <c r="AM304" s="27">
        <v>3</v>
      </c>
      <c r="AN304" s="27">
        <v>519</v>
      </c>
      <c r="AO304" s="27" t="s">
        <v>65</v>
      </c>
      <c r="AP304" s="27">
        <v>37</v>
      </c>
      <c r="AQ304" s="27">
        <v>1</v>
      </c>
      <c r="AR304" s="27">
        <v>2502689</v>
      </c>
      <c r="AS304" s="27" t="s">
        <v>118</v>
      </c>
      <c r="AT304" s="27" t="s">
        <v>584</v>
      </c>
      <c r="AU304" s="31" t="s">
        <v>118</v>
      </c>
    </row>
    <row r="305" spans="1:47" x14ac:dyDescent="0.25">
      <c r="A305" s="7">
        <f>+CONCATENATE(DAY(V305),"/",MONTH(V305),"/",YEAR(V305),"")*1</f>
        <v>46163</v>
      </c>
      <c r="B305" s="23">
        <f>+Z305*1</f>
        <v>1159561329</v>
      </c>
      <c r="C305" s="21" t="str">
        <f>+AA305</f>
        <v>ENTRANTE</v>
      </c>
      <c r="D305" s="3" t="str">
        <f>VLOOKUP(Q305,Code!E:F,2,0)</f>
        <v>Admisiones</v>
      </c>
      <c r="E305" s="3" t="s">
        <v>55</v>
      </c>
      <c r="F305" s="3">
        <f>+AP305</f>
        <v>37</v>
      </c>
      <c r="G305" s="3">
        <f>+S305</f>
        <v>26</v>
      </c>
      <c r="H305" s="22">
        <f>+HOUR(V305)</f>
        <v>11</v>
      </c>
      <c r="I305" s="22">
        <f>IFERROR(VLOOKUP(B305,MATRICULAS!A:B,2,0),0)*1</f>
        <v>1</v>
      </c>
      <c r="J305" s="26">
        <v>20260521</v>
      </c>
      <c r="K305" s="26">
        <v>149314177</v>
      </c>
      <c r="L305" s="26" t="s">
        <v>134</v>
      </c>
      <c r="M305" s="26" t="s">
        <v>56</v>
      </c>
      <c r="N305" s="26">
        <v>0</v>
      </c>
      <c r="O305" s="26">
        <v>0</v>
      </c>
      <c r="P305" s="26" t="s">
        <v>57</v>
      </c>
      <c r="Q305" s="26">
        <v>150</v>
      </c>
      <c r="R305" s="26" t="s">
        <v>127</v>
      </c>
      <c r="S305" s="26">
        <v>26</v>
      </c>
      <c r="T305" s="26" t="s">
        <v>58</v>
      </c>
      <c r="U305" s="26" t="s">
        <v>59</v>
      </c>
      <c r="V305" s="28">
        <v>46163.490277777775</v>
      </c>
      <c r="W305" s="28">
        <v>46163.490277777775</v>
      </c>
      <c r="X305" s="28">
        <v>46163.500543981485</v>
      </c>
      <c r="Y305" s="26" t="s">
        <v>117</v>
      </c>
      <c r="Z305" s="26" t="s">
        <v>585</v>
      </c>
      <c r="AA305" s="26" t="s">
        <v>53</v>
      </c>
      <c r="AB305" s="26" t="s">
        <v>60</v>
      </c>
      <c r="AC305" s="26" t="s">
        <v>586</v>
      </c>
      <c r="AD305" s="26" t="s">
        <v>118</v>
      </c>
      <c r="AE305" s="26" t="s">
        <v>61</v>
      </c>
      <c r="AF305" s="26" t="s">
        <v>62</v>
      </c>
      <c r="AG305" s="26" t="s">
        <v>63</v>
      </c>
      <c r="AH305" s="26">
        <v>0</v>
      </c>
      <c r="AI305" s="26">
        <v>0</v>
      </c>
      <c r="AJ305" s="26">
        <v>0</v>
      </c>
      <c r="AK305" s="26">
        <v>0</v>
      </c>
      <c r="AL305" s="26" t="s">
        <v>64</v>
      </c>
      <c r="AM305" s="26">
        <v>3</v>
      </c>
      <c r="AN305" s="26">
        <v>888</v>
      </c>
      <c r="AO305" s="26" t="s">
        <v>65</v>
      </c>
      <c r="AP305" s="26">
        <v>37</v>
      </c>
      <c r="AQ305" s="26">
        <v>202</v>
      </c>
      <c r="AR305" s="26">
        <v>2502619</v>
      </c>
      <c r="AS305" s="26" t="s">
        <v>118</v>
      </c>
      <c r="AT305" s="26" t="s">
        <v>587</v>
      </c>
      <c r="AU305" s="29" t="s">
        <v>118</v>
      </c>
    </row>
    <row r="306" spans="1:47" x14ac:dyDescent="0.25">
      <c r="A306" s="7">
        <f>+CONCATENATE(DAY(V306),"/",MONTH(V306),"/",YEAR(V306),"")*1</f>
        <v>46163</v>
      </c>
      <c r="B306" s="23">
        <f>+Z306*1</f>
        <v>1123174785</v>
      </c>
      <c r="C306" s="21" t="str">
        <f>+AA306</f>
        <v>ENTRANTE</v>
      </c>
      <c r="D306" s="3" t="str">
        <f>VLOOKUP(Q306,Code!E:F,2,0)</f>
        <v>Admisiones</v>
      </c>
      <c r="E306" s="3" t="s">
        <v>55</v>
      </c>
      <c r="F306" s="3">
        <f>+AP306</f>
        <v>37</v>
      </c>
      <c r="G306" s="3">
        <f>+S306</f>
        <v>26</v>
      </c>
      <c r="H306" s="22">
        <f>+HOUR(V306)</f>
        <v>11</v>
      </c>
      <c r="I306" s="22">
        <f>IFERROR(VLOOKUP(B306,MATRICULAS!A:B,2,0),0)*1</f>
        <v>0</v>
      </c>
      <c r="J306" s="27">
        <v>20260521</v>
      </c>
      <c r="K306" s="27">
        <v>149313272</v>
      </c>
      <c r="L306" s="27" t="s">
        <v>134</v>
      </c>
      <c r="M306" s="27" t="s">
        <v>56</v>
      </c>
      <c r="N306" s="27">
        <v>0</v>
      </c>
      <c r="O306" s="27">
        <v>0</v>
      </c>
      <c r="P306" s="27" t="s">
        <v>57</v>
      </c>
      <c r="Q306" s="27">
        <v>150</v>
      </c>
      <c r="R306" s="27" t="s">
        <v>145</v>
      </c>
      <c r="S306" s="27">
        <v>26</v>
      </c>
      <c r="T306" s="27" t="s">
        <v>58</v>
      </c>
      <c r="U306" s="27" t="s">
        <v>59</v>
      </c>
      <c r="V306" s="30">
        <v>46163.468587962961</v>
      </c>
      <c r="W306" s="30">
        <v>46163.468587962961</v>
      </c>
      <c r="X306" s="30">
        <v>46163.479618055557</v>
      </c>
      <c r="Y306" s="27" t="s">
        <v>117</v>
      </c>
      <c r="Z306" s="27" t="s">
        <v>588</v>
      </c>
      <c r="AA306" s="27" t="s">
        <v>53</v>
      </c>
      <c r="AB306" s="27" t="s">
        <v>60</v>
      </c>
      <c r="AC306" s="27" t="s">
        <v>589</v>
      </c>
      <c r="AD306" s="27" t="s">
        <v>118</v>
      </c>
      <c r="AE306" s="27" t="s">
        <v>66</v>
      </c>
      <c r="AF306" s="27" t="s">
        <v>67</v>
      </c>
      <c r="AG306" s="27" t="s">
        <v>67</v>
      </c>
      <c r="AH306" s="27">
        <v>0</v>
      </c>
      <c r="AI306" s="27">
        <v>0</v>
      </c>
      <c r="AJ306" s="27">
        <v>0</v>
      </c>
      <c r="AK306" s="27">
        <v>0</v>
      </c>
      <c r="AL306" s="27" t="s">
        <v>64</v>
      </c>
      <c r="AM306" s="27">
        <v>3</v>
      </c>
      <c r="AN306" s="27">
        <v>953</v>
      </c>
      <c r="AO306" s="27" t="s">
        <v>65</v>
      </c>
      <c r="AP306" s="27">
        <v>37</v>
      </c>
      <c r="AQ306" s="27">
        <v>180</v>
      </c>
      <c r="AR306" s="27">
        <v>2090121</v>
      </c>
      <c r="AS306" s="27" t="s">
        <v>118</v>
      </c>
      <c r="AT306" s="27" t="s">
        <v>590</v>
      </c>
      <c r="AU306" s="31" t="s">
        <v>118</v>
      </c>
    </row>
    <row r="307" spans="1:47" x14ac:dyDescent="0.25">
      <c r="A307" s="7">
        <f>+CONCATENATE(DAY(V307),"/",MONTH(V307),"/",YEAR(V307),"")*1</f>
        <v>46163</v>
      </c>
      <c r="B307" s="23">
        <f>+Z307*1</f>
        <v>3516637241</v>
      </c>
      <c r="C307" s="21" t="str">
        <f>+AA307</f>
        <v>ENTRANTE</v>
      </c>
      <c r="D307" s="3" t="str">
        <f>VLOOKUP(Q307,Code!E:F,2,0)</f>
        <v>Admisiones</v>
      </c>
      <c r="E307" s="3" t="s">
        <v>55</v>
      </c>
      <c r="F307" s="3">
        <f>+AP307</f>
        <v>37</v>
      </c>
      <c r="G307" s="3">
        <f>+S307</f>
        <v>26</v>
      </c>
      <c r="H307" s="22">
        <f>+HOUR(V307)</f>
        <v>10</v>
      </c>
      <c r="I307" s="22">
        <f>IFERROR(VLOOKUP(B307,MATRICULAS!A:B,2,0),0)*1</f>
        <v>0</v>
      </c>
      <c r="J307" s="26">
        <v>20260521</v>
      </c>
      <c r="K307" s="26">
        <v>149312760</v>
      </c>
      <c r="L307" s="26" t="s">
        <v>134</v>
      </c>
      <c r="M307" s="26" t="s">
        <v>56</v>
      </c>
      <c r="N307" s="26">
        <v>0</v>
      </c>
      <c r="O307" s="26">
        <v>0</v>
      </c>
      <c r="P307" s="26" t="s">
        <v>57</v>
      </c>
      <c r="Q307" s="26">
        <v>150</v>
      </c>
      <c r="R307" s="26" t="s">
        <v>127</v>
      </c>
      <c r="S307" s="26">
        <v>26</v>
      </c>
      <c r="T307" s="26" t="s">
        <v>58</v>
      </c>
      <c r="U307" s="26" t="s">
        <v>59</v>
      </c>
      <c r="V307" s="28">
        <v>46163.45584490741</v>
      </c>
      <c r="W307" s="28">
        <v>46163.45584490741</v>
      </c>
      <c r="X307" s="28">
        <v>46163.459803240738</v>
      </c>
      <c r="Y307" s="26" t="s">
        <v>117</v>
      </c>
      <c r="Z307" s="26" t="s">
        <v>591</v>
      </c>
      <c r="AA307" s="26" t="s">
        <v>53</v>
      </c>
      <c r="AB307" s="26" t="s">
        <v>60</v>
      </c>
      <c r="AC307" s="26" t="s">
        <v>592</v>
      </c>
      <c r="AD307" s="26" t="s">
        <v>118</v>
      </c>
      <c r="AE307" s="26" t="s">
        <v>61</v>
      </c>
      <c r="AF307" s="26" t="s">
        <v>62</v>
      </c>
      <c r="AG307" s="26" t="s">
        <v>63</v>
      </c>
      <c r="AH307" s="26">
        <v>0</v>
      </c>
      <c r="AI307" s="26">
        <v>0</v>
      </c>
      <c r="AJ307" s="26">
        <v>0</v>
      </c>
      <c r="AK307" s="26">
        <v>0</v>
      </c>
      <c r="AL307" s="26" t="s">
        <v>64</v>
      </c>
      <c r="AM307" s="26">
        <v>3</v>
      </c>
      <c r="AN307" s="26">
        <v>343</v>
      </c>
      <c r="AO307" s="26" t="s">
        <v>65</v>
      </c>
      <c r="AP307" s="26">
        <v>37</v>
      </c>
      <c r="AQ307" s="26">
        <v>1</v>
      </c>
      <c r="AR307" s="26">
        <v>2502612</v>
      </c>
      <c r="AS307" s="26" t="s">
        <v>118</v>
      </c>
      <c r="AT307" s="26" t="s">
        <v>593</v>
      </c>
      <c r="AU307" s="29" t="s">
        <v>118</v>
      </c>
    </row>
    <row r="308" spans="1:47" x14ac:dyDescent="0.25">
      <c r="A308" s="7">
        <f>+CONCATENATE(DAY(V308),"/",MONTH(V308),"/",YEAR(V308),"")*1</f>
        <v>46163</v>
      </c>
      <c r="B308" s="23">
        <f>+Z308*1</f>
        <v>2645014382</v>
      </c>
      <c r="C308" s="21" t="str">
        <f>+AA308</f>
        <v>ENTRANTE</v>
      </c>
      <c r="D308" s="3" t="str">
        <f>VLOOKUP(Q308,Code!E:F,2,0)</f>
        <v>Admisiones</v>
      </c>
      <c r="E308" s="3" t="s">
        <v>55</v>
      </c>
      <c r="F308" s="3">
        <f>+AP308</f>
        <v>37</v>
      </c>
      <c r="G308" s="3">
        <f>+S308</f>
        <v>26</v>
      </c>
      <c r="H308" s="22">
        <f>+HOUR(V308)</f>
        <v>10</v>
      </c>
      <c r="I308" s="22">
        <f>IFERROR(VLOOKUP(B308,MATRICULAS!A:B,2,0),0)*1</f>
        <v>0</v>
      </c>
      <c r="J308" s="27">
        <v>20260521</v>
      </c>
      <c r="K308" s="27">
        <v>149311978</v>
      </c>
      <c r="L308" s="27" t="s">
        <v>134</v>
      </c>
      <c r="M308" s="27" t="s">
        <v>56</v>
      </c>
      <c r="N308" s="27">
        <v>0</v>
      </c>
      <c r="O308" s="27">
        <v>0</v>
      </c>
      <c r="P308" s="27" t="s">
        <v>57</v>
      </c>
      <c r="Q308" s="27">
        <v>150</v>
      </c>
      <c r="R308" s="27" t="s">
        <v>127</v>
      </c>
      <c r="S308" s="27">
        <v>26</v>
      </c>
      <c r="T308" s="27" t="s">
        <v>58</v>
      </c>
      <c r="U308" s="27" t="s">
        <v>59</v>
      </c>
      <c r="V308" s="30">
        <v>46163.437060185184</v>
      </c>
      <c r="W308" s="30">
        <v>46163.437060185184</v>
      </c>
      <c r="X308" s="30">
        <v>46163.439629629633</v>
      </c>
      <c r="Y308" s="27" t="s">
        <v>117</v>
      </c>
      <c r="Z308" s="27" t="s">
        <v>265</v>
      </c>
      <c r="AA308" s="27" t="s">
        <v>53</v>
      </c>
      <c r="AB308" s="27" t="s">
        <v>60</v>
      </c>
      <c r="AC308" s="27" t="s">
        <v>594</v>
      </c>
      <c r="AD308" s="27" t="s">
        <v>118</v>
      </c>
      <c r="AE308" s="27" t="s">
        <v>61</v>
      </c>
      <c r="AF308" s="27" t="s">
        <v>62</v>
      </c>
      <c r="AG308" s="27" t="s">
        <v>63</v>
      </c>
      <c r="AH308" s="27">
        <v>0</v>
      </c>
      <c r="AI308" s="27">
        <v>0</v>
      </c>
      <c r="AJ308" s="27">
        <v>0</v>
      </c>
      <c r="AK308" s="27">
        <v>0</v>
      </c>
      <c r="AL308" s="27" t="s">
        <v>64</v>
      </c>
      <c r="AM308" s="27">
        <v>3</v>
      </c>
      <c r="AN308" s="27">
        <v>223</v>
      </c>
      <c r="AO308" s="27" t="s">
        <v>65</v>
      </c>
      <c r="AP308" s="27">
        <v>37</v>
      </c>
      <c r="AQ308" s="27">
        <v>201</v>
      </c>
      <c r="AR308" s="27">
        <v>2501695</v>
      </c>
      <c r="AS308" s="27" t="s">
        <v>118</v>
      </c>
      <c r="AT308" s="27" t="s">
        <v>595</v>
      </c>
      <c r="AU308" s="31" t="s">
        <v>118</v>
      </c>
    </row>
    <row r="309" spans="1:47" x14ac:dyDescent="0.25">
      <c r="A309" s="7">
        <f>+CONCATENATE(DAY(V309),"/",MONTH(V309),"/",YEAR(V309),"")*1</f>
        <v>46163</v>
      </c>
      <c r="B309" s="23">
        <f>+Z309*1</f>
        <v>1169081694</v>
      </c>
      <c r="C309" s="21" t="str">
        <f>+AA309</f>
        <v>ENTRANTE</v>
      </c>
      <c r="D309" s="3" t="str">
        <f>VLOOKUP(Q309,Code!E:F,2,0)</f>
        <v>Admisiones</v>
      </c>
      <c r="E309" s="3" t="s">
        <v>55</v>
      </c>
      <c r="F309" s="3">
        <f>+AP309</f>
        <v>37</v>
      </c>
      <c r="G309" s="3">
        <f>+S309</f>
        <v>26</v>
      </c>
      <c r="H309" s="22">
        <f>+HOUR(V309)</f>
        <v>10</v>
      </c>
      <c r="I309" s="22">
        <f>IFERROR(VLOOKUP(B309,MATRICULAS!A:B,2,0),0)*1</f>
        <v>0</v>
      </c>
      <c r="J309" s="26">
        <v>20260521</v>
      </c>
      <c r="K309" s="26">
        <v>149311647</v>
      </c>
      <c r="L309" s="26" t="s">
        <v>134</v>
      </c>
      <c r="M309" s="26" t="s">
        <v>56</v>
      </c>
      <c r="N309" s="26">
        <v>0</v>
      </c>
      <c r="O309" s="26">
        <v>0</v>
      </c>
      <c r="P309" s="26" t="s">
        <v>57</v>
      </c>
      <c r="Q309" s="26">
        <v>150</v>
      </c>
      <c r="R309" s="26" t="s">
        <v>153</v>
      </c>
      <c r="S309" s="26">
        <v>26</v>
      </c>
      <c r="T309" s="26" t="s">
        <v>58</v>
      </c>
      <c r="U309" s="26" t="s">
        <v>59</v>
      </c>
      <c r="V309" s="28">
        <v>46163.429606481484</v>
      </c>
      <c r="W309" s="28">
        <v>46163.429606481484</v>
      </c>
      <c r="X309" s="28">
        <v>46163.437291666669</v>
      </c>
      <c r="Y309" s="26" t="s">
        <v>117</v>
      </c>
      <c r="Z309" s="26" t="s">
        <v>596</v>
      </c>
      <c r="AA309" s="26" t="s">
        <v>53</v>
      </c>
      <c r="AB309" s="26" t="s">
        <v>60</v>
      </c>
      <c r="AC309" s="26" t="s">
        <v>597</v>
      </c>
      <c r="AD309" s="26" t="s">
        <v>118</v>
      </c>
      <c r="AE309" s="26" t="s">
        <v>61</v>
      </c>
      <c r="AF309" s="26" t="s">
        <v>62</v>
      </c>
      <c r="AG309" s="26" t="s">
        <v>63</v>
      </c>
      <c r="AH309" s="26">
        <v>0</v>
      </c>
      <c r="AI309" s="26">
        <v>0</v>
      </c>
      <c r="AJ309" s="26">
        <v>0</v>
      </c>
      <c r="AK309" s="26">
        <v>0</v>
      </c>
      <c r="AL309" s="26" t="s">
        <v>64</v>
      </c>
      <c r="AM309" s="26">
        <v>3</v>
      </c>
      <c r="AN309" s="26">
        <v>665</v>
      </c>
      <c r="AO309" s="26" t="s">
        <v>65</v>
      </c>
      <c r="AP309" s="26">
        <v>37</v>
      </c>
      <c r="AQ309" s="26">
        <v>1</v>
      </c>
      <c r="AR309" s="26">
        <v>2502581</v>
      </c>
      <c r="AS309" s="26" t="s">
        <v>118</v>
      </c>
      <c r="AT309" s="26" t="s">
        <v>598</v>
      </c>
      <c r="AU309" s="29" t="s">
        <v>118</v>
      </c>
    </row>
    <row r="310" spans="1:47" x14ac:dyDescent="0.25">
      <c r="A310" s="7">
        <f>+CONCATENATE(DAY(V310),"/",MONTH(V310),"/",YEAR(V310),"")*1</f>
        <v>46163</v>
      </c>
      <c r="B310" s="23">
        <f>+Z310*1</f>
        <v>1143464000</v>
      </c>
      <c r="C310" s="21" t="str">
        <f>+AA310</f>
        <v>ENTRANTE</v>
      </c>
      <c r="D310" s="3" t="str">
        <f>VLOOKUP(Q310,Code!E:F,2,0)</f>
        <v>Admisiones</v>
      </c>
      <c r="E310" s="3" t="s">
        <v>55</v>
      </c>
      <c r="F310" s="3">
        <f>+AP310</f>
        <v>37</v>
      </c>
      <c r="G310" s="3">
        <f>+S310</f>
        <v>26</v>
      </c>
      <c r="H310" s="22">
        <f>+HOUR(V310)</f>
        <v>10</v>
      </c>
      <c r="I310" s="22">
        <f>IFERROR(VLOOKUP(B310,MATRICULAS!A:B,2,0),0)*1</f>
        <v>0</v>
      </c>
      <c r="J310" s="27">
        <v>20260521</v>
      </c>
      <c r="K310" s="27">
        <v>149311565</v>
      </c>
      <c r="L310" s="27" t="s">
        <v>134</v>
      </c>
      <c r="M310" s="27" t="s">
        <v>56</v>
      </c>
      <c r="N310" s="27">
        <v>0</v>
      </c>
      <c r="O310" s="27">
        <v>0</v>
      </c>
      <c r="P310" s="27" t="s">
        <v>57</v>
      </c>
      <c r="Q310" s="27">
        <v>150</v>
      </c>
      <c r="R310" s="27" t="s">
        <v>145</v>
      </c>
      <c r="S310" s="27">
        <v>26</v>
      </c>
      <c r="T310" s="27" t="s">
        <v>58</v>
      </c>
      <c r="U310" s="27" t="s">
        <v>59</v>
      </c>
      <c r="V310" s="30">
        <v>46163.427303240744</v>
      </c>
      <c r="W310" s="30">
        <v>46163.427303240744</v>
      </c>
      <c r="X310" s="30">
        <v>46163.434270833335</v>
      </c>
      <c r="Y310" s="27" t="s">
        <v>117</v>
      </c>
      <c r="Z310" s="27" t="s">
        <v>505</v>
      </c>
      <c r="AA310" s="27" t="s">
        <v>53</v>
      </c>
      <c r="AB310" s="27" t="s">
        <v>60</v>
      </c>
      <c r="AC310" s="27" t="s">
        <v>599</v>
      </c>
      <c r="AD310" s="27" t="s">
        <v>118</v>
      </c>
      <c r="AE310" s="27" t="s">
        <v>66</v>
      </c>
      <c r="AF310" s="27" t="s">
        <v>67</v>
      </c>
      <c r="AG310" s="27" t="s">
        <v>67</v>
      </c>
      <c r="AH310" s="27">
        <v>0</v>
      </c>
      <c r="AI310" s="27">
        <v>0</v>
      </c>
      <c r="AJ310" s="27">
        <v>0</v>
      </c>
      <c r="AK310" s="27">
        <v>0</v>
      </c>
      <c r="AL310" s="27" t="s">
        <v>64</v>
      </c>
      <c r="AM310" s="27">
        <v>3</v>
      </c>
      <c r="AN310" s="27">
        <v>602</v>
      </c>
      <c r="AO310" s="27" t="s">
        <v>65</v>
      </c>
      <c r="AP310" s="27">
        <v>37</v>
      </c>
      <c r="AQ310" s="27">
        <v>116</v>
      </c>
      <c r="AR310" s="27">
        <v>1235465</v>
      </c>
      <c r="AS310" s="27" t="s">
        <v>118</v>
      </c>
      <c r="AT310" s="27" t="s">
        <v>600</v>
      </c>
      <c r="AU310" s="31" t="s">
        <v>118</v>
      </c>
    </row>
    <row r="311" spans="1:47" x14ac:dyDescent="0.25">
      <c r="A311" s="7">
        <f>+CONCATENATE(DAY(V311),"/",MONTH(V311),"/",YEAR(V311),"")*1</f>
        <v>46163</v>
      </c>
      <c r="B311" s="23">
        <f>+Z311*1</f>
        <v>1141688457</v>
      </c>
      <c r="C311" s="21" t="str">
        <f>+AA311</f>
        <v>ENTRANTE</v>
      </c>
      <c r="D311" s="3" t="str">
        <f>VLOOKUP(Q311,Code!E:F,2,0)</f>
        <v>Admisiones</v>
      </c>
      <c r="E311" s="3" t="s">
        <v>55</v>
      </c>
      <c r="F311" s="3">
        <f>+AP311</f>
        <v>37</v>
      </c>
      <c r="G311" s="3">
        <f>+S311</f>
        <v>5</v>
      </c>
      <c r="H311" s="22">
        <f>+HOUR(V311)</f>
        <v>10</v>
      </c>
      <c r="I311" s="22">
        <f>IFERROR(VLOOKUP(B311,MATRICULAS!A:B,2,0),0)*1</f>
        <v>0</v>
      </c>
      <c r="J311" s="26">
        <v>20260521</v>
      </c>
      <c r="K311" s="26">
        <v>149311435</v>
      </c>
      <c r="L311" s="26" t="s">
        <v>134</v>
      </c>
      <c r="M311" s="26" t="s">
        <v>56</v>
      </c>
      <c r="N311" s="26">
        <v>0</v>
      </c>
      <c r="O311" s="26">
        <v>0</v>
      </c>
      <c r="P311" s="26" t="s">
        <v>57</v>
      </c>
      <c r="Q311" s="26">
        <v>150</v>
      </c>
      <c r="R311" s="26" t="s">
        <v>127</v>
      </c>
      <c r="S311" s="26">
        <v>5</v>
      </c>
      <c r="T311" s="26" t="s">
        <v>58</v>
      </c>
      <c r="U311" s="26" t="s">
        <v>59</v>
      </c>
      <c r="V311" s="28">
        <v>46163.423391203702</v>
      </c>
      <c r="W311" s="28">
        <v>46163.423402777778</v>
      </c>
      <c r="X311" s="28">
        <v>46163.425370370373</v>
      </c>
      <c r="Y311" s="26" t="s">
        <v>117</v>
      </c>
      <c r="Z311" s="26" t="s">
        <v>603</v>
      </c>
      <c r="AA311" s="26" t="s">
        <v>53</v>
      </c>
      <c r="AB311" s="26" t="s">
        <v>60</v>
      </c>
      <c r="AC311" s="26" t="s">
        <v>604</v>
      </c>
      <c r="AD311" s="26" t="s">
        <v>118</v>
      </c>
      <c r="AE311" s="26" t="s">
        <v>61</v>
      </c>
      <c r="AF311" s="26" t="s">
        <v>62</v>
      </c>
      <c r="AG311" s="26" t="s">
        <v>63</v>
      </c>
      <c r="AH311" s="26">
        <v>0</v>
      </c>
      <c r="AI311" s="26">
        <v>0</v>
      </c>
      <c r="AJ311" s="26">
        <v>0</v>
      </c>
      <c r="AK311" s="26">
        <v>0</v>
      </c>
      <c r="AL311" s="26" t="s">
        <v>64</v>
      </c>
      <c r="AM311" s="26">
        <v>3</v>
      </c>
      <c r="AN311" s="26">
        <v>171</v>
      </c>
      <c r="AO311" s="26" t="s">
        <v>65</v>
      </c>
      <c r="AP311" s="26">
        <v>37</v>
      </c>
      <c r="AQ311" s="26">
        <v>1</v>
      </c>
      <c r="AR311" s="26">
        <v>2502573</v>
      </c>
      <c r="AS311" s="26" t="s">
        <v>605</v>
      </c>
      <c r="AT311" s="26" t="s">
        <v>606</v>
      </c>
      <c r="AU311" s="29" t="s">
        <v>118</v>
      </c>
    </row>
    <row r="312" spans="1:47" x14ac:dyDescent="0.25">
      <c r="A312" s="7">
        <f>+CONCATENATE(DAY(V312),"/",MONTH(V312),"/",YEAR(V312),"")*1</f>
        <v>46163</v>
      </c>
      <c r="B312" s="23">
        <f>+Z312*1</f>
        <v>3512599213</v>
      </c>
      <c r="C312" s="21" t="str">
        <f>+AA312</f>
        <v>ENTRANTE</v>
      </c>
      <c r="D312" s="3" t="str">
        <f>VLOOKUP(Q312,Code!E:F,2,0)</f>
        <v>Admisiones</v>
      </c>
      <c r="E312" s="3" t="s">
        <v>55</v>
      </c>
      <c r="F312" s="3">
        <f>+AP312</f>
        <v>37</v>
      </c>
      <c r="G312" s="3">
        <f>+S312</f>
        <v>26</v>
      </c>
      <c r="H312" s="22">
        <f>+HOUR(V312)</f>
        <v>9</v>
      </c>
      <c r="I312" s="22">
        <f>IFERROR(VLOOKUP(B312,MATRICULAS!A:B,2,0),0)*1</f>
        <v>0</v>
      </c>
      <c r="J312" s="27">
        <v>20260521</v>
      </c>
      <c r="K312" s="27">
        <v>149310717</v>
      </c>
      <c r="L312" s="27" t="s">
        <v>134</v>
      </c>
      <c r="M312" s="27" t="s">
        <v>56</v>
      </c>
      <c r="N312" s="27">
        <v>0</v>
      </c>
      <c r="O312" s="27">
        <v>0</v>
      </c>
      <c r="P312" s="27" t="s">
        <v>57</v>
      </c>
      <c r="Q312" s="27">
        <v>150</v>
      </c>
      <c r="R312" s="27" t="s">
        <v>145</v>
      </c>
      <c r="S312" s="27">
        <v>26</v>
      </c>
      <c r="T312" s="27" t="s">
        <v>58</v>
      </c>
      <c r="U312" s="27" t="s">
        <v>59</v>
      </c>
      <c r="V312" s="30">
        <v>46163.398981481485</v>
      </c>
      <c r="W312" s="30">
        <v>46163.398993055554</v>
      </c>
      <c r="X312" s="30">
        <v>46163.408773148149</v>
      </c>
      <c r="Y312" s="27" t="s">
        <v>117</v>
      </c>
      <c r="Z312" s="27" t="s">
        <v>607</v>
      </c>
      <c r="AA312" s="27" t="s">
        <v>53</v>
      </c>
      <c r="AB312" s="27" t="s">
        <v>60</v>
      </c>
      <c r="AC312" s="27" t="s">
        <v>608</v>
      </c>
      <c r="AD312" s="27" t="s">
        <v>118</v>
      </c>
      <c r="AE312" s="27" t="s">
        <v>70</v>
      </c>
      <c r="AF312" s="27" t="s">
        <v>130</v>
      </c>
      <c r="AG312" s="27" t="s">
        <v>130</v>
      </c>
      <c r="AH312" s="27">
        <v>0</v>
      </c>
      <c r="AI312" s="27">
        <v>0</v>
      </c>
      <c r="AJ312" s="27">
        <v>0</v>
      </c>
      <c r="AK312" s="27">
        <v>0</v>
      </c>
      <c r="AL312" s="27" t="s">
        <v>64</v>
      </c>
      <c r="AM312" s="27">
        <v>3</v>
      </c>
      <c r="AN312" s="27">
        <v>846</v>
      </c>
      <c r="AO312" s="27" t="s">
        <v>65</v>
      </c>
      <c r="AP312" s="27">
        <v>37</v>
      </c>
      <c r="AQ312" s="27">
        <v>0</v>
      </c>
      <c r="AR312" s="27">
        <v>0</v>
      </c>
      <c r="AS312" s="27" t="s">
        <v>118</v>
      </c>
      <c r="AT312" s="27" t="s">
        <v>609</v>
      </c>
      <c r="AU312" s="31" t="s">
        <v>118</v>
      </c>
    </row>
    <row r="313" spans="1:47" x14ac:dyDescent="0.25">
      <c r="A313" s="7">
        <f>+CONCATENATE(DAY(V313),"/",MONTH(V313),"/",YEAR(V313),"")*1</f>
        <v>46164</v>
      </c>
      <c r="B313" s="23">
        <f>+Z313*1</f>
        <v>1153775692</v>
      </c>
      <c r="C313" s="21" t="str">
        <f>+AA313</f>
        <v>ENTRANTE</v>
      </c>
      <c r="D313" s="3" t="str">
        <f>VLOOKUP(Q313,Code!E:F,2,0)</f>
        <v>Admisiones</v>
      </c>
      <c r="E313" s="3" t="s">
        <v>55</v>
      </c>
      <c r="F313" s="3">
        <f>+AP313</f>
        <v>37</v>
      </c>
      <c r="G313" s="3">
        <f>+S313</f>
        <v>27</v>
      </c>
      <c r="H313" s="22">
        <f>+HOUR(V313)</f>
        <v>20</v>
      </c>
      <c r="I313" s="22">
        <f>IFERROR(VLOOKUP(B313,MATRICULAS!A:B,2,0),0)*1</f>
        <v>0</v>
      </c>
      <c r="J313" s="26">
        <v>20260522</v>
      </c>
      <c r="K313" s="26">
        <v>149344944</v>
      </c>
      <c r="L313" s="26" t="s">
        <v>134</v>
      </c>
      <c r="M313" s="26" t="s">
        <v>56</v>
      </c>
      <c r="N313" s="26">
        <v>0</v>
      </c>
      <c r="O313" s="26">
        <v>0</v>
      </c>
      <c r="P313" s="26" t="s">
        <v>57</v>
      </c>
      <c r="Q313" s="26">
        <v>150</v>
      </c>
      <c r="R313" s="26" t="s">
        <v>161</v>
      </c>
      <c r="S313" s="26">
        <v>27</v>
      </c>
      <c r="T313" s="26" t="s">
        <v>58</v>
      </c>
      <c r="U313" s="26" t="s">
        <v>59</v>
      </c>
      <c r="V313" s="28">
        <v>46164.854687500003</v>
      </c>
      <c r="W313" s="28">
        <v>46164.854687500003</v>
      </c>
      <c r="X313" s="28">
        <v>46164.859803240739</v>
      </c>
      <c r="Y313" s="26" t="s">
        <v>117</v>
      </c>
      <c r="Z313" s="26" t="s">
        <v>482</v>
      </c>
      <c r="AA313" s="26" t="s">
        <v>53</v>
      </c>
      <c r="AB313" s="26" t="s">
        <v>60</v>
      </c>
      <c r="AC313" s="26" t="s">
        <v>483</v>
      </c>
      <c r="AD313" s="26" t="s">
        <v>118</v>
      </c>
      <c r="AE313" s="26" t="s">
        <v>61</v>
      </c>
      <c r="AF313" s="26" t="s">
        <v>62</v>
      </c>
      <c r="AG313" s="26" t="s">
        <v>63</v>
      </c>
      <c r="AH313" s="26">
        <v>0</v>
      </c>
      <c r="AI313" s="26">
        <v>0</v>
      </c>
      <c r="AJ313" s="26">
        <v>0</v>
      </c>
      <c r="AK313" s="26">
        <v>0</v>
      </c>
      <c r="AL313" s="26" t="s">
        <v>64</v>
      </c>
      <c r="AM313" s="26">
        <v>3</v>
      </c>
      <c r="AN313" s="26">
        <v>442</v>
      </c>
      <c r="AO313" s="26" t="s">
        <v>65</v>
      </c>
      <c r="AP313" s="26">
        <v>37</v>
      </c>
      <c r="AQ313" s="26">
        <v>0</v>
      </c>
      <c r="AR313" s="26">
        <v>0</v>
      </c>
      <c r="AS313" s="26" t="s">
        <v>118</v>
      </c>
      <c r="AT313" s="26" t="s">
        <v>484</v>
      </c>
      <c r="AU313" s="29" t="s">
        <v>118</v>
      </c>
    </row>
    <row r="314" spans="1:47" x14ac:dyDescent="0.25">
      <c r="A314" s="7">
        <f>+CONCATENATE(DAY(V314),"/",MONTH(V314),"/",YEAR(V314),"")*1</f>
        <v>46164</v>
      </c>
      <c r="B314" s="23">
        <f>+Z314*1</f>
        <v>3442663564</v>
      </c>
      <c r="C314" s="21" t="str">
        <f>+AA314</f>
        <v>ENTRANTE</v>
      </c>
      <c r="D314" s="3" t="str">
        <f>VLOOKUP(Q314,Code!E:F,2,0)</f>
        <v>Admisiones</v>
      </c>
      <c r="E314" s="3" t="s">
        <v>55</v>
      </c>
      <c r="F314" s="3">
        <f>+AP314</f>
        <v>37</v>
      </c>
      <c r="G314" s="3">
        <f>+S314</f>
        <v>27</v>
      </c>
      <c r="H314" s="22">
        <f>+HOUR(V314)</f>
        <v>17</v>
      </c>
      <c r="I314" s="22">
        <f>IFERROR(VLOOKUP(B314,MATRICULAS!A:B,2,0),0)*1</f>
        <v>1</v>
      </c>
      <c r="J314" s="27">
        <v>20260522</v>
      </c>
      <c r="K314" s="27">
        <v>149339870</v>
      </c>
      <c r="L314" s="27" t="s">
        <v>134</v>
      </c>
      <c r="M314" s="27" t="s">
        <v>56</v>
      </c>
      <c r="N314" s="27">
        <v>0</v>
      </c>
      <c r="O314" s="27">
        <v>0</v>
      </c>
      <c r="P314" s="27" t="s">
        <v>57</v>
      </c>
      <c r="Q314" s="27">
        <v>150</v>
      </c>
      <c r="R314" s="27" t="s">
        <v>152</v>
      </c>
      <c r="S314" s="27">
        <v>27</v>
      </c>
      <c r="T314" s="27" t="s">
        <v>58</v>
      </c>
      <c r="U314" s="27" t="s">
        <v>59</v>
      </c>
      <c r="V314" s="30">
        <v>46164.727754629632</v>
      </c>
      <c r="W314" s="30">
        <v>46164.727754629632</v>
      </c>
      <c r="X314" s="30">
        <v>46164.743113425924</v>
      </c>
      <c r="Y314" s="27" t="s">
        <v>117</v>
      </c>
      <c r="Z314" s="27" t="s">
        <v>485</v>
      </c>
      <c r="AA314" s="27" t="s">
        <v>53</v>
      </c>
      <c r="AB314" s="27" t="s">
        <v>60</v>
      </c>
      <c r="AC314" s="27" t="s">
        <v>486</v>
      </c>
      <c r="AD314" s="27" t="s">
        <v>118</v>
      </c>
      <c r="AE314" s="27" t="s">
        <v>70</v>
      </c>
      <c r="AF314" s="27" t="s">
        <v>157</v>
      </c>
      <c r="AG314" s="27" t="s">
        <v>487</v>
      </c>
      <c r="AH314" s="27">
        <v>0</v>
      </c>
      <c r="AI314" s="27">
        <v>0</v>
      </c>
      <c r="AJ314" s="27">
        <v>0</v>
      </c>
      <c r="AK314" s="27">
        <v>0</v>
      </c>
      <c r="AL314" s="27" t="s">
        <v>64</v>
      </c>
      <c r="AM314" s="27">
        <v>3</v>
      </c>
      <c r="AN314" s="27">
        <v>1328</v>
      </c>
      <c r="AO314" s="27" t="s">
        <v>65</v>
      </c>
      <c r="AP314" s="27">
        <v>37</v>
      </c>
      <c r="AQ314" s="27">
        <v>166</v>
      </c>
      <c r="AR314" s="27">
        <v>1948328</v>
      </c>
      <c r="AS314" s="27" t="s">
        <v>118</v>
      </c>
      <c r="AT314" s="27" t="s">
        <v>488</v>
      </c>
      <c r="AU314" s="31" t="s">
        <v>118</v>
      </c>
    </row>
    <row r="315" spans="1:47" x14ac:dyDescent="0.25">
      <c r="A315" s="7">
        <f>+CONCATENATE(DAY(V315),"/",MONTH(V315),"/",YEAR(V315),"")*1</f>
        <v>46164</v>
      </c>
      <c r="B315" s="23">
        <f>+Z315*1</f>
        <v>2317521218</v>
      </c>
      <c r="C315" s="21" t="str">
        <f>+AA315</f>
        <v>ENTRANTE</v>
      </c>
      <c r="D315" s="3" t="str">
        <f>VLOOKUP(Q315,Code!E:F,2,0)</f>
        <v>Admisiones</v>
      </c>
      <c r="E315" s="3" t="s">
        <v>55</v>
      </c>
      <c r="F315" s="3">
        <f>+AP315</f>
        <v>37</v>
      </c>
      <c r="G315" s="3">
        <f>+S315</f>
        <v>27</v>
      </c>
      <c r="H315" s="22">
        <f>+HOUR(V315)</f>
        <v>15</v>
      </c>
      <c r="I315" s="22">
        <f>IFERROR(VLOOKUP(B315,MATRICULAS!A:B,2,0),0)*1</f>
        <v>0</v>
      </c>
      <c r="J315" s="26">
        <v>20260522</v>
      </c>
      <c r="K315" s="26">
        <v>149336030</v>
      </c>
      <c r="L315" s="26" t="s">
        <v>134</v>
      </c>
      <c r="M315" s="26" t="s">
        <v>56</v>
      </c>
      <c r="N315" s="26">
        <v>0</v>
      </c>
      <c r="O315" s="26">
        <v>0</v>
      </c>
      <c r="P315" s="26" t="s">
        <v>57</v>
      </c>
      <c r="Q315" s="26">
        <v>150</v>
      </c>
      <c r="R315" s="26" t="s">
        <v>163</v>
      </c>
      <c r="S315" s="26">
        <v>27</v>
      </c>
      <c r="T315" s="26" t="s">
        <v>58</v>
      </c>
      <c r="U315" s="26" t="s">
        <v>59</v>
      </c>
      <c r="V315" s="28">
        <v>46164.630208333336</v>
      </c>
      <c r="W315" s="28">
        <v>46164.630208333336</v>
      </c>
      <c r="X315" s="28">
        <v>46164.640925925924</v>
      </c>
      <c r="Y315" s="26" t="s">
        <v>117</v>
      </c>
      <c r="Z315" s="26" t="s">
        <v>489</v>
      </c>
      <c r="AA315" s="26" t="s">
        <v>53</v>
      </c>
      <c r="AB315" s="26" t="s">
        <v>60</v>
      </c>
      <c r="AC315" s="26" t="s">
        <v>490</v>
      </c>
      <c r="AD315" s="26" t="s">
        <v>118</v>
      </c>
      <c r="AE315" s="26" t="s">
        <v>70</v>
      </c>
      <c r="AF315" s="26" t="s">
        <v>126</v>
      </c>
      <c r="AG315" s="26" t="s">
        <v>491</v>
      </c>
      <c r="AH315" s="26">
        <v>0</v>
      </c>
      <c r="AI315" s="26">
        <v>0</v>
      </c>
      <c r="AJ315" s="26">
        <v>0</v>
      </c>
      <c r="AK315" s="26">
        <v>0</v>
      </c>
      <c r="AL315" s="26" t="s">
        <v>64</v>
      </c>
      <c r="AM315" s="26">
        <v>3</v>
      </c>
      <c r="AN315" s="26">
        <v>926</v>
      </c>
      <c r="AO315" s="26" t="s">
        <v>65</v>
      </c>
      <c r="AP315" s="26">
        <v>37</v>
      </c>
      <c r="AQ315" s="26">
        <v>0</v>
      </c>
      <c r="AR315" s="26">
        <v>0</v>
      </c>
      <c r="AS315" s="26" t="s">
        <v>118</v>
      </c>
      <c r="AT315" s="26" t="s">
        <v>492</v>
      </c>
      <c r="AU315" s="29" t="s">
        <v>118</v>
      </c>
    </row>
    <row r="316" spans="1:47" x14ac:dyDescent="0.25">
      <c r="A316" s="7">
        <f>+CONCATENATE(DAY(V316),"/",MONTH(V316),"/",YEAR(V316),"")*1</f>
        <v>46164</v>
      </c>
      <c r="B316" s="23">
        <f>+Z316*1</f>
        <v>1144067708</v>
      </c>
      <c r="C316" s="21" t="str">
        <f>+AA316</f>
        <v>ENTRANTE</v>
      </c>
      <c r="D316" s="3" t="str">
        <f>VLOOKUP(Q316,Code!E:F,2,0)</f>
        <v>Admisiones</v>
      </c>
      <c r="E316" s="3" t="s">
        <v>55</v>
      </c>
      <c r="F316" s="3">
        <f>+AP316</f>
        <v>37</v>
      </c>
      <c r="G316" s="3">
        <f>+S316</f>
        <v>26</v>
      </c>
      <c r="H316" s="22">
        <f>+HOUR(V316)</f>
        <v>14</v>
      </c>
      <c r="I316" s="22">
        <f>IFERROR(VLOOKUP(B316,MATRICULAS!A:B,2,0),0)*1</f>
        <v>0</v>
      </c>
      <c r="J316" s="27">
        <v>20260522</v>
      </c>
      <c r="K316" s="27">
        <v>149335271</v>
      </c>
      <c r="L316" s="27" t="s">
        <v>134</v>
      </c>
      <c r="M316" s="27" t="s">
        <v>56</v>
      </c>
      <c r="N316" s="27">
        <v>0</v>
      </c>
      <c r="O316" s="27">
        <v>0</v>
      </c>
      <c r="P316" s="27" t="s">
        <v>57</v>
      </c>
      <c r="Q316" s="27">
        <v>150</v>
      </c>
      <c r="R316" s="27" t="s">
        <v>145</v>
      </c>
      <c r="S316" s="27">
        <v>26</v>
      </c>
      <c r="T316" s="27" t="s">
        <v>58</v>
      </c>
      <c r="U316" s="27" t="s">
        <v>59</v>
      </c>
      <c r="V316" s="30">
        <v>46164.603402777779</v>
      </c>
      <c r="W316" s="30">
        <v>46164.603402777779</v>
      </c>
      <c r="X316" s="30">
        <v>46164.609050925923</v>
      </c>
      <c r="Y316" s="27" t="s">
        <v>117</v>
      </c>
      <c r="Z316" s="27" t="s">
        <v>175</v>
      </c>
      <c r="AA316" s="27" t="s">
        <v>53</v>
      </c>
      <c r="AB316" s="27" t="s">
        <v>60</v>
      </c>
      <c r="AC316" s="27" t="s">
        <v>493</v>
      </c>
      <c r="AD316" s="27" t="s">
        <v>118</v>
      </c>
      <c r="AE316" s="27" t="s">
        <v>61</v>
      </c>
      <c r="AF316" s="27" t="s">
        <v>62</v>
      </c>
      <c r="AG316" s="27" t="s">
        <v>63</v>
      </c>
      <c r="AH316" s="27">
        <v>0</v>
      </c>
      <c r="AI316" s="27">
        <v>0</v>
      </c>
      <c r="AJ316" s="27">
        <v>0</v>
      </c>
      <c r="AK316" s="27">
        <v>0</v>
      </c>
      <c r="AL316" s="27" t="s">
        <v>64</v>
      </c>
      <c r="AM316" s="27">
        <v>3</v>
      </c>
      <c r="AN316" s="27">
        <v>489</v>
      </c>
      <c r="AO316" s="27" t="s">
        <v>65</v>
      </c>
      <c r="AP316" s="27">
        <v>37</v>
      </c>
      <c r="AQ316" s="27">
        <v>1</v>
      </c>
      <c r="AR316" s="27">
        <v>2310785</v>
      </c>
      <c r="AS316" s="27" t="s">
        <v>176</v>
      </c>
      <c r="AT316" s="27" t="s">
        <v>494</v>
      </c>
      <c r="AU316" s="31" t="s">
        <v>118</v>
      </c>
    </row>
    <row r="317" spans="1:47" x14ac:dyDescent="0.25">
      <c r="A317" s="7">
        <f>+CONCATENATE(DAY(V317),"/",MONTH(V317),"/",YEAR(V317),"")*1</f>
        <v>46164</v>
      </c>
      <c r="B317" s="23">
        <f>+Z317*1</f>
        <v>1169566041</v>
      </c>
      <c r="C317" s="21" t="str">
        <f>+AA317</f>
        <v>ENTRANTE</v>
      </c>
      <c r="D317" s="3" t="str">
        <f>VLOOKUP(Q317,Code!E:F,2,0)</f>
        <v>Admisiones</v>
      </c>
      <c r="E317" s="3" t="s">
        <v>55</v>
      </c>
      <c r="F317" s="3">
        <f>+AP317</f>
        <v>37</v>
      </c>
      <c r="G317" s="3">
        <f>+S317</f>
        <v>26</v>
      </c>
      <c r="H317" s="22">
        <f>+HOUR(V317)</f>
        <v>14</v>
      </c>
      <c r="I317" s="22">
        <f>IFERROR(VLOOKUP(B317,MATRICULAS!A:B,2,0),0)*1</f>
        <v>0</v>
      </c>
      <c r="J317" s="26">
        <v>20260522</v>
      </c>
      <c r="K317" s="26">
        <v>149334777</v>
      </c>
      <c r="L317" s="26" t="s">
        <v>134</v>
      </c>
      <c r="M317" s="26" t="s">
        <v>56</v>
      </c>
      <c r="N317" s="26">
        <v>0</v>
      </c>
      <c r="O317" s="26">
        <v>0</v>
      </c>
      <c r="P317" s="26" t="s">
        <v>57</v>
      </c>
      <c r="Q317" s="26">
        <v>150</v>
      </c>
      <c r="R317" s="26" t="s">
        <v>127</v>
      </c>
      <c r="S317" s="26">
        <v>26</v>
      </c>
      <c r="T317" s="26" t="s">
        <v>58</v>
      </c>
      <c r="U317" s="26" t="s">
        <v>59</v>
      </c>
      <c r="V317" s="28">
        <v>46164.586261574077</v>
      </c>
      <c r="W317" s="28">
        <v>46164.586261574077</v>
      </c>
      <c r="X317" s="28">
        <v>46164.590590277781</v>
      </c>
      <c r="Y317" s="26" t="s">
        <v>117</v>
      </c>
      <c r="Z317" s="26" t="s">
        <v>200</v>
      </c>
      <c r="AA317" s="26" t="s">
        <v>53</v>
      </c>
      <c r="AB317" s="26" t="s">
        <v>60</v>
      </c>
      <c r="AC317" s="26" t="s">
        <v>495</v>
      </c>
      <c r="AD317" s="26" t="s">
        <v>118</v>
      </c>
      <c r="AE317" s="26" t="s">
        <v>61</v>
      </c>
      <c r="AF317" s="26" t="s">
        <v>62</v>
      </c>
      <c r="AG317" s="26" t="s">
        <v>63</v>
      </c>
      <c r="AH317" s="26">
        <v>0</v>
      </c>
      <c r="AI317" s="26">
        <v>0</v>
      </c>
      <c r="AJ317" s="26">
        <v>0</v>
      </c>
      <c r="AK317" s="26">
        <v>0</v>
      </c>
      <c r="AL317" s="26" t="s">
        <v>64</v>
      </c>
      <c r="AM317" s="26">
        <v>3</v>
      </c>
      <c r="AN317" s="26">
        <v>374</v>
      </c>
      <c r="AO317" s="26" t="s">
        <v>65</v>
      </c>
      <c r="AP317" s="26">
        <v>37</v>
      </c>
      <c r="AQ317" s="26">
        <v>184</v>
      </c>
      <c r="AR317" s="26">
        <v>2197663</v>
      </c>
      <c r="AS317" s="26" t="s">
        <v>118</v>
      </c>
      <c r="AT317" s="26" t="s">
        <v>496</v>
      </c>
      <c r="AU317" s="29" t="s">
        <v>118</v>
      </c>
    </row>
    <row r="318" spans="1:47" x14ac:dyDescent="0.25">
      <c r="A318" s="7">
        <f>+CONCATENATE(DAY(V318),"/",MONTH(V318),"/",YEAR(V318),"")*1</f>
        <v>46164</v>
      </c>
      <c r="B318" s="23">
        <f>+Z318*1</f>
        <v>3875669047</v>
      </c>
      <c r="C318" s="21" t="str">
        <f>+AA318</f>
        <v>ENTRANTE</v>
      </c>
      <c r="D318" s="3" t="str">
        <f>VLOOKUP(Q318,Code!E:F,2,0)</f>
        <v>Admisiones</v>
      </c>
      <c r="E318" s="3" t="s">
        <v>55</v>
      </c>
      <c r="F318" s="3">
        <f>+AP318</f>
        <v>37</v>
      </c>
      <c r="G318" s="3">
        <f>+S318</f>
        <v>26</v>
      </c>
      <c r="H318" s="22">
        <f>+HOUR(V318)</f>
        <v>13</v>
      </c>
      <c r="I318" s="22">
        <f>IFERROR(VLOOKUP(B318,MATRICULAS!A:B,2,0),0)*1</f>
        <v>0</v>
      </c>
      <c r="J318" s="27">
        <v>20260522</v>
      </c>
      <c r="K318" s="27">
        <v>149334352</v>
      </c>
      <c r="L318" s="27" t="s">
        <v>134</v>
      </c>
      <c r="M318" s="27" t="s">
        <v>56</v>
      </c>
      <c r="N318" s="27">
        <v>0</v>
      </c>
      <c r="O318" s="27">
        <v>0</v>
      </c>
      <c r="P318" s="27" t="s">
        <v>57</v>
      </c>
      <c r="Q318" s="27">
        <v>150</v>
      </c>
      <c r="R318" s="27" t="s">
        <v>127</v>
      </c>
      <c r="S318" s="27">
        <v>26</v>
      </c>
      <c r="T318" s="27" t="s">
        <v>58</v>
      </c>
      <c r="U318" s="27" t="s">
        <v>59</v>
      </c>
      <c r="V318" s="30">
        <v>46164.570613425924</v>
      </c>
      <c r="W318" s="30">
        <v>46164.570613425924</v>
      </c>
      <c r="X318" s="30">
        <v>46164.574097222219</v>
      </c>
      <c r="Y318" s="27" t="s">
        <v>117</v>
      </c>
      <c r="Z318" s="27" t="s">
        <v>497</v>
      </c>
      <c r="AA318" s="27" t="s">
        <v>53</v>
      </c>
      <c r="AB318" s="27" t="s">
        <v>60</v>
      </c>
      <c r="AC318" s="27" t="s">
        <v>498</v>
      </c>
      <c r="AD318" s="27" t="s">
        <v>118</v>
      </c>
      <c r="AE318" s="27" t="s">
        <v>70</v>
      </c>
      <c r="AF318" s="27" t="s">
        <v>132</v>
      </c>
      <c r="AG318" s="27" t="s">
        <v>137</v>
      </c>
      <c r="AH318" s="27">
        <v>0</v>
      </c>
      <c r="AI318" s="27">
        <v>0</v>
      </c>
      <c r="AJ318" s="27">
        <v>0</v>
      </c>
      <c r="AK318" s="27">
        <v>0</v>
      </c>
      <c r="AL318" s="27" t="s">
        <v>64</v>
      </c>
      <c r="AM318" s="27">
        <v>3</v>
      </c>
      <c r="AN318" s="27">
        <v>302</v>
      </c>
      <c r="AO318" s="27" t="s">
        <v>65</v>
      </c>
      <c r="AP318" s="27">
        <v>37</v>
      </c>
      <c r="AQ318" s="27">
        <v>0</v>
      </c>
      <c r="AR318" s="27">
        <v>0</v>
      </c>
      <c r="AS318" s="27" t="s">
        <v>118</v>
      </c>
      <c r="AT318" s="27" t="s">
        <v>499</v>
      </c>
      <c r="AU318" s="31" t="s">
        <v>118</v>
      </c>
    </row>
    <row r="319" spans="1:47" x14ac:dyDescent="0.25">
      <c r="A319" s="7">
        <f>+CONCATENATE(DAY(V319),"/",MONTH(V319),"/",YEAR(V319),"")*1</f>
        <v>46164</v>
      </c>
      <c r="B319" s="23">
        <f>+Z319*1</f>
        <v>1154561186</v>
      </c>
      <c r="C319" s="21" t="str">
        <f>+AA319</f>
        <v>ENTRANTE</v>
      </c>
      <c r="D319" s="3" t="str">
        <f>VLOOKUP(Q319,Code!E:F,2,0)</f>
        <v>Admisiones</v>
      </c>
      <c r="E319" s="3" t="s">
        <v>55</v>
      </c>
      <c r="F319" s="3">
        <f>+AP319</f>
        <v>37</v>
      </c>
      <c r="G319" s="3">
        <f>+S319</f>
        <v>26</v>
      </c>
      <c r="H319" s="22">
        <f>+HOUR(V319)</f>
        <v>13</v>
      </c>
      <c r="I319" s="22">
        <f>IFERROR(VLOOKUP(B319,MATRICULAS!A:B,2,0),0)*1</f>
        <v>0</v>
      </c>
      <c r="J319" s="26">
        <v>20260522</v>
      </c>
      <c r="K319" s="26">
        <v>149333771</v>
      </c>
      <c r="L319" s="26" t="s">
        <v>134</v>
      </c>
      <c r="M319" s="26" t="s">
        <v>56</v>
      </c>
      <c r="N319" s="26">
        <v>0</v>
      </c>
      <c r="O319" s="26">
        <v>0</v>
      </c>
      <c r="P319" s="26" t="s">
        <v>57</v>
      </c>
      <c r="Q319" s="26">
        <v>150</v>
      </c>
      <c r="R319" s="26" t="s">
        <v>127</v>
      </c>
      <c r="S319" s="26">
        <v>26</v>
      </c>
      <c r="T319" s="26" t="s">
        <v>58</v>
      </c>
      <c r="U319" s="26" t="s">
        <v>59</v>
      </c>
      <c r="V319" s="28">
        <v>46164.551840277774</v>
      </c>
      <c r="W319" s="28">
        <v>46164.551840277774</v>
      </c>
      <c r="X319" s="28">
        <v>46164.556574074071</v>
      </c>
      <c r="Y319" s="26" t="s">
        <v>117</v>
      </c>
      <c r="Z319" s="26" t="s">
        <v>500</v>
      </c>
      <c r="AA319" s="26" t="s">
        <v>53</v>
      </c>
      <c r="AB319" s="26" t="s">
        <v>60</v>
      </c>
      <c r="AC319" s="26" t="s">
        <v>501</v>
      </c>
      <c r="AD319" s="26" t="s">
        <v>118</v>
      </c>
      <c r="AE319" s="26" t="s">
        <v>61</v>
      </c>
      <c r="AF319" s="26" t="s">
        <v>62</v>
      </c>
      <c r="AG319" s="26" t="s">
        <v>63</v>
      </c>
      <c r="AH319" s="26">
        <v>0</v>
      </c>
      <c r="AI319" s="26">
        <v>0</v>
      </c>
      <c r="AJ319" s="26">
        <v>0</v>
      </c>
      <c r="AK319" s="26">
        <v>0</v>
      </c>
      <c r="AL319" s="26" t="s">
        <v>64</v>
      </c>
      <c r="AM319" s="26">
        <v>3</v>
      </c>
      <c r="AN319" s="26">
        <v>409</v>
      </c>
      <c r="AO319" s="26" t="s">
        <v>65</v>
      </c>
      <c r="AP319" s="26">
        <v>37</v>
      </c>
      <c r="AQ319" s="26">
        <v>1</v>
      </c>
      <c r="AR319" s="26">
        <v>2503519</v>
      </c>
      <c r="AS319" s="26" t="s">
        <v>118</v>
      </c>
      <c r="AT319" s="26" t="s">
        <v>502</v>
      </c>
      <c r="AU319" s="29" t="s">
        <v>118</v>
      </c>
    </row>
    <row r="320" spans="1:47" x14ac:dyDescent="0.25">
      <c r="A320" s="7">
        <f>+CONCATENATE(DAY(V320),"/",MONTH(V320),"/",YEAR(V320),"")*1</f>
        <v>46164</v>
      </c>
      <c r="B320" s="23">
        <f>+Z320*1</f>
        <v>1167256300</v>
      </c>
      <c r="C320" s="21" t="str">
        <f>+AA320</f>
        <v>ENTRANTE</v>
      </c>
      <c r="D320" s="3" t="str">
        <f>VLOOKUP(Q320,Code!E:F,2,0)</f>
        <v>Admisiones</v>
      </c>
      <c r="E320" s="3" t="s">
        <v>55</v>
      </c>
      <c r="F320" s="3">
        <f>+AP320</f>
        <v>37</v>
      </c>
      <c r="G320" s="3">
        <f>+S320</f>
        <v>26</v>
      </c>
      <c r="H320" s="22">
        <f>+HOUR(V320)</f>
        <v>12</v>
      </c>
      <c r="I320" s="22">
        <f>IFERROR(VLOOKUP(B320,MATRICULAS!A:B,2,0),0)*1</f>
        <v>0</v>
      </c>
      <c r="J320" s="27">
        <v>20260522</v>
      </c>
      <c r="K320" s="27">
        <v>149333283</v>
      </c>
      <c r="L320" s="27" t="s">
        <v>134</v>
      </c>
      <c r="M320" s="27" t="s">
        <v>56</v>
      </c>
      <c r="N320" s="27">
        <v>0</v>
      </c>
      <c r="O320" s="27">
        <v>0</v>
      </c>
      <c r="P320" s="27" t="s">
        <v>57</v>
      </c>
      <c r="Q320" s="27">
        <v>150</v>
      </c>
      <c r="R320" s="27" t="s">
        <v>145</v>
      </c>
      <c r="S320" s="27">
        <v>26</v>
      </c>
      <c r="T320" s="27" t="s">
        <v>58</v>
      </c>
      <c r="U320" s="27" t="s">
        <v>59</v>
      </c>
      <c r="V320" s="30">
        <v>46164.536307870374</v>
      </c>
      <c r="W320" s="30">
        <v>46164.536319444444</v>
      </c>
      <c r="X320" s="30">
        <v>46164.569837962961</v>
      </c>
      <c r="Y320" s="27" t="s">
        <v>117</v>
      </c>
      <c r="Z320" s="27" t="s">
        <v>479</v>
      </c>
      <c r="AA320" s="27" t="s">
        <v>53</v>
      </c>
      <c r="AB320" s="27" t="s">
        <v>60</v>
      </c>
      <c r="AC320" s="27" t="s">
        <v>503</v>
      </c>
      <c r="AD320" s="27" t="s">
        <v>118</v>
      </c>
      <c r="AE320" s="27" t="s">
        <v>61</v>
      </c>
      <c r="AF320" s="27" t="s">
        <v>62</v>
      </c>
      <c r="AG320" s="27" t="s">
        <v>63</v>
      </c>
      <c r="AH320" s="27">
        <v>0</v>
      </c>
      <c r="AI320" s="27">
        <v>0</v>
      </c>
      <c r="AJ320" s="27">
        <v>0</v>
      </c>
      <c r="AK320" s="27">
        <v>0</v>
      </c>
      <c r="AL320" s="27" t="s">
        <v>64</v>
      </c>
      <c r="AM320" s="27">
        <v>3</v>
      </c>
      <c r="AN320" s="27">
        <v>2897</v>
      </c>
      <c r="AO320" s="27" t="s">
        <v>65</v>
      </c>
      <c r="AP320" s="27">
        <v>37</v>
      </c>
      <c r="AQ320" s="27">
        <v>202</v>
      </c>
      <c r="AR320" s="27">
        <v>2485718</v>
      </c>
      <c r="AS320" s="27" t="s">
        <v>118</v>
      </c>
      <c r="AT320" s="27" t="s">
        <v>504</v>
      </c>
      <c r="AU320" s="31" t="s">
        <v>118</v>
      </c>
    </row>
    <row r="321" spans="1:47" x14ac:dyDescent="0.25">
      <c r="A321" s="7">
        <f>+CONCATENATE(DAY(V321),"/",MONTH(V321),"/",YEAR(V321),"")*1</f>
        <v>46164</v>
      </c>
      <c r="B321" s="23">
        <f>+Z321*1</f>
        <v>3751546147</v>
      </c>
      <c r="C321" s="21" t="str">
        <f>+AA321</f>
        <v>ENTRANTE</v>
      </c>
      <c r="D321" s="3" t="str">
        <f>VLOOKUP(Q321,Code!E:F,2,0)</f>
        <v>Admisiones</v>
      </c>
      <c r="E321" s="3" t="s">
        <v>55</v>
      </c>
      <c r="F321" s="3">
        <f>+AP321</f>
        <v>37</v>
      </c>
      <c r="G321" s="3">
        <f>+S321</f>
        <v>0</v>
      </c>
      <c r="H321" s="22">
        <f>+HOUR(V321)</f>
        <v>11</v>
      </c>
      <c r="I321" s="22">
        <f>IFERROR(VLOOKUP(B321,MATRICULAS!A:B,2,0),0)*1</f>
        <v>0</v>
      </c>
      <c r="J321" s="26">
        <v>20260522</v>
      </c>
      <c r="K321" s="26">
        <v>149332069</v>
      </c>
      <c r="L321" s="26" t="s">
        <v>134</v>
      </c>
      <c r="M321" s="26" t="s">
        <v>56</v>
      </c>
      <c r="N321" s="26">
        <v>0</v>
      </c>
      <c r="O321" s="26">
        <v>0</v>
      </c>
      <c r="P321" s="26" t="s">
        <v>57</v>
      </c>
      <c r="Q321" s="26">
        <v>150</v>
      </c>
      <c r="R321" s="26" t="s">
        <v>506</v>
      </c>
      <c r="S321" s="26">
        <v>0</v>
      </c>
      <c r="T321" s="26" t="s">
        <v>58</v>
      </c>
      <c r="U321" s="26" t="s">
        <v>59</v>
      </c>
      <c r="V321" s="28">
        <v>46164.495347222219</v>
      </c>
      <c r="W321" s="28">
        <v>46164.495347222219</v>
      </c>
      <c r="X321" s="28">
        <v>46164.496319444443</v>
      </c>
      <c r="Y321" s="26" t="s">
        <v>117</v>
      </c>
      <c r="Z321" s="26" t="s">
        <v>507</v>
      </c>
      <c r="AA321" s="26" t="s">
        <v>53</v>
      </c>
      <c r="AB321" s="26" t="s">
        <v>60</v>
      </c>
      <c r="AC321" s="26" t="s">
        <v>508</v>
      </c>
      <c r="AD321" s="26" t="s">
        <v>118</v>
      </c>
      <c r="AE321" s="26" t="s">
        <v>61</v>
      </c>
      <c r="AF321" s="26" t="s">
        <v>62</v>
      </c>
      <c r="AG321" s="26" t="s">
        <v>63</v>
      </c>
      <c r="AH321" s="26">
        <v>0</v>
      </c>
      <c r="AI321" s="26">
        <v>0</v>
      </c>
      <c r="AJ321" s="26">
        <v>0</v>
      </c>
      <c r="AK321" s="26">
        <v>0</v>
      </c>
      <c r="AL321" s="26" t="s">
        <v>64</v>
      </c>
      <c r="AM321" s="26">
        <v>3</v>
      </c>
      <c r="AN321" s="26">
        <v>84</v>
      </c>
      <c r="AO321" s="26" t="s">
        <v>65</v>
      </c>
      <c r="AP321" s="26">
        <v>37</v>
      </c>
      <c r="AQ321" s="26">
        <v>202</v>
      </c>
      <c r="AR321" s="26">
        <v>2502489</v>
      </c>
      <c r="AS321" s="26" t="s">
        <v>118</v>
      </c>
      <c r="AT321" s="26" t="s">
        <v>509</v>
      </c>
      <c r="AU321" s="29" t="s">
        <v>118</v>
      </c>
    </row>
    <row r="322" spans="1:47" x14ac:dyDescent="0.25">
      <c r="A322" s="7">
        <f>+CONCATENATE(DAY(V322),"/",MONTH(V322),"/",YEAR(V322),"")*1</f>
        <v>46164</v>
      </c>
      <c r="B322" s="23">
        <f>+Z322*1</f>
        <v>2494660971</v>
      </c>
      <c r="C322" s="21" t="str">
        <f>+AA322</f>
        <v>ENTRANTE</v>
      </c>
      <c r="D322" s="3" t="str">
        <f>VLOOKUP(Q322,Code!E:F,2,0)</f>
        <v>Admisiones</v>
      </c>
      <c r="E322" s="3" t="s">
        <v>55</v>
      </c>
      <c r="F322" s="3">
        <f>+AP322</f>
        <v>37</v>
      </c>
      <c r="G322" s="3">
        <f>+S322</f>
        <v>26</v>
      </c>
      <c r="H322" s="22">
        <f>+HOUR(V322)</f>
        <v>11</v>
      </c>
      <c r="I322" s="22">
        <f>IFERROR(VLOOKUP(B322,MATRICULAS!A:B,2,0),0)*1</f>
        <v>0</v>
      </c>
      <c r="J322" s="26">
        <v>20260522</v>
      </c>
      <c r="K322" s="26">
        <v>149330992</v>
      </c>
      <c r="L322" s="26" t="s">
        <v>134</v>
      </c>
      <c r="M322" s="26" t="s">
        <v>56</v>
      </c>
      <c r="N322" s="26">
        <v>0</v>
      </c>
      <c r="O322" s="26">
        <v>0</v>
      </c>
      <c r="P322" s="26" t="s">
        <v>57</v>
      </c>
      <c r="Q322" s="26">
        <v>150</v>
      </c>
      <c r="R322" s="26" t="s">
        <v>145</v>
      </c>
      <c r="S322" s="26">
        <v>26</v>
      </c>
      <c r="T322" s="26" t="s">
        <v>58</v>
      </c>
      <c r="U322" s="26" t="s">
        <v>59</v>
      </c>
      <c r="V322" s="28">
        <v>46164.464189814818</v>
      </c>
      <c r="W322" s="28">
        <v>46164.464189814818</v>
      </c>
      <c r="X322" s="28">
        <v>46164.467881944445</v>
      </c>
      <c r="Y322" s="26" t="s">
        <v>117</v>
      </c>
      <c r="Z322" s="26" t="s">
        <v>510</v>
      </c>
      <c r="AA322" s="26" t="s">
        <v>53</v>
      </c>
      <c r="AB322" s="26" t="s">
        <v>60</v>
      </c>
      <c r="AC322" s="26" t="s">
        <v>511</v>
      </c>
      <c r="AD322" s="26" t="s">
        <v>118</v>
      </c>
      <c r="AE322" s="26" t="s">
        <v>61</v>
      </c>
      <c r="AF322" s="26" t="s">
        <v>62</v>
      </c>
      <c r="AG322" s="26" t="s">
        <v>63</v>
      </c>
      <c r="AH322" s="26">
        <v>0</v>
      </c>
      <c r="AI322" s="26">
        <v>0</v>
      </c>
      <c r="AJ322" s="26">
        <v>0</v>
      </c>
      <c r="AK322" s="26">
        <v>0</v>
      </c>
      <c r="AL322" s="26" t="s">
        <v>64</v>
      </c>
      <c r="AM322" s="26">
        <v>3</v>
      </c>
      <c r="AN322" s="26">
        <v>319</v>
      </c>
      <c r="AO322" s="26" t="s">
        <v>65</v>
      </c>
      <c r="AP322" s="26">
        <v>37</v>
      </c>
      <c r="AQ322" s="26">
        <v>1</v>
      </c>
      <c r="AR322" s="26">
        <v>2503430</v>
      </c>
      <c r="AS322" s="26" t="s">
        <v>118</v>
      </c>
      <c r="AT322" s="26" t="s">
        <v>512</v>
      </c>
      <c r="AU322" s="29" t="s">
        <v>118</v>
      </c>
    </row>
    <row r="323" spans="1:47" x14ac:dyDescent="0.25">
      <c r="A323" s="7">
        <f>+CONCATENATE(DAY(V323),"/",MONTH(V323),"/",YEAR(V323),"")*1</f>
        <v>46164</v>
      </c>
      <c r="B323" s="23">
        <f>+Z323*1</f>
        <v>3875179574</v>
      </c>
      <c r="C323" s="21" t="str">
        <f>+AA323</f>
        <v>ENTRANTE</v>
      </c>
      <c r="D323" s="3" t="str">
        <f>VLOOKUP(Q323,Code!E:F,2,0)</f>
        <v>Admisiones</v>
      </c>
      <c r="E323" s="3" t="s">
        <v>55</v>
      </c>
      <c r="F323" s="3">
        <f>+AP323</f>
        <v>37</v>
      </c>
      <c r="G323" s="3">
        <f>+S323</f>
        <v>26</v>
      </c>
      <c r="H323" s="22">
        <f>+HOUR(V323)</f>
        <v>11</v>
      </c>
      <c r="I323" s="22">
        <f>IFERROR(VLOOKUP(B323,MATRICULAS!A:B,2,0),0)*1</f>
        <v>0</v>
      </c>
      <c r="J323" s="27">
        <v>20260522</v>
      </c>
      <c r="K323" s="27">
        <v>149330960</v>
      </c>
      <c r="L323" s="27" t="s">
        <v>134</v>
      </c>
      <c r="M323" s="27" t="s">
        <v>56</v>
      </c>
      <c r="N323" s="27">
        <v>0</v>
      </c>
      <c r="O323" s="27">
        <v>0</v>
      </c>
      <c r="P323" s="27" t="s">
        <v>57</v>
      </c>
      <c r="Q323" s="27">
        <v>150</v>
      </c>
      <c r="R323" s="27" t="s">
        <v>127</v>
      </c>
      <c r="S323" s="27">
        <v>26</v>
      </c>
      <c r="T323" s="27" t="s">
        <v>58</v>
      </c>
      <c r="U323" s="27" t="s">
        <v>59</v>
      </c>
      <c r="V323" s="30">
        <v>46164.463356481479</v>
      </c>
      <c r="W323" s="30">
        <v>46164.463356481479</v>
      </c>
      <c r="X323" s="30">
        <v>46164.463912037034</v>
      </c>
      <c r="Y323" s="27" t="s">
        <v>117</v>
      </c>
      <c r="Z323" s="27" t="s">
        <v>513</v>
      </c>
      <c r="AA323" s="27" t="s">
        <v>53</v>
      </c>
      <c r="AB323" s="27" t="s">
        <v>60</v>
      </c>
      <c r="AC323" s="27" t="s">
        <v>514</v>
      </c>
      <c r="AD323" s="27" t="s">
        <v>118</v>
      </c>
      <c r="AE323" s="27" t="s">
        <v>61</v>
      </c>
      <c r="AF323" s="27" t="s">
        <v>62</v>
      </c>
      <c r="AG323" s="27" t="s">
        <v>63</v>
      </c>
      <c r="AH323" s="27">
        <v>0</v>
      </c>
      <c r="AI323" s="27">
        <v>0</v>
      </c>
      <c r="AJ323" s="27">
        <v>0</v>
      </c>
      <c r="AK323" s="27">
        <v>0</v>
      </c>
      <c r="AL323" s="27" t="s">
        <v>64</v>
      </c>
      <c r="AM323" s="27">
        <v>3</v>
      </c>
      <c r="AN323" s="27">
        <v>48</v>
      </c>
      <c r="AO323" s="27" t="s">
        <v>65</v>
      </c>
      <c r="AP323" s="27">
        <v>37</v>
      </c>
      <c r="AQ323" s="27">
        <v>0</v>
      </c>
      <c r="AR323" s="27">
        <v>0</v>
      </c>
      <c r="AS323" s="27" t="s">
        <v>118</v>
      </c>
      <c r="AT323" s="27" t="s">
        <v>515</v>
      </c>
      <c r="AU323" s="31" t="s">
        <v>118</v>
      </c>
    </row>
    <row r="324" spans="1:47" x14ac:dyDescent="0.25">
      <c r="A324" s="7">
        <f>+CONCATENATE(DAY(V324),"/",MONTH(V324),"/",YEAR(V324),"")*1</f>
        <v>46164</v>
      </c>
      <c r="B324" s="23">
        <f>+Z324*1</f>
        <v>1140861116</v>
      </c>
      <c r="C324" s="21" t="str">
        <f>+AA324</f>
        <v>ENTRANTE</v>
      </c>
      <c r="D324" s="3" t="str">
        <f>VLOOKUP(Q324,Code!E:F,2,0)</f>
        <v>Admisiones</v>
      </c>
      <c r="E324" s="3" t="s">
        <v>55</v>
      </c>
      <c r="F324" s="3">
        <f>+AP324</f>
        <v>37</v>
      </c>
      <c r="G324" s="3">
        <f>+S324</f>
        <v>26</v>
      </c>
      <c r="H324" s="22">
        <f>+HOUR(V324)</f>
        <v>10</v>
      </c>
      <c r="I324" s="22">
        <f>IFERROR(VLOOKUP(B324,MATRICULAS!A:B,2,0),0)*1</f>
        <v>1</v>
      </c>
      <c r="J324" s="26">
        <v>20260522</v>
      </c>
      <c r="K324" s="26">
        <v>149330479</v>
      </c>
      <c r="L324" s="26" t="s">
        <v>134</v>
      </c>
      <c r="M324" s="26" t="s">
        <v>56</v>
      </c>
      <c r="N324" s="26">
        <v>0</v>
      </c>
      <c r="O324" s="26">
        <v>0</v>
      </c>
      <c r="P324" s="26" t="s">
        <v>57</v>
      </c>
      <c r="Q324" s="26">
        <v>150</v>
      </c>
      <c r="R324" s="26" t="s">
        <v>127</v>
      </c>
      <c r="S324" s="26">
        <v>26</v>
      </c>
      <c r="T324" s="26" t="s">
        <v>58</v>
      </c>
      <c r="U324" s="26" t="s">
        <v>59</v>
      </c>
      <c r="V324" s="28">
        <v>46164.450486111113</v>
      </c>
      <c r="W324" s="28">
        <v>46164.450486111113</v>
      </c>
      <c r="X324" s="28">
        <v>46164.460752314815</v>
      </c>
      <c r="Y324" s="26" t="s">
        <v>117</v>
      </c>
      <c r="Z324" s="26" t="s">
        <v>516</v>
      </c>
      <c r="AA324" s="26" t="s">
        <v>53</v>
      </c>
      <c r="AB324" s="26" t="s">
        <v>60</v>
      </c>
      <c r="AC324" s="26" t="s">
        <v>517</v>
      </c>
      <c r="AD324" s="26" t="s">
        <v>118</v>
      </c>
      <c r="AE324" s="26" t="s">
        <v>61</v>
      </c>
      <c r="AF324" s="26" t="s">
        <v>62</v>
      </c>
      <c r="AG324" s="26" t="s">
        <v>63</v>
      </c>
      <c r="AH324" s="26">
        <v>0</v>
      </c>
      <c r="AI324" s="26">
        <v>0</v>
      </c>
      <c r="AJ324" s="26">
        <v>0</v>
      </c>
      <c r="AK324" s="26">
        <v>0</v>
      </c>
      <c r="AL324" s="26" t="s">
        <v>64</v>
      </c>
      <c r="AM324" s="26">
        <v>3</v>
      </c>
      <c r="AN324" s="26">
        <v>887</v>
      </c>
      <c r="AO324" s="26" t="s">
        <v>65</v>
      </c>
      <c r="AP324" s="26">
        <v>37</v>
      </c>
      <c r="AQ324" s="26">
        <v>193</v>
      </c>
      <c r="AR324" s="26">
        <v>2392566</v>
      </c>
      <c r="AS324" s="26" t="s">
        <v>118</v>
      </c>
      <c r="AT324" s="26" t="s">
        <v>518</v>
      </c>
      <c r="AU324" s="29" t="s">
        <v>118</v>
      </c>
    </row>
    <row r="325" spans="1:47" x14ac:dyDescent="0.25">
      <c r="A325" s="7">
        <f>+CONCATENATE(DAY(V325),"/",MONTH(V325),"/",YEAR(V325),"")*1</f>
        <v>46164</v>
      </c>
      <c r="B325" s="23">
        <f>+Z325*1</f>
        <v>1163787342</v>
      </c>
      <c r="C325" s="21" t="str">
        <f>+AA325</f>
        <v>ENTRANTE</v>
      </c>
      <c r="D325" s="3" t="str">
        <f>VLOOKUP(Q325,Code!E:F,2,0)</f>
        <v>Admisiones</v>
      </c>
      <c r="E325" s="3" t="s">
        <v>55</v>
      </c>
      <c r="F325" s="3">
        <f>+AP325</f>
        <v>37</v>
      </c>
      <c r="G325" s="3">
        <f>+S325</f>
        <v>26</v>
      </c>
      <c r="H325" s="22">
        <f>+HOUR(V325)</f>
        <v>10</v>
      </c>
      <c r="I325" s="22">
        <f>IFERROR(VLOOKUP(B325,MATRICULAS!A:B,2,0),0)*1</f>
        <v>0</v>
      </c>
      <c r="J325" s="27">
        <v>20260522</v>
      </c>
      <c r="K325" s="27">
        <v>149329945</v>
      </c>
      <c r="L325" s="27" t="s">
        <v>134</v>
      </c>
      <c r="M325" s="27" t="s">
        <v>56</v>
      </c>
      <c r="N325" s="27">
        <v>0</v>
      </c>
      <c r="O325" s="27">
        <v>0</v>
      </c>
      <c r="P325" s="27" t="s">
        <v>57</v>
      </c>
      <c r="Q325" s="27">
        <v>150</v>
      </c>
      <c r="R325" s="27" t="s">
        <v>127</v>
      </c>
      <c r="S325" s="27">
        <v>26</v>
      </c>
      <c r="T325" s="27" t="s">
        <v>58</v>
      </c>
      <c r="U325" s="27" t="s">
        <v>59</v>
      </c>
      <c r="V325" s="30">
        <v>46164.436701388891</v>
      </c>
      <c r="W325" s="30">
        <v>46164.436701388891</v>
      </c>
      <c r="X325" s="30">
        <v>46164.438252314816</v>
      </c>
      <c r="Y325" s="27" t="s">
        <v>117</v>
      </c>
      <c r="Z325" s="27" t="s">
        <v>519</v>
      </c>
      <c r="AA325" s="27" t="s">
        <v>53</v>
      </c>
      <c r="AB325" s="27" t="s">
        <v>60</v>
      </c>
      <c r="AC325" s="27" t="s">
        <v>520</v>
      </c>
      <c r="AD325" s="27" t="s">
        <v>118</v>
      </c>
      <c r="AE325" s="27" t="s">
        <v>61</v>
      </c>
      <c r="AF325" s="27" t="s">
        <v>62</v>
      </c>
      <c r="AG325" s="27" t="s">
        <v>63</v>
      </c>
      <c r="AH325" s="27">
        <v>0</v>
      </c>
      <c r="AI325" s="27">
        <v>0</v>
      </c>
      <c r="AJ325" s="27">
        <v>0</v>
      </c>
      <c r="AK325" s="27">
        <v>0</v>
      </c>
      <c r="AL325" s="27" t="s">
        <v>64</v>
      </c>
      <c r="AM325" s="27">
        <v>3</v>
      </c>
      <c r="AN325" s="27">
        <v>134</v>
      </c>
      <c r="AO325" s="27" t="s">
        <v>65</v>
      </c>
      <c r="AP325" s="27">
        <v>37</v>
      </c>
      <c r="AQ325" s="27">
        <v>1</v>
      </c>
      <c r="AR325" s="27">
        <v>2503399</v>
      </c>
      <c r="AS325" s="27" t="s">
        <v>521</v>
      </c>
      <c r="AT325" s="27" t="s">
        <v>522</v>
      </c>
      <c r="AU325" s="31" t="s">
        <v>118</v>
      </c>
    </row>
    <row r="326" spans="1:47" x14ac:dyDescent="0.25">
      <c r="A326" s="7">
        <f>+CONCATENATE(DAY(V326),"/",MONTH(V326),"/",YEAR(V326),"")*1</f>
        <v>46164</v>
      </c>
      <c r="B326" s="23">
        <f>+Z326*1</f>
        <v>2954393528</v>
      </c>
      <c r="C326" s="21" t="str">
        <f>+AA326</f>
        <v>ENTRANTE</v>
      </c>
      <c r="D326" s="3" t="str">
        <f>VLOOKUP(Q326,Code!E:F,2,0)</f>
        <v>Admisiones</v>
      </c>
      <c r="E326" s="3" t="s">
        <v>55</v>
      </c>
      <c r="F326" s="3">
        <f>+AP326</f>
        <v>37</v>
      </c>
      <c r="G326" s="3">
        <f>+S326</f>
        <v>26</v>
      </c>
      <c r="H326" s="22">
        <f>+HOUR(V326)</f>
        <v>9</v>
      </c>
      <c r="I326" s="22">
        <f>IFERROR(VLOOKUP(B326,MATRICULAS!A:B,2,0),0)*1</f>
        <v>0</v>
      </c>
      <c r="J326" s="26">
        <v>20260522</v>
      </c>
      <c r="K326" s="26">
        <v>149328748</v>
      </c>
      <c r="L326" s="26" t="s">
        <v>134</v>
      </c>
      <c r="M326" s="26" t="s">
        <v>56</v>
      </c>
      <c r="N326" s="26">
        <v>0</v>
      </c>
      <c r="O326" s="26">
        <v>0</v>
      </c>
      <c r="P326" s="26" t="s">
        <v>57</v>
      </c>
      <c r="Q326" s="26">
        <v>150</v>
      </c>
      <c r="R326" s="26" t="s">
        <v>145</v>
      </c>
      <c r="S326" s="26">
        <v>26</v>
      </c>
      <c r="T326" s="26" t="s">
        <v>58</v>
      </c>
      <c r="U326" s="26" t="s">
        <v>59</v>
      </c>
      <c r="V326" s="28">
        <v>46164.402708333335</v>
      </c>
      <c r="W326" s="28">
        <v>46164.402708333335</v>
      </c>
      <c r="X326" s="28">
        <v>46164.403171296297</v>
      </c>
      <c r="Y326" s="26" t="s">
        <v>117</v>
      </c>
      <c r="Z326" s="26" t="s">
        <v>523</v>
      </c>
      <c r="AA326" s="26" t="s">
        <v>53</v>
      </c>
      <c r="AB326" s="26" t="s">
        <v>60</v>
      </c>
      <c r="AC326" s="26" t="s">
        <v>524</v>
      </c>
      <c r="AD326" s="26" t="s">
        <v>118</v>
      </c>
      <c r="AE326" s="26" t="s">
        <v>61</v>
      </c>
      <c r="AF326" s="26" t="s">
        <v>62</v>
      </c>
      <c r="AG326" s="26" t="s">
        <v>63</v>
      </c>
      <c r="AH326" s="26">
        <v>0</v>
      </c>
      <c r="AI326" s="26">
        <v>0</v>
      </c>
      <c r="AJ326" s="26">
        <v>0</v>
      </c>
      <c r="AK326" s="26">
        <v>0</v>
      </c>
      <c r="AL326" s="26" t="s">
        <v>64</v>
      </c>
      <c r="AM326" s="26">
        <v>3</v>
      </c>
      <c r="AN326" s="26">
        <v>40</v>
      </c>
      <c r="AO326" s="26" t="s">
        <v>65</v>
      </c>
      <c r="AP326" s="26">
        <v>37</v>
      </c>
      <c r="AQ326" s="26">
        <v>175</v>
      </c>
      <c r="AR326" s="26">
        <v>2407729</v>
      </c>
      <c r="AS326" s="26" t="s">
        <v>118</v>
      </c>
      <c r="AT326" s="26" t="s">
        <v>525</v>
      </c>
      <c r="AU326" s="29" t="s">
        <v>118</v>
      </c>
    </row>
    <row r="327" spans="1:47" x14ac:dyDescent="0.25">
      <c r="A327" s="7">
        <f>+CONCATENATE(DAY(V327),"/",MONTH(V327),"/",YEAR(V327),"")*1</f>
        <v>46164</v>
      </c>
      <c r="B327" s="23">
        <f>+Z327*1</f>
        <v>3517022622</v>
      </c>
      <c r="C327" s="21" t="str">
        <f>+AA327</f>
        <v>ENTRANTE</v>
      </c>
      <c r="D327" s="3" t="str">
        <f>VLOOKUP(Q327,Code!E:F,2,0)</f>
        <v>Admisiones</v>
      </c>
      <c r="E327" s="3" t="s">
        <v>55</v>
      </c>
      <c r="F327" s="3">
        <f>+AP327</f>
        <v>37</v>
      </c>
      <c r="G327" s="3">
        <f>+S327</f>
        <v>26</v>
      </c>
      <c r="H327" s="22">
        <f>+HOUR(V327)</f>
        <v>9</v>
      </c>
      <c r="I327" s="22">
        <f>IFERROR(VLOOKUP(B327,MATRICULAS!A:B,2,0),0)*1</f>
        <v>0</v>
      </c>
      <c r="J327" s="27">
        <v>20260522</v>
      </c>
      <c r="K327" s="27">
        <v>149328747</v>
      </c>
      <c r="L327" s="27" t="s">
        <v>134</v>
      </c>
      <c r="M327" s="27" t="s">
        <v>56</v>
      </c>
      <c r="N327" s="27">
        <v>0</v>
      </c>
      <c r="O327" s="27">
        <v>0</v>
      </c>
      <c r="P327" s="27" t="s">
        <v>57</v>
      </c>
      <c r="Q327" s="27">
        <v>150</v>
      </c>
      <c r="R327" s="27" t="s">
        <v>153</v>
      </c>
      <c r="S327" s="27">
        <v>26</v>
      </c>
      <c r="T327" s="27" t="s">
        <v>58</v>
      </c>
      <c r="U327" s="27" t="s">
        <v>59</v>
      </c>
      <c r="V327" s="30">
        <v>46164.402673611112</v>
      </c>
      <c r="W327" s="30">
        <v>46164.402673611112</v>
      </c>
      <c r="X327" s="30">
        <v>46164.40315972222</v>
      </c>
      <c r="Y327" s="27" t="s">
        <v>117</v>
      </c>
      <c r="Z327" s="27" t="s">
        <v>187</v>
      </c>
      <c r="AA327" s="27" t="s">
        <v>53</v>
      </c>
      <c r="AB327" s="27" t="s">
        <v>60</v>
      </c>
      <c r="AC327" s="27" t="s">
        <v>526</v>
      </c>
      <c r="AD327" s="27" t="s">
        <v>118</v>
      </c>
      <c r="AE327" s="27" t="s">
        <v>61</v>
      </c>
      <c r="AF327" s="27" t="s">
        <v>62</v>
      </c>
      <c r="AG327" s="27" t="s">
        <v>63</v>
      </c>
      <c r="AH327" s="27">
        <v>0</v>
      </c>
      <c r="AI327" s="27">
        <v>0</v>
      </c>
      <c r="AJ327" s="27">
        <v>0</v>
      </c>
      <c r="AK327" s="27">
        <v>0</v>
      </c>
      <c r="AL327" s="27" t="s">
        <v>64</v>
      </c>
      <c r="AM327" s="27">
        <v>3</v>
      </c>
      <c r="AN327" s="27">
        <v>43</v>
      </c>
      <c r="AO327" s="27" t="s">
        <v>65</v>
      </c>
      <c r="AP327" s="27">
        <v>37</v>
      </c>
      <c r="AQ327" s="27">
        <v>164</v>
      </c>
      <c r="AR327" s="27">
        <v>1892108</v>
      </c>
      <c r="AS327" s="27" t="s">
        <v>188</v>
      </c>
      <c r="AT327" s="27" t="s">
        <v>527</v>
      </c>
      <c r="AU327" s="31" t="s">
        <v>118</v>
      </c>
    </row>
    <row r="328" spans="1:47" x14ac:dyDescent="0.25">
      <c r="A328" s="7">
        <f>+CONCATENATE(DAY(V328),"/",MONTH(V328),"/",YEAR(V328),"")*1</f>
        <v>46164</v>
      </c>
      <c r="B328" s="23">
        <f>+Z328*1</f>
        <v>3517463133</v>
      </c>
      <c r="C328" s="21" t="str">
        <f>+AA328</f>
        <v>ENTRANTE</v>
      </c>
      <c r="D328" s="3" t="str">
        <f>VLOOKUP(Q328,Code!E:F,2,0)</f>
        <v>Admisiones</v>
      </c>
      <c r="E328" s="3" t="s">
        <v>55</v>
      </c>
      <c r="F328" s="3">
        <f>+AP328</f>
        <v>37</v>
      </c>
      <c r="G328" s="3">
        <f>+S328</f>
        <v>26</v>
      </c>
      <c r="H328" s="22">
        <f>+HOUR(V328)</f>
        <v>9</v>
      </c>
      <c r="I328" s="22">
        <f>IFERROR(VLOOKUP(B328,MATRICULAS!A:B,2,0),0)*1</f>
        <v>0</v>
      </c>
      <c r="J328" s="26">
        <v>20260522</v>
      </c>
      <c r="K328" s="26">
        <v>149328724</v>
      </c>
      <c r="L328" s="26" t="s">
        <v>134</v>
      </c>
      <c r="M328" s="26" t="s">
        <v>56</v>
      </c>
      <c r="N328" s="26">
        <v>0</v>
      </c>
      <c r="O328" s="26">
        <v>0</v>
      </c>
      <c r="P328" s="26" t="s">
        <v>57</v>
      </c>
      <c r="Q328" s="26">
        <v>150</v>
      </c>
      <c r="R328" s="26" t="s">
        <v>145</v>
      </c>
      <c r="S328" s="26">
        <v>26</v>
      </c>
      <c r="T328" s="26" t="s">
        <v>58</v>
      </c>
      <c r="U328" s="26" t="s">
        <v>59</v>
      </c>
      <c r="V328" s="28">
        <v>46164.401875000003</v>
      </c>
      <c r="W328" s="28">
        <v>46164.401875000003</v>
      </c>
      <c r="X328" s="28">
        <v>46164.402430555558</v>
      </c>
      <c r="Y328" s="26" t="s">
        <v>117</v>
      </c>
      <c r="Z328" s="26" t="s">
        <v>191</v>
      </c>
      <c r="AA328" s="26" t="s">
        <v>53</v>
      </c>
      <c r="AB328" s="26" t="s">
        <v>60</v>
      </c>
      <c r="AC328" s="26" t="s">
        <v>528</v>
      </c>
      <c r="AD328" s="26" t="s">
        <v>118</v>
      </c>
      <c r="AE328" s="26" t="s">
        <v>70</v>
      </c>
      <c r="AF328" s="26" t="s">
        <v>130</v>
      </c>
      <c r="AG328" s="26" t="s">
        <v>130</v>
      </c>
      <c r="AH328" s="26">
        <v>0</v>
      </c>
      <c r="AI328" s="26">
        <v>0</v>
      </c>
      <c r="AJ328" s="26">
        <v>0</v>
      </c>
      <c r="AK328" s="26">
        <v>0</v>
      </c>
      <c r="AL328" s="26" t="s">
        <v>64</v>
      </c>
      <c r="AM328" s="26">
        <v>3</v>
      </c>
      <c r="AN328" s="26">
        <v>49</v>
      </c>
      <c r="AO328" s="26" t="s">
        <v>65</v>
      </c>
      <c r="AP328" s="26">
        <v>37</v>
      </c>
      <c r="AQ328" s="26">
        <v>195</v>
      </c>
      <c r="AR328" s="26">
        <v>2410763</v>
      </c>
      <c r="AS328" s="26" t="s">
        <v>118</v>
      </c>
      <c r="AT328" s="26" t="s">
        <v>529</v>
      </c>
      <c r="AU328" s="29" t="s">
        <v>118</v>
      </c>
    </row>
    <row r="329" spans="1:47" x14ac:dyDescent="0.25">
      <c r="A329" s="7">
        <f>+CONCATENATE(DAY(V329),"/",MONTH(V329),"/",YEAR(V329),"")*1</f>
        <v>46164</v>
      </c>
      <c r="B329" s="23">
        <f>+Z329*1</f>
        <v>3513113288</v>
      </c>
      <c r="C329" s="21" t="str">
        <f>+AA329</f>
        <v>ENTRANTE</v>
      </c>
      <c r="D329" s="3" t="str">
        <f>VLOOKUP(Q329,Code!E:F,2,0)</f>
        <v>Admisiones</v>
      </c>
      <c r="E329" s="3" t="s">
        <v>55</v>
      </c>
      <c r="F329" s="3">
        <f>+AP329</f>
        <v>37</v>
      </c>
      <c r="G329" s="3">
        <f>+S329</f>
        <v>26</v>
      </c>
      <c r="H329" s="22">
        <f>+HOUR(V329)</f>
        <v>9</v>
      </c>
      <c r="I329" s="22">
        <f>IFERROR(VLOOKUP(B329,MATRICULAS!A:B,2,0),0)*1</f>
        <v>0</v>
      </c>
      <c r="J329" s="27">
        <v>20260522</v>
      </c>
      <c r="K329" s="27">
        <v>149328723</v>
      </c>
      <c r="L329" s="27" t="s">
        <v>134</v>
      </c>
      <c r="M329" s="27" t="s">
        <v>56</v>
      </c>
      <c r="N329" s="27">
        <v>0</v>
      </c>
      <c r="O329" s="27">
        <v>0</v>
      </c>
      <c r="P329" s="27" t="s">
        <v>57</v>
      </c>
      <c r="Q329" s="27">
        <v>150</v>
      </c>
      <c r="R329" s="27" t="s">
        <v>153</v>
      </c>
      <c r="S329" s="27">
        <v>26</v>
      </c>
      <c r="T329" s="27" t="s">
        <v>58</v>
      </c>
      <c r="U329" s="27" t="s">
        <v>59</v>
      </c>
      <c r="V329" s="30">
        <v>46164.401828703703</v>
      </c>
      <c r="W329" s="30">
        <v>46164.401828703703</v>
      </c>
      <c r="X329" s="30">
        <v>46164.402430555558</v>
      </c>
      <c r="Y329" s="27" t="s">
        <v>117</v>
      </c>
      <c r="Z329" s="27" t="s">
        <v>530</v>
      </c>
      <c r="AA329" s="27" t="s">
        <v>53</v>
      </c>
      <c r="AB329" s="27" t="s">
        <v>60</v>
      </c>
      <c r="AC329" s="27" t="s">
        <v>531</v>
      </c>
      <c r="AD329" s="27" t="s">
        <v>118</v>
      </c>
      <c r="AE329" s="27" t="s">
        <v>61</v>
      </c>
      <c r="AF329" s="27" t="s">
        <v>62</v>
      </c>
      <c r="AG329" s="27" t="s">
        <v>63</v>
      </c>
      <c r="AH329" s="27">
        <v>0</v>
      </c>
      <c r="AI329" s="27">
        <v>0</v>
      </c>
      <c r="AJ329" s="27">
        <v>0</v>
      </c>
      <c r="AK329" s="27">
        <v>0</v>
      </c>
      <c r="AL329" s="27" t="s">
        <v>64</v>
      </c>
      <c r="AM329" s="27">
        <v>3</v>
      </c>
      <c r="AN329" s="27">
        <v>53</v>
      </c>
      <c r="AO329" s="27" t="s">
        <v>65</v>
      </c>
      <c r="AP329" s="27">
        <v>37</v>
      </c>
      <c r="AQ329" s="27">
        <v>116</v>
      </c>
      <c r="AR329" s="27">
        <v>1614559</v>
      </c>
      <c r="AS329" s="27" t="s">
        <v>118</v>
      </c>
      <c r="AT329" s="27" t="s">
        <v>532</v>
      </c>
      <c r="AU329" s="31" t="s">
        <v>118</v>
      </c>
    </row>
    <row r="330" spans="1:47" x14ac:dyDescent="0.25">
      <c r="A330" s="7">
        <f>+CONCATENATE(DAY(V330),"/",MONTH(V330),"/",YEAR(V330),"")*1</f>
        <v>46164</v>
      </c>
      <c r="B330" s="23">
        <f>+Z330*1</f>
        <v>3512228091</v>
      </c>
      <c r="C330" s="21" t="str">
        <f>+AA330</f>
        <v>ENTRANTE</v>
      </c>
      <c r="D330" s="3" t="str">
        <f>VLOOKUP(Q330,Code!E:F,2,0)</f>
        <v>Admisiones</v>
      </c>
      <c r="E330" s="3" t="s">
        <v>55</v>
      </c>
      <c r="F330" s="3">
        <f>+AP330</f>
        <v>37</v>
      </c>
      <c r="G330" s="3">
        <f>+S330</f>
        <v>26</v>
      </c>
      <c r="H330" s="22">
        <f>+HOUR(V330)</f>
        <v>9</v>
      </c>
      <c r="I330" s="22">
        <f>IFERROR(VLOOKUP(B330,MATRICULAS!A:B,2,0),0)*1</f>
        <v>0</v>
      </c>
      <c r="J330" s="26">
        <v>20260522</v>
      </c>
      <c r="K330" s="26">
        <v>149328698</v>
      </c>
      <c r="L330" s="26" t="s">
        <v>134</v>
      </c>
      <c r="M330" s="26" t="s">
        <v>56</v>
      </c>
      <c r="N330" s="26">
        <v>0</v>
      </c>
      <c r="O330" s="26">
        <v>0</v>
      </c>
      <c r="P330" s="26" t="s">
        <v>57</v>
      </c>
      <c r="Q330" s="26">
        <v>150</v>
      </c>
      <c r="R330" s="26" t="s">
        <v>145</v>
      </c>
      <c r="S330" s="26">
        <v>26</v>
      </c>
      <c r="T330" s="26" t="s">
        <v>58</v>
      </c>
      <c r="U330" s="26" t="s">
        <v>59</v>
      </c>
      <c r="V330" s="28">
        <v>46164.40115740741</v>
      </c>
      <c r="W330" s="28">
        <v>46164.40115740741</v>
      </c>
      <c r="X330" s="28">
        <v>46164.401504629626</v>
      </c>
      <c r="Y330" s="26" t="s">
        <v>117</v>
      </c>
      <c r="Z330" s="26" t="s">
        <v>533</v>
      </c>
      <c r="AA330" s="26" t="s">
        <v>53</v>
      </c>
      <c r="AB330" s="26" t="s">
        <v>60</v>
      </c>
      <c r="AC330" s="26" t="s">
        <v>534</v>
      </c>
      <c r="AD330" s="26" t="s">
        <v>118</v>
      </c>
      <c r="AE330" s="26" t="s">
        <v>61</v>
      </c>
      <c r="AF330" s="26" t="s">
        <v>62</v>
      </c>
      <c r="AG330" s="26" t="s">
        <v>63</v>
      </c>
      <c r="AH330" s="26">
        <v>0</v>
      </c>
      <c r="AI330" s="26">
        <v>0</v>
      </c>
      <c r="AJ330" s="26">
        <v>0</v>
      </c>
      <c r="AK330" s="26">
        <v>0</v>
      </c>
      <c r="AL330" s="26" t="s">
        <v>64</v>
      </c>
      <c r="AM330" s="26">
        <v>3</v>
      </c>
      <c r="AN330" s="26">
        <v>30</v>
      </c>
      <c r="AO330" s="26" t="s">
        <v>65</v>
      </c>
      <c r="AP330" s="26">
        <v>37</v>
      </c>
      <c r="AQ330" s="26">
        <v>194</v>
      </c>
      <c r="AR330" s="26">
        <v>2364618</v>
      </c>
      <c r="AS330" s="26" t="s">
        <v>118</v>
      </c>
      <c r="AT330" s="26" t="s">
        <v>535</v>
      </c>
      <c r="AU330" s="29" t="s">
        <v>118</v>
      </c>
    </row>
    <row r="331" spans="1:47" x14ac:dyDescent="0.25">
      <c r="A331" s="7">
        <f>+CONCATENATE(DAY(V331),"/",MONTH(V331),"/",YEAR(V331),"")*1</f>
        <v>46164</v>
      </c>
      <c r="B331" s="23">
        <f>+Z331*1</f>
        <v>2233037517</v>
      </c>
      <c r="C331" s="21" t="str">
        <f>+AA331</f>
        <v>ENTRANTE</v>
      </c>
      <c r="D331" s="3" t="str">
        <f>VLOOKUP(Q331,Code!E:F,2,0)</f>
        <v>Admisiones</v>
      </c>
      <c r="E331" s="3" t="s">
        <v>55</v>
      </c>
      <c r="F331" s="3">
        <f>+AP331</f>
        <v>37</v>
      </c>
      <c r="G331" s="3">
        <f>+S331</f>
        <v>26</v>
      </c>
      <c r="H331" s="22">
        <f>+HOUR(V331)</f>
        <v>9</v>
      </c>
      <c r="I331" s="22">
        <f>IFERROR(VLOOKUP(B331,MATRICULAS!A:B,2,0),0)*1</f>
        <v>0</v>
      </c>
      <c r="J331" s="26">
        <v>20260522</v>
      </c>
      <c r="K331" s="26">
        <v>149328508</v>
      </c>
      <c r="L331" s="26" t="s">
        <v>134</v>
      </c>
      <c r="M331" s="26" t="s">
        <v>56</v>
      </c>
      <c r="N331" s="26">
        <v>0</v>
      </c>
      <c r="O331" s="26">
        <v>0</v>
      </c>
      <c r="P331" s="26" t="s">
        <v>57</v>
      </c>
      <c r="Q331" s="26">
        <v>150</v>
      </c>
      <c r="R331" s="26" t="s">
        <v>153</v>
      </c>
      <c r="S331" s="26">
        <v>26</v>
      </c>
      <c r="T331" s="26" t="s">
        <v>58</v>
      </c>
      <c r="U331" s="26" t="s">
        <v>120</v>
      </c>
      <c r="V331" s="28">
        <v>46164.394305555557</v>
      </c>
      <c r="W331" s="28">
        <v>46164.394305555557</v>
      </c>
      <c r="X331" s="28">
        <v>46164.395335648151</v>
      </c>
      <c r="Y331" s="26" t="s">
        <v>117</v>
      </c>
      <c r="Z331" s="26" t="s">
        <v>1479</v>
      </c>
      <c r="AA331" s="26" t="s">
        <v>53</v>
      </c>
      <c r="AB331" s="26" t="s">
        <v>69</v>
      </c>
      <c r="AC331" s="26" t="s">
        <v>118</v>
      </c>
      <c r="AD331" s="26" t="s">
        <v>118</v>
      </c>
      <c r="AE331" s="26" t="s">
        <v>70</v>
      </c>
      <c r="AF331" s="26" t="s">
        <v>126</v>
      </c>
      <c r="AG331" s="26" t="s">
        <v>181</v>
      </c>
      <c r="AH331" s="26">
        <v>0</v>
      </c>
      <c r="AI331" s="26">
        <v>0</v>
      </c>
      <c r="AJ331" s="26">
        <v>0</v>
      </c>
      <c r="AK331" s="26">
        <v>0</v>
      </c>
      <c r="AL331" s="26" t="s">
        <v>64</v>
      </c>
      <c r="AM331" s="26">
        <v>3</v>
      </c>
      <c r="AN331" s="26">
        <v>89</v>
      </c>
      <c r="AO331" s="26" t="s">
        <v>65</v>
      </c>
      <c r="AP331" s="26">
        <v>37</v>
      </c>
      <c r="AQ331" s="26">
        <v>0</v>
      </c>
      <c r="AR331" s="26">
        <v>0</v>
      </c>
      <c r="AS331" s="26" t="s">
        <v>118</v>
      </c>
      <c r="AT331" s="26" t="s">
        <v>1480</v>
      </c>
      <c r="AU331" s="29" t="s">
        <v>118</v>
      </c>
    </row>
    <row r="332" spans="1:47" x14ac:dyDescent="0.25">
      <c r="A332" s="7">
        <f>+CONCATENATE(DAY(V332),"/",MONTH(V332),"/",YEAR(V332),"")*1</f>
        <v>46168</v>
      </c>
      <c r="B332" s="23">
        <f>+Z332*1</f>
        <v>2954599453</v>
      </c>
      <c r="C332" s="21" t="str">
        <f>+AA332</f>
        <v>ENTRANTE</v>
      </c>
      <c r="D332" s="3" t="str">
        <f>VLOOKUP(Q332,Code!E:F,2,0)</f>
        <v>Admisiones</v>
      </c>
      <c r="E332" s="3" t="s">
        <v>55</v>
      </c>
      <c r="F332" s="3">
        <f>+AP332</f>
        <v>37</v>
      </c>
      <c r="G332" s="3">
        <f>+S332</f>
        <v>27</v>
      </c>
      <c r="H332" s="22">
        <f>+HOUR(V332)</f>
        <v>20</v>
      </c>
      <c r="I332" s="22">
        <f>IFERROR(VLOOKUP(B332,MATRICULAS!A:B,2,0),0)*1</f>
        <v>0</v>
      </c>
      <c r="J332" s="26">
        <v>20260526</v>
      </c>
      <c r="K332" s="26">
        <v>149364872</v>
      </c>
      <c r="L332" s="26" t="s">
        <v>134</v>
      </c>
      <c r="M332" s="26" t="s">
        <v>56</v>
      </c>
      <c r="N332" s="26">
        <v>0</v>
      </c>
      <c r="O332" s="26">
        <v>0</v>
      </c>
      <c r="P332" s="26" t="s">
        <v>57</v>
      </c>
      <c r="Q332" s="26">
        <v>150</v>
      </c>
      <c r="R332" s="26" t="s">
        <v>163</v>
      </c>
      <c r="S332" s="26">
        <v>27</v>
      </c>
      <c r="T332" s="26" t="s">
        <v>58</v>
      </c>
      <c r="U332" s="26" t="s">
        <v>59</v>
      </c>
      <c r="V332" s="28">
        <v>46168.850370370368</v>
      </c>
      <c r="W332" s="28">
        <v>46168.850381944445</v>
      </c>
      <c r="X332" s="28">
        <v>46168.855138888888</v>
      </c>
      <c r="Y332" s="26" t="s">
        <v>117</v>
      </c>
      <c r="Z332" s="26" t="s">
        <v>396</v>
      </c>
      <c r="AA332" s="26" t="s">
        <v>53</v>
      </c>
      <c r="AB332" s="26" t="s">
        <v>60</v>
      </c>
      <c r="AC332" s="26" t="s">
        <v>397</v>
      </c>
      <c r="AD332" s="26" t="s">
        <v>118</v>
      </c>
      <c r="AE332" s="26" t="s">
        <v>61</v>
      </c>
      <c r="AF332" s="26" t="s">
        <v>62</v>
      </c>
      <c r="AG332" s="26" t="s">
        <v>63</v>
      </c>
      <c r="AH332" s="26">
        <v>0</v>
      </c>
      <c r="AI332" s="26">
        <v>0</v>
      </c>
      <c r="AJ332" s="26">
        <v>0</v>
      </c>
      <c r="AK332" s="26">
        <v>0</v>
      </c>
      <c r="AL332" s="26" t="s">
        <v>64</v>
      </c>
      <c r="AM332" s="26">
        <v>3</v>
      </c>
      <c r="AN332" s="26">
        <v>412</v>
      </c>
      <c r="AO332" s="26" t="s">
        <v>65</v>
      </c>
      <c r="AP332" s="26">
        <v>37</v>
      </c>
      <c r="AQ332" s="26">
        <v>0</v>
      </c>
      <c r="AR332" s="26">
        <v>0</v>
      </c>
      <c r="AS332" s="26" t="s">
        <v>118</v>
      </c>
      <c r="AT332" s="26" t="s">
        <v>398</v>
      </c>
      <c r="AU332" s="29" t="s">
        <v>118</v>
      </c>
    </row>
    <row r="333" spans="1:47" x14ac:dyDescent="0.25">
      <c r="A333" s="7">
        <f>+CONCATENATE(DAY(V333),"/",MONTH(V333),"/",YEAR(V333),"")*1</f>
        <v>46168</v>
      </c>
      <c r="B333" s="23">
        <f>+Z333*1</f>
        <v>2364329160</v>
      </c>
      <c r="C333" s="21" t="str">
        <f>+AA333</f>
        <v>ENTRANTE</v>
      </c>
      <c r="D333" s="3" t="str">
        <f>VLOOKUP(Q333,Code!E:F,2,0)</f>
        <v>Admisiones</v>
      </c>
      <c r="E333" s="3" t="s">
        <v>55</v>
      </c>
      <c r="F333" s="3">
        <f>+AP333</f>
        <v>37</v>
      </c>
      <c r="G333" s="3">
        <f>+S333</f>
        <v>27</v>
      </c>
      <c r="H333" s="22">
        <f>+HOUR(V333)</f>
        <v>18</v>
      </c>
      <c r="I333" s="22">
        <f>IFERROR(VLOOKUP(B333,MATRICULAS!A:B,2,0),0)*1</f>
        <v>0</v>
      </c>
      <c r="J333" s="27">
        <v>20260526</v>
      </c>
      <c r="K333" s="27">
        <v>149362539</v>
      </c>
      <c r="L333" s="27" t="s">
        <v>134</v>
      </c>
      <c r="M333" s="27" t="s">
        <v>56</v>
      </c>
      <c r="N333" s="27">
        <v>0</v>
      </c>
      <c r="O333" s="27">
        <v>0</v>
      </c>
      <c r="P333" s="27" t="s">
        <v>57</v>
      </c>
      <c r="Q333" s="27">
        <v>150</v>
      </c>
      <c r="R333" s="27" t="s">
        <v>174</v>
      </c>
      <c r="S333" s="27">
        <v>27</v>
      </c>
      <c r="T333" s="27" t="s">
        <v>58</v>
      </c>
      <c r="U333" s="27" t="s">
        <v>59</v>
      </c>
      <c r="V333" s="30">
        <v>46168.766238425924</v>
      </c>
      <c r="W333" s="30">
        <v>46168.766238425924</v>
      </c>
      <c r="X333" s="30">
        <v>46168.768819444442</v>
      </c>
      <c r="Y333" s="27" t="s">
        <v>117</v>
      </c>
      <c r="Z333" s="27" t="s">
        <v>399</v>
      </c>
      <c r="AA333" s="27" t="s">
        <v>53</v>
      </c>
      <c r="AB333" s="27" t="s">
        <v>60</v>
      </c>
      <c r="AC333" s="27" t="s">
        <v>400</v>
      </c>
      <c r="AD333" s="27" t="s">
        <v>118</v>
      </c>
      <c r="AE333" s="27" t="s">
        <v>61</v>
      </c>
      <c r="AF333" s="27" t="s">
        <v>62</v>
      </c>
      <c r="AG333" s="27" t="s">
        <v>63</v>
      </c>
      <c r="AH333" s="27">
        <v>0</v>
      </c>
      <c r="AI333" s="27">
        <v>0</v>
      </c>
      <c r="AJ333" s="27">
        <v>0</v>
      </c>
      <c r="AK333" s="27">
        <v>0</v>
      </c>
      <c r="AL333" s="27" t="s">
        <v>64</v>
      </c>
      <c r="AM333" s="27">
        <v>3</v>
      </c>
      <c r="AN333" s="27">
        <v>223</v>
      </c>
      <c r="AO333" s="27" t="s">
        <v>65</v>
      </c>
      <c r="AP333" s="27">
        <v>37</v>
      </c>
      <c r="AQ333" s="27">
        <v>201</v>
      </c>
      <c r="AR333" s="27">
        <v>2504146</v>
      </c>
      <c r="AS333" s="27" t="s">
        <v>118</v>
      </c>
      <c r="AT333" s="27" t="s">
        <v>401</v>
      </c>
      <c r="AU333" s="31" t="s">
        <v>118</v>
      </c>
    </row>
    <row r="334" spans="1:47" x14ac:dyDescent="0.25">
      <c r="A334" s="7">
        <f>+CONCATENATE(DAY(V334),"/",MONTH(V334),"/",YEAR(V334),"")*1</f>
        <v>46168</v>
      </c>
      <c r="B334" s="23">
        <f>+Z334*1</f>
        <v>1123355175</v>
      </c>
      <c r="C334" s="21" t="str">
        <f>+AA334</f>
        <v>ENTRANTE</v>
      </c>
      <c r="D334" s="3" t="str">
        <f>VLOOKUP(Q334,Code!E:F,2,0)</f>
        <v>Admisiones</v>
      </c>
      <c r="E334" s="3" t="s">
        <v>55</v>
      </c>
      <c r="F334" s="3">
        <f>+AP334</f>
        <v>37</v>
      </c>
      <c r="G334" s="3">
        <f>+S334</f>
        <v>27</v>
      </c>
      <c r="H334" s="22">
        <f>+HOUR(V334)</f>
        <v>17</v>
      </c>
      <c r="I334" s="22">
        <f>IFERROR(VLOOKUP(B334,MATRICULAS!A:B,2,0),0)*1</f>
        <v>0</v>
      </c>
      <c r="J334" s="26">
        <v>20260526</v>
      </c>
      <c r="K334" s="26">
        <v>149362075</v>
      </c>
      <c r="L334" s="26" t="s">
        <v>134</v>
      </c>
      <c r="M334" s="26" t="s">
        <v>56</v>
      </c>
      <c r="N334" s="26">
        <v>0</v>
      </c>
      <c r="O334" s="26">
        <v>0</v>
      </c>
      <c r="P334" s="26" t="s">
        <v>57</v>
      </c>
      <c r="Q334" s="26">
        <v>150</v>
      </c>
      <c r="R334" s="26" t="s">
        <v>163</v>
      </c>
      <c r="S334" s="26">
        <v>27</v>
      </c>
      <c r="T334" s="26" t="s">
        <v>58</v>
      </c>
      <c r="U334" s="26" t="s">
        <v>59</v>
      </c>
      <c r="V334" s="28">
        <v>46168.749490740738</v>
      </c>
      <c r="W334" s="28">
        <v>46168.749490740738</v>
      </c>
      <c r="X334" s="28">
        <v>46168.754907407405</v>
      </c>
      <c r="Y334" s="26" t="s">
        <v>117</v>
      </c>
      <c r="Z334" s="26" t="s">
        <v>402</v>
      </c>
      <c r="AA334" s="26" t="s">
        <v>53</v>
      </c>
      <c r="AB334" s="26" t="s">
        <v>60</v>
      </c>
      <c r="AC334" s="26" t="s">
        <v>403</v>
      </c>
      <c r="AD334" s="26" t="s">
        <v>118</v>
      </c>
      <c r="AE334" s="26" t="s">
        <v>66</v>
      </c>
      <c r="AF334" s="26" t="s">
        <v>67</v>
      </c>
      <c r="AG334" s="26" t="s">
        <v>67</v>
      </c>
      <c r="AH334" s="26">
        <v>0</v>
      </c>
      <c r="AI334" s="26">
        <v>0</v>
      </c>
      <c r="AJ334" s="26">
        <v>0</v>
      </c>
      <c r="AK334" s="26">
        <v>0</v>
      </c>
      <c r="AL334" s="26" t="s">
        <v>64</v>
      </c>
      <c r="AM334" s="26">
        <v>3</v>
      </c>
      <c r="AN334" s="26">
        <v>468</v>
      </c>
      <c r="AO334" s="26" t="s">
        <v>65</v>
      </c>
      <c r="AP334" s="26">
        <v>37</v>
      </c>
      <c r="AQ334" s="26">
        <v>1</v>
      </c>
      <c r="AR334" s="26">
        <v>2506349</v>
      </c>
      <c r="AS334" s="26" t="s">
        <v>118</v>
      </c>
      <c r="AT334" s="26" t="s">
        <v>404</v>
      </c>
      <c r="AU334" s="29" t="s">
        <v>118</v>
      </c>
    </row>
    <row r="335" spans="1:47" x14ac:dyDescent="0.25">
      <c r="A335" s="7">
        <f>+CONCATENATE(DAY(V335),"/",MONTH(V335),"/",YEAR(V335),"")*1</f>
        <v>46168</v>
      </c>
      <c r="B335" s="23">
        <f>+Z335*1</f>
        <v>2604350863</v>
      </c>
      <c r="C335" s="21" t="str">
        <f>+AA335</f>
        <v>ENTRANTE</v>
      </c>
      <c r="D335" s="3" t="str">
        <f>VLOOKUP(Q335,Code!E:F,2,0)</f>
        <v>Admisiones</v>
      </c>
      <c r="E335" s="3" t="s">
        <v>55</v>
      </c>
      <c r="F335" s="3">
        <f>+AP335</f>
        <v>37</v>
      </c>
      <c r="G335" s="3">
        <f>+S335</f>
        <v>27</v>
      </c>
      <c r="H335" s="22">
        <f>+HOUR(V335)</f>
        <v>17</v>
      </c>
      <c r="I335" s="22">
        <f>IFERROR(VLOOKUP(B335,MATRICULAS!A:B,2,0),0)*1</f>
        <v>0</v>
      </c>
      <c r="J335" s="26">
        <v>20260526</v>
      </c>
      <c r="K335" s="26">
        <v>149361964</v>
      </c>
      <c r="L335" s="26" t="s">
        <v>134</v>
      </c>
      <c r="M335" s="26" t="s">
        <v>56</v>
      </c>
      <c r="N335" s="26">
        <v>0</v>
      </c>
      <c r="O335" s="26">
        <v>0</v>
      </c>
      <c r="P335" s="26" t="s">
        <v>57</v>
      </c>
      <c r="Q335" s="26">
        <v>150</v>
      </c>
      <c r="R335" s="26" t="s">
        <v>174</v>
      </c>
      <c r="S335" s="26">
        <v>27</v>
      </c>
      <c r="T335" s="26" t="s">
        <v>58</v>
      </c>
      <c r="U335" s="26" t="s">
        <v>59</v>
      </c>
      <c r="V335" s="28">
        <v>46168.745648148149</v>
      </c>
      <c r="W335" s="28">
        <v>46168.745659722219</v>
      </c>
      <c r="X335" s="28">
        <v>46168.752870370372</v>
      </c>
      <c r="Y335" s="26" t="s">
        <v>117</v>
      </c>
      <c r="Z335" s="26" t="s">
        <v>409</v>
      </c>
      <c r="AA335" s="26" t="s">
        <v>53</v>
      </c>
      <c r="AB335" s="26" t="s">
        <v>60</v>
      </c>
      <c r="AC335" s="26" t="s">
        <v>410</v>
      </c>
      <c r="AD335" s="26" t="s">
        <v>118</v>
      </c>
      <c r="AE335" s="26" t="s">
        <v>61</v>
      </c>
      <c r="AF335" s="26" t="s">
        <v>62</v>
      </c>
      <c r="AG335" s="26" t="s">
        <v>63</v>
      </c>
      <c r="AH335" s="26">
        <v>0</v>
      </c>
      <c r="AI335" s="26">
        <v>0</v>
      </c>
      <c r="AJ335" s="26">
        <v>0</v>
      </c>
      <c r="AK335" s="26">
        <v>0</v>
      </c>
      <c r="AL335" s="26" t="s">
        <v>64</v>
      </c>
      <c r="AM335" s="26">
        <v>3</v>
      </c>
      <c r="AN335" s="26">
        <v>624</v>
      </c>
      <c r="AO335" s="26" t="s">
        <v>65</v>
      </c>
      <c r="AP335" s="26">
        <v>37</v>
      </c>
      <c r="AQ335" s="26">
        <v>1</v>
      </c>
      <c r="AR335" s="26">
        <v>2506331</v>
      </c>
      <c r="AS335" s="26" t="s">
        <v>118</v>
      </c>
      <c r="AT335" s="26" t="s">
        <v>411</v>
      </c>
      <c r="AU335" s="29" t="s">
        <v>118</v>
      </c>
    </row>
    <row r="336" spans="1:47" x14ac:dyDescent="0.25">
      <c r="A336" s="7">
        <f>+CONCATENATE(DAY(V336),"/",MONTH(V336),"/",YEAR(V336),"")*1</f>
        <v>46168</v>
      </c>
      <c r="B336" s="23">
        <f>+Z336*1</f>
        <v>1139232236</v>
      </c>
      <c r="C336" s="21" t="str">
        <f>+AA336</f>
        <v>ENTRANTE</v>
      </c>
      <c r="D336" s="3" t="str">
        <f>VLOOKUP(Q336,Code!E:F,2,0)</f>
        <v>Admisiones</v>
      </c>
      <c r="E336" s="3" t="s">
        <v>55</v>
      </c>
      <c r="F336" s="3">
        <f>+AP336</f>
        <v>37</v>
      </c>
      <c r="G336" s="3">
        <f>+S336</f>
        <v>27</v>
      </c>
      <c r="H336" s="22">
        <f>+HOUR(V336)</f>
        <v>17</v>
      </c>
      <c r="I336" s="22">
        <f>IFERROR(VLOOKUP(B336,MATRICULAS!A:B,2,0),0)*1</f>
        <v>0</v>
      </c>
      <c r="J336" s="27">
        <v>20260526</v>
      </c>
      <c r="K336" s="27">
        <v>149361310</v>
      </c>
      <c r="L336" s="27" t="s">
        <v>134</v>
      </c>
      <c r="M336" s="27" t="s">
        <v>56</v>
      </c>
      <c r="N336" s="27">
        <v>0</v>
      </c>
      <c r="O336" s="27">
        <v>0</v>
      </c>
      <c r="P336" s="27" t="s">
        <v>57</v>
      </c>
      <c r="Q336" s="27">
        <v>150</v>
      </c>
      <c r="R336" s="27" t="s">
        <v>174</v>
      </c>
      <c r="S336" s="27">
        <v>27</v>
      </c>
      <c r="T336" s="27" t="s">
        <v>58</v>
      </c>
      <c r="U336" s="27" t="s">
        <v>59</v>
      </c>
      <c r="V336" s="30">
        <v>46168.724629629629</v>
      </c>
      <c r="W336" s="30">
        <v>46168.724629629629</v>
      </c>
      <c r="X336" s="30">
        <v>46168.725983796299</v>
      </c>
      <c r="Y336" s="27" t="s">
        <v>117</v>
      </c>
      <c r="Z336" s="27" t="s">
        <v>412</v>
      </c>
      <c r="AA336" s="27" t="s">
        <v>53</v>
      </c>
      <c r="AB336" s="27" t="s">
        <v>60</v>
      </c>
      <c r="AC336" s="27" t="s">
        <v>413</v>
      </c>
      <c r="AD336" s="27" t="s">
        <v>118</v>
      </c>
      <c r="AE336" s="27" t="s">
        <v>66</v>
      </c>
      <c r="AF336" s="27" t="s">
        <v>67</v>
      </c>
      <c r="AG336" s="27" t="s">
        <v>67</v>
      </c>
      <c r="AH336" s="27">
        <v>0</v>
      </c>
      <c r="AI336" s="27">
        <v>0</v>
      </c>
      <c r="AJ336" s="27">
        <v>0</v>
      </c>
      <c r="AK336" s="27">
        <v>0</v>
      </c>
      <c r="AL336" s="27" t="s">
        <v>64</v>
      </c>
      <c r="AM336" s="27">
        <v>3</v>
      </c>
      <c r="AN336" s="27">
        <v>118</v>
      </c>
      <c r="AO336" s="27" t="s">
        <v>65</v>
      </c>
      <c r="AP336" s="27">
        <v>37</v>
      </c>
      <c r="AQ336" s="27">
        <v>202</v>
      </c>
      <c r="AR336" s="27">
        <v>2501083</v>
      </c>
      <c r="AS336" s="27" t="s">
        <v>118</v>
      </c>
      <c r="AT336" s="27" t="s">
        <v>414</v>
      </c>
      <c r="AU336" s="31" t="s">
        <v>118</v>
      </c>
    </row>
    <row r="337" spans="1:47" x14ac:dyDescent="0.25">
      <c r="A337" s="7">
        <f>+CONCATENATE(DAY(V337),"/",MONTH(V337),"/",YEAR(V337),"")*1</f>
        <v>46168</v>
      </c>
      <c r="B337" s="23">
        <f>+Z337*1</f>
        <v>1162647776</v>
      </c>
      <c r="C337" s="21" t="str">
        <f>+AA337</f>
        <v>ENTRANTE</v>
      </c>
      <c r="D337" s="3" t="str">
        <f>VLOOKUP(Q337,Code!E:F,2,0)</f>
        <v>Admisiones</v>
      </c>
      <c r="E337" s="3" t="s">
        <v>55</v>
      </c>
      <c r="F337" s="3">
        <f>+AP337</f>
        <v>37</v>
      </c>
      <c r="G337" s="3">
        <f>+S337</f>
        <v>27</v>
      </c>
      <c r="H337" s="22">
        <f>+HOUR(V337)</f>
        <v>17</v>
      </c>
      <c r="I337" s="22">
        <f>IFERROR(VLOOKUP(B337,MATRICULAS!A:B,2,0),0)*1</f>
        <v>0</v>
      </c>
      <c r="J337" s="26">
        <v>20260526</v>
      </c>
      <c r="K337" s="26">
        <v>149361048</v>
      </c>
      <c r="L337" s="26" t="s">
        <v>134</v>
      </c>
      <c r="M337" s="26" t="s">
        <v>56</v>
      </c>
      <c r="N337" s="26">
        <v>0</v>
      </c>
      <c r="O337" s="26">
        <v>0</v>
      </c>
      <c r="P337" s="26" t="s">
        <v>57</v>
      </c>
      <c r="Q337" s="26">
        <v>150</v>
      </c>
      <c r="R337" s="26" t="s">
        <v>174</v>
      </c>
      <c r="S337" s="26">
        <v>27</v>
      </c>
      <c r="T337" s="26" t="s">
        <v>58</v>
      </c>
      <c r="U337" s="26" t="s">
        <v>59</v>
      </c>
      <c r="V337" s="28">
        <v>46168.714155092595</v>
      </c>
      <c r="W337" s="28">
        <v>46168.714155092595</v>
      </c>
      <c r="X337" s="28">
        <v>46168.721886574072</v>
      </c>
      <c r="Y337" s="26" t="s">
        <v>117</v>
      </c>
      <c r="Z337" s="26" t="s">
        <v>375</v>
      </c>
      <c r="AA337" s="26" t="s">
        <v>53</v>
      </c>
      <c r="AB337" s="26" t="s">
        <v>60</v>
      </c>
      <c r="AC337" s="26" t="s">
        <v>415</v>
      </c>
      <c r="AD337" s="26" t="s">
        <v>118</v>
      </c>
      <c r="AE337" s="26" t="s">
        <v>61</v>
      </c>
      <c r="AF337" s="26" t="s">
        <v>62</v>
      </c>
      <c r="AG337" s="26" t="s">
        <v>63</v>
      </c>
      <c r="AH337" s="26">
        <v>0</v>
      </c>
      <c r="AI337" s="26">
        <v>0</v>
      </c>
      <c r="AJ337" s="26">
        <v>0</v>
      </c>
      <c r="AK337" s="26">
        <v>0</v>
      </c>
      <c r="AL337" s="26" t="s">
        <v>64</v>
      </c>
      <c r="AM337" s="26">
        <v>3</v>
      </c>
      <c r="AN337" s="26">
        <v>668</v>
      </c>
      <c r="AO337" s="26" t="s">
        <v>65</v>
      </c>
      <c r="AP337" s="26">
        <v>37</v>
      </c>
      <c r="AQ337" s="26">
        <v>1</v>
      </c>
      <c r="AR337" s="26">
        <v>2506286</v>
      </c>
      <c r="AS337" s="26" t="s">
        <v>118</v>
      </c>
      <c r="AT337" s="26" t="s">
        <v>416</v>
      </c>
      <c r="AU337" s="29" t="s">
        <v>118</v>
      </c>
    </row>
    <row r="338" spans="1:47" x14ac:dyDescent="0.25">
      <c r="A338" s="7">
        <f>+CONCATENATE(DAY(V338),"/",MONTH(V338),"/",YEAR(V338),"")*1</f>
        <v>46168</v>
      </c>
      <c r="B338" s="23">
        <f>+Z338*1</f>
        <v>2901567264</v>
      </c>
      <c r="C338" s="21" t="str">
        <f>+AA338</f>
        <v>ENTRANTE</v>
      </c>
      <c r="D338" s="3" t="str">
        <f>VLOOKUP(Q338,Code!E:F,2,0)</f>
        <v>Admisiones</v>
      </c>
      <c r="E338" s="3" t="s">
        <v>55</v>
      </c>
      <c r="F338" s="3">
        <f>+AP338</f>
        <v>37</v>
      </c>
      <c r="G338" s="3">
        <f>+S338</f>
        <v>27</v>
      </c>
      <c r="H338" s="22">
        <f>+HOUR(V338)</f>
        <v>16</v>
      </c>
      <c r="I338" s="22">
        <f>IFERROR(VLOOKUP(B338,MATRICULAS!A:B,2,0),0)*1</f>
        <v>0</v>
      </c>
      <c r="J338" s="26">
        <v>20260526</v>
      </c>
      <c r="K338" s="26">
        <v>149360107</v>
      </c>
      <c r="L338" s="26" t="s">
        <v>134</v>
      </c>
      <c r="M338" s="26" t="s">
        <v>56</v>
      </c>
      <c r="N338" s="26">
        <v>0</v>
      </c>
      <c r="O338" s="26">
        <v>0</v>
      </c>
      <c r="P338" s="26" t="s">
        <v>57</v>
      </c>
      <c r="Q338" s="26">
        <v>150</v>
      </c>
      <c r="R338" s="26" t="s">
        <v>174</v>
      </c>
      <c r="S338" s="26">
        <v>27</v>
      </c>
      <c r="T338" s="26" t="s">
        <v>58</v>
      </c>
      <c r="U338" s="26" t="s">
        <v>59</v>
      </c>
      <c r="V338" s="28">
        <v>46168.689641203702</v>
      </c>
      <c r="W338" s="28">
        <v>46168.689641203702</v>
      </c>
      <c r="X338" s="28">
        <v>46168.694699074076</v>
      </c>
      <c r="Y338" s="26" t="s">
        <v>117</v>
      </c>
      <c r="Z338" s="26" t="s">
        <v>419</v>
      </c>
      <c r="AA338" s="26" t="s">
        <v>53</v>
      </c>
      <c r="AB338" s="26" t="s">
        <v>60</v>
      </c>
      <c r="AC338" s="26" t="s">
        <v>420</v>
      </c>
      <c r="AD338" s="26" t="s">
        <v>118</v>
      </c>
      <c r="AE338" s="26" t="s">
        <v>61</v>
      </c>
      <c r="AF338" s="26" t="s">
        <v>62</v>
      </c>
      <c r="AG338" s="26" t="s">
        <v>63</v>
      </c>
      <c r="AH338" s="26">
        <v>0</v>
      </c>
      <c r="AI338" s="26">
        <v>0</v>
      </c>
      <c r="AJ338" s="26">
        <v>0</v>
      </c>
      <c r="AK338" s="26">
        <v>0</v>
      </c>
      <c r="AL338" s="26" t="s">
        <v>64</v>
      </c>
      <c r="AM338" s="26">
        <v>3</v>
      </c>
      <c r="AN338" s="26">
        <v>437</v>
      </c>
      <c r="AO338" s="26" t="s">
        <v>65</v>
      </c>
      <c r="AP338" s="26">
        <v>37</v>
      </c>
      <c r="AQ338" s="26">
        <v>201</v>
      </c>
      <c r="AR338" s="26">
        <v>2503512</v>
      </c>
      <c r="AS338" s="26" t="s">
        <v>118</v>
      </c>
      <c r="AT338" s="26" t="s">
        <v>421</v>
      </c>
      <c r="AU338" s="29" t="s">
        <v>118</v>
      </c>
    </row>
    <row r="339" spans="1:47" x14ac:dyDescent="0.25">
      <c r="A339" s="7">
        <f>+CONCATENATE(DAY(V339),"/",MONTH(V339),"/",YEAR(V339),"")*1</f>
        <v>46168</v>
      </c>
      <c r="B339" s="23">
        <f>+Z339*1</f>
        <v>3487658297</v>
      </c>
      <c r="C339" s="21" t="str">
        <f>+AA339</f>
        <v>ENTRANTE</v>
      </c>
      <c r="D339" s="3" t="str">
        <f>VLOOKUP(Q339,Code!E:F,2,0)</f>
        <v>Admisiones</v>
      </c>
      <c r="E339" s="3" t="s">
        <v>55</v>
      </c>
      <c r="F339" s="3">
        <f>+AP339</f>
        <v>37</v>
      </c>
      <c r="G339" s="3">
        <f>+S339</f>
        <v>27</v>
      </c>
      <c r="H339" s="22">
        <f>+HOUR(V339)</f>
        <v>15</v>
      </c>
      <c r="I339" s="22">
        <f>IFERROR(VLOOKUP(B339,MATRICULAS!A:B,2,0),0)*1</f>
        <v>0</v>
      </c>
      <c r="J339" s="27">
        <v>20260526</v>
      </c>
      <c r="K339" s="27">
        <v>149358440</v>
      </c>
      <c r="L339" s="27" t="s">
        <v>134</v>
      </c>
      <c r="M339" s="27" t="s">
        <v>56</v>
      </c>
      <c r="N339" s="27">
        <v>0</v>
      </c>
      <c r="O339" s="27">
        <v>0</v>
      </c>
      <c r="P339" s="27" t="s">
        <v>57</v>
      </c>
      <c r="Q339" s="27">
        <v>150</v>
      </c>
      <c r="R339" s="27" t="s">
        <v>163</v>
      </c>
      <c r="S339" s="27">
        <v>27</v>
      </c>
      <c r="T339" s="27" t="s">
        <v>58</v>
      </c>
      <c r="U339" s="27" t="s">
        <v>59</v>
      </c>
      <c r="V339" s="30">
        <v>46168.640868055554</v>
      </c>
      <c r="W339" s="30">
        <v>46168.640868055554</v>
      </c>
      <c r="X339" s="30">
        <v>46168.649386574078</v>
      </c>
      <c r="Y339" s="27" t="s">
        <v>117</v>
      </c>
      <c r="Z339" s="27" t="s">
        <v>422</v>
      </c>
      <c r="AA339" s="27" t="s">
        <v>53</v>
      </c>
      <c r="AB339" s="27" t="s">
        <v>60</v>
      </c>
      <c r="AC339" s="27" t="s">
        <v>423</v>
      </c>
      <c r="AD339" s="27" t="s">
        <v>118</v>
      </c>
      <c r="AE339" s="27" t="s">
        <v>61</v>
      </c>
      <c r="AF339" s="27" t="s">
        <v>62</v>
      </c>
      <c r="AG339" s="27" t="s">
        <v>63</v>
      </c>
      <c r="AH339" s="27">
        <v>0</v>
      </c>
      <c r="AI339" s="27">
        <v>0</v>
      </c>
      <c r="AJ339" s="27">
        <v>0</v>
      </c>
      <c r="AK339" s="27">
        <v>0</v>
      </c>
      <c r="AL339" s="27" t="s">
        <v>64</v>
      </c>
      <c r="AM339" s="27">
        <v>3</v>
      </c>
      <c r="AN339" s="27">
        <v>737</v>
      </c>
      <c r="AO339" s="27" t="s">
        <v>65</v>
      </c>
      <c r="AP339" s="27">
        <v>37</v>
      </c>
      <c r="AQ339" s="27">
        <v>202</v>
      </c>
      <c r="AR339" s="27">
        <v>2504608</v>
      </c>
      <c r="AS339" s="27" t="s">
        <v>118</v>
      </c>
      <c r="AT339" s="27" t="s">
        <v>424</v>
      </c>
      <c r="AU339" s="31" t="s">
        <v>118</v>
      </c>
    </row>
    <row r="340" spans="1:47" x14ac:dyDescent="0.25">
      <c r="A340" s="7">
        <f>+CONCATENATE(DAY(V340),"/",MONTH(V340),"/",YEAR(V340),"")*1</f>
        <v>46168</v>
      </c>
      <c r="B340" s="23">
        <f>+Z340*1</f>
        <v>1123090695</v>
      </c>
      <c r="C340" s="21" t="str">
        <f>+AA340</f>
        <v>ENTRANTE</v>
      </c>
      <c r="D340" s="3" t="str">
        <f>VLOOKUP(Q340,Code!E:F,2,0)</f>
        <v>Admisiones</v>
      </c>
      <c r="E340" s="3" t="s">
        <v>55</v>
      </c>
      <c r="F340" s="3">
        <f>+AP340</f>
        <v>37</v>
      </c>
      <c r="G340" s="3">
        <f>+S340</f>
        <v>26</v>
      </c>
      <c r="H340" s="22">
        <f>+HOUR(V340)</f>
        <v>14</v>
      </c>
      <c r="I340" s="22">
        <f>IFERROR(VLOOKUP(B340,MATRICULAS!A:B,2,0),0)*1</f>
        <v>0</v>
      </c>
      <c r="J340" s="26">
        <v>20260526</v>
      </c>
      <c r="K340" s="26">
        <v>149357869</v>
      </c>
      <c r="L340" s="26" t="s">
        <v>134</v>
      </c>
      <c r="M340" s="26" t="s">
        <v>56</v>
      </c>
      <c r="N340" s="26">
        <v>0</v>
      </c>
      <c r="O340" s="26">
        <v>0</v>
      </c>
      <c r="P340" s="26" t="s">
        <v>57</v>
      </c>
      <c r="Q340" s="26">
        <v>150</v>
      </c>
      <c r="R340" s="26" t="s">
        <v>145</v>
      </c>
      <c r="S340" s="26">
        <v>26</v>
      </c>
      <c r="T340" s="26" t="s">
        <v>58</v>
      </c>
      <c r="U340" s="26" t="s">
        <v>59</v>
      </c>
      <c r="V340" s="28">
        <v>46168.621527777781</v>
      </c>
      <c r="W340" s="28">
        <v>46168.621527777781</v>
      </c>
      <c r="X340" s="28">
        <v>46168.623715277776</v>
      </c>
      <c r="Y340" s="26" t="s">
        <v>117</v>
      </c>
      <c r="Z340" s="26" t="s">
        <v>425</v>
      </c>
      <c r="AA340" s="26" t="s">
        <v>53</v>
      </c>
      <c r="AB340" s="26" t="s">
        <v>60</v>
      </c>
      <c r="AC340" s="26" t="s">
        <v>426</v>
      </c>
      <c r="AD340" s="26" t="s">
        <v>118</v>
      </c>
      <c r="AE340" s="26" t="s">
        <v>66</v>
      </c>
      <c r="AF340" s="26" t="s">
        <v>67</v>
      </c>
      <c r="AG340" s="26" t="s">
        <v>67</v>
      </c>
      <c r="AH340" s="26">
        <v>0</v>
      </c>
      <c r="AI340" s="26">
        <v>0</v>
      </c>
      <c r="AJ340" s="26">
        <v>0</v>
      </c>
      <c r="AK340" s="26">
        <v>0</v>
      </c>
      <c r="AL340" s="26" t="s">
        <v>64</v>
      </c>
      <c r="AM340" s="26">
        <v>3</v>
      </c>
      <c r="AN340" s="26">
        <v>189</v>
      </c>
      <c r="AO340" s="26" t="s">
        <v>65</v>
      </c>
      <c r="AP340" s="26">
        <v>37</v>
      </c>
      <c r="AQ340" s="26">
        <v>201</v>
      </c>
      <c r="AR340" s="26">
        <v>2505947</v>
      </c>
      <c r="AS340" s="26" t="s">
        <v>118</v>
      </c>
      <c r="AT340" s="26" t="s">
        <v>427</v>
      </c>
      <c r="AU340" s="29" t="s">
        <v>118</v>
      </c>
    </row>
    <row r="341" spans="1:47" x14ac:dyDescent="0.25">
      <c r="A341" s="7">
        <f>+CONCATENATE(DAY(V341),"/",MONTH(V341),"/",YEAR(V341),"")*1</f>
        <v>46168</v>
      </c>
      <c r="B341" s="23">
        <f>+Z341*1</f>
        <v>1131202211</v>
      </c>
      <c r="C341" s="21" t="str">
        <f>+AA341</f>
        <v>ENTRANTE</v>
      </c>
      <c r="D341" s="3" t="str">
        <f>VLOOKUP(Q341,Code!E:F,2,0)</f>
        <v>Admisiones</v>
      </c>
      <c r="E341" s="3" t="s">
        <v>55</v>
      </c>
      <c r="F341" s="3">
        <f>+AP341</f>
        <v>37</v>
      </c>
      <c r="G341" s="3">
        <f>+S341</f>
        <v>26</v>
      </c>
      <c r="H341" s="22">
        <f>+HOUR(V341)</f>
        <v>14</v>
      </c>
      <c r="I341" s="22">
        <f>IFERROR(VLOOKUP(B341,MATRICULAS!A:B,2,0),0)*1</f>
        <v>0</v>
      </c>
      <c r="J341" s="27">
        <v>20260526</v>
      </c>
      <c r="K341" s="27">
        <v>149357457</v>
      </c>
      <c r="L341" s="27" t="s">
        <v>134</v>
      </c>
      <c r="M341" s="27" t="s">
        <v>56</v>
      </c>
      <c r="N341" s="27">
        <v>0</v>
      </c>
      <c r="O341" s="27">
        <v>0</v>
      </c>
      <c r="P341" s="27" t="s">
        <v>57</v>
      </c>
      <c r="Q341" s="27">
        <v>150</v>
      </c>
      <c r="R341" s="27" t="s">
        <v>145</v>
      </c>
      <c r="S341" s="27">
        <v>26</v>
      </c>
      <c r="T341" s="27" t="s">
        <v>58</v>
      </c>
      <c r="U341" s="27" t="s">
        <v>59</v>
      </c>
      <c r="V341" s="30">
        <v>46168.605243055557</v>
      </c>
      <c r="W341" s="30">
        <v>46168.605243055557</v>
      </c>
      <c r="X341" s="30">
        <v>46168.609050925923</v>
      </c>
      <c r="Y341" s="27" t="s">
        <v>117</v>
      </c>
      <c r="Z341" s="27" t="s">
        <v>428</v>
      </c>
      <c r="AA341" s="27" t="s">
        <v>53</v>
      </c>
      <c r="AB341" s="27" t="s">
        <v>60</v>
      </c>
      <c r="AC341" s="27" t="s">
        <v>429</v>
      </c>
      <c r="AD341" s="27" t="s">
        <v>118</v>
      </c>
      <c r="AE341" s="27" t="s">
        <v>61</v>
      </c>
      <c r="AF341" s="27" t="s">
        <v>62</v>
      </c>
      <c r="AG341" s="27" t="s">
        <v>63</v>
      </c>
      <c r="AH341" s="27">
        <v>0</v>
      </c>
      <c r="AI341" s="27">
        <v>0</v>
      </c>
      <c r="AJ341" s="27">
        <v>0</v>
      </c>
      <c r="AK341" s="27">
        <v>0</v>
      </c>
      <c r="AL341" s="27" t="s">
        <v>64</v>
      </c>
      <c r="AM341" s="27">
        <v>3</v>
      </c>
      <c r="AN341" s="27">
        <v>329</v>
      </c>
      <c r="AO341" s="27" t="s">
        <v>65</v>
      </c>
      <c r="AP341" s="27">
        <v>37</v>
      </c>
      <c r="AQ341" s="27">
        <v>1</v>
      </c>
      <c r="AR341" s="27">
        <v>2506132</v>
      </c>
      <c r="AS341" s="27" t="s">
        <v>118</v>
      </c>
      <c r="AT341" s="27" t="s">
        <v>430</v>
      </c>
      <c r="AU341" s="31" t="s">
        <v>118</v>
      </c>
    </row>
    <row r="342" spans="1:47" x14ac:dyDescent="0.25">
      <c r="A342" s="7">
        <f>+CONCATENATE(DAY(V342),"/",MONTH(V342),"/",YEAR(V342),"")*1</f>
        <v>46168</v>
      </c>
      <c r="B342" s="23">
        <f>+Z342*1</f>
        <v>2915053311</v>
      </c>
      <c r="C342" s="21" t="str">
        <f>+AA342</f>
        <v>ENTRANTE</v>
      </c>
      <c r="D342" s="3" t="str">
        <f>VLOOKUP(Q342,Code!E:F,2,0)</f>
        <v>Admisiones</v>
      </c>
      <c r="E342" s="3" t="s">
        <v>55</v>
      </c>
      <c r="F342" s="3">
        <f>+AP342</f>
        <v>37</v>
      </c>
      <c r="G342" s="3">
        <f>+S342</f>
        <v>26</v>
      </c>
      <c r="H342" s="22">
        <f>+HOUR(V342)</f>
        <v>13</v>
      </c>
      <c r="I342" s="22">
        <f>IFERROR(VLOOKUP(B342,MATRICULAS!A:B,2,0),0)*1</f>
        <v>0</v>
      </c>
      <c r="J342" s="26">
        <v>20260526</v>
      </c>
      <c r="K342" s="26">
        <v>149356700</v>
      </c>
      <c r="L342" s="26" t="s">
        <v>134</v>
      </c>
      <c r="M342" s="26" t="s">
        <v>56</v>
      </c>
      <c r="N342" s="26">
        <v>0</v>
      </c>
      <c r="O342" s="26">
        <v>0</v>
      </c>
      <c r="P342" s="26" t="s">
        <v>57</v>
      </c>
      <c r="Q342" s="26">
        <v>150</v>
      </c>
      <c r="R342" s="26" t="s">
        <v>128</v>
      </c>
      <c r="S342" s="26">
        <v>26</v>
      </c>
      <c r="T342" s="26" t="s">
        <v>58</v>
      </c>
      <c r="U342" s="26" t="s">
        <v>59</v>
      </c>
      <c r="V342" s="28">
        <v>46168.575104166666</v>
      </c>
      <c r="W342" s="28">
        <v>46168.575104166666</v>
      </c>
      <c r="X342" s="28">
        <v>46168.582499999997</v>
      </c>
      <c r="Y342" s="26" t="s">
        <v>117</v>
      </c>
      <c r="Z342" s="26" t="s">
        <v>431</v>
      </c>
      <c r="AA342" s="26" t="s">
        <v>53</v>
      </c>
      <c r="AB342" s="26" t="s">
        <v>60</v>
      </c>
      <c r="AC342" s="26" t="s">
        <v>432</v>
      </c>
      <c r="AD342" s="26" t="s">
        <v>118</v>
      </c>
      <c r="AE342" s="26" t="s">
        <v>61</v>
      </c>
      <c r="AF342" s="26" t="s">
        <v>62</v>
      </c>
      <c r="AG342" s="26" t="s">
        <v>63</v>
      </c>
      <c r="AH342" s="26">
        <v>0</v>
      </c>
      <c r="AI342" s="26">
        <v>0</v>
      </c>
      <c r="AJ342" s="26">
        <v>0</v>
      </c>
      <c r="AK342" s="26">
        <v>0</v>
      </c>
      <c r="AL342" s="26" t="s">
        <v>64</v>
      </c>
      <c r="AM342" s="26">
        <v>3</v>
      </c>
      <c r="AN342" s="26">
        <v>639</v>
      </c>
      <c r="AO342" s="26" t="s">
        <v>65</v>
      </c>
      <c r="AP342" s="26">
        <v>37</v>
      </c>
      <c r="AQ342" s="26">
        <v>202</v>
      </c>
      <c r="AR342" s="26">
        <v>2501132</v>
      </c>
      <c r="AS342" s="26" t="s">
        <v>118</v>
      </c>
      <c r="AT342" s="26" t="s">
        <v>433</v>
      </c>
      <c r="AU342" s="29" t="s">
        <v>118</v>
      </c>
    </row>
    <row r="343" spans="1:47" x14ac:dyDescent="0.25">
      <c r="A343" s="7">
        <f>+CONCATENATE(DAY(V343),"/",MONTH(V343),"/",YEAR(V343),"")*1</f>
        <v>46168</v>
      </c>
      <c r="B343" s="23">
        <f>+Z343*1</f>
        <v>1130686115</v>
      </c>
      <c r="C343" s="21" t="str">
        <f>+AA343</f>
        <v>ENTRANTE</v>
      </c>
      <c r="D343" s="3" t="str">
        <f>VLOOKUP(Q343,Code!E:F,2,0)</f>
        <v>Admisiones</v>
      </c>
      <c r="E343" s="3" t="s">
        <v>55</v>
      </c>
      <c r="F343" s="3">
        <f>+AP343</f>
        <v>37</v>
      </c>
      <c r="G343" s="3">
        <f>+S343</f>
        <v>0</v>
      </c>
      <c r="H343" s="22">
        <f>+HOUR(V343)</f>
        <v>13</v>
      </c>
      <c r="I343" s="22">
        <f>IFERROR(VLOOKUP(B343,MATRICULAS!A:B,2,0),0)*1</f>
        <v>1</v>
      </c>
      <c r="J343" s="27">
        <v>20260526</v>
      </c>
      <c r="K343" s="27">
        <v>149356677</v>
      </c>
      <c r="L343" s="27" t="s">
        <v>134</v>
      </c>
      <c r="M343" s="27" t="s">
        <v>56</v>
      </c>
      <c r="N343" s="27">
        <v>0</v>
      </c>
      <c r="O343" s="27">
        <v>0</v>
      </c>
      <c r="P343" s="27" t="s">
        <v>57</v>
      </c>
      <c r="Q343" s="27">
        <v>150</v>
      </c>
      <c r="R343" s="27" t="s">
        <v>434</v>
      </c>
      <c r="S343" s="27">
        <v>0</v>
      </c>
      <c r="T343" s="27" t="s">
        <v>58</v>
      </c>
      <c r="U343" s="27" t="s">
        <v>59</v>
      </c>
      <c r="V343" s="30">
        <v>46168.57408564815</v>
      </c>
      <c r="W343" s="30">
        <v>46168.57408564815</v>
      </c>
      <c r="X343" s="30">
        <v>46168.593078703707</v>
      </c>
      <c r="Y343" s="27" t="s">
        <v>117</v>
      </c>
      <c r="Z343" s="27" t="s">
        <v>435</v>
      </c>
      <c r="AA343" s="27" t="s">
        <v>53</v>
      </c>
      <c r="AB343" s="27" t="s">
        <v>60</v>
      </c>
      <c r="AC343" s="27" t="s">
        <v>436</v>
      </c>
      <c r="AD343" s="27" t="s">
        <v>118</v>
      </c>
      <c r="AE343" s="27" t="s">
        <v>61</v>
      </c>
      <c r="AF343" s="27" t="s">
        <v>62</v>
      </c>
      <c r="AG343" s="27" t="s">
        <v>63</v>
      </c>
      <c r="AH343" s="27">
        <v>0</v>
      </c>
      <c r="AI343" s="27">
        <v>0</v>
      </c>
      <c r="AJ343" s="27">
        <v>0</v>
      </c>
      <c r="AK343" s="27">
        <v>0</v>
      </c>
      <c r="AL343" s="27" t="s">
        <v>64</v>
      </c>
      <c r="AM343" s="27">
        <v>3</v>
      </c>
      <c r="AN343" s="27">
        <v>1641</v>
      </c>
      <c r="AO343" s="27" t="s">
        <v>65</v>
      </c>
      <c r="AP343" s="27">
        <v>37</v>
      </c>
      <c r="AQ343" s="27">
        <v>1</v>
      </c>
      <c r="AR343" s="27">
        <v>2506087</v>
      </c>
      <c r="AS343" s="27" t="s">
        <v>437</v>
      </c>
      <c r="AT343" s="27" t="s">
        <v>438</v>
      </c>
      <c r="AU343" s="31" t="s">
        <v>118</v>
      </c>
    </row>
    <row r="344" spans="1:47" x14ac:dyDescent="0.25">
      <c r="A344" s="7">
        <f>+CONCATENATE(DAY(V344),"/",MONTH(V344),"/",YEAR(V344),"")*1</f>
        <v>46168</v>
      </c>
      <c r="B344" s="23">
        <f>+Z344*1</f>
        <v>3416603162</v>
      </c>
      <c r="C344" s="21" t="str">
        <f>+AA344</f>
        <v>ENTRANTE</v>
      </c>
      <c r="D344" s="3" t="str">
        <f>VLOOKUP(Q344,Code!E:F,2,0)</f>
        <v>Admisiones</v>
      </c>
      <c r="E344" s="3" t="s">
        <v>55</v>
      </c>
      <c r="F344" s="3">
        <f>+AP344</f>
        <v>37</v>
      </c>
      <c r="G344" s="3">
        <f>+S344</f>
        <v>26</v>
      </c>
      <c r="H344" s="22">
        <f>+HOUR(V344)</f>
        <v>12</v>
      </c>
      <c r="I344" s="22">
        <f>IFERROR(VLOOKUP(B344,MATRICULAS!A:B,2,0),0)*1</f>
        <v>0</v>
      </c>
      <c r="J344" s="27">
        <v>20260526</v>
      </c>
      <c r="K344" s="27">
        <v>149355481</v>
      </c>
      <c r="L344" s="27" t="s">
        <v>134</v>
      </c>
      <c r="M344" s="27" t="s">
        <v>56</v>
      </c>
      <c r="N344" s="27">
        <v>0</v>
      </c>
      <c r="O344" s="27">
        <v>0</v>
      </c>
      <c r="P344" s="27" t="s">
        <v>57</v>
      </c>
      <c r="Q344" s="27">
        <v>150</v>
      </c>
      <c r="R344" s="27" t="s">
        <v>145</v>
      </c>
      <c r="S344" s="27">
        <v>26</v>
      </c>
      <c r="T344" s="27" t="s">
        <v>58</v>
      </c>
      <c r="U344" s="27" t="s">
        <v>59</v>
      </c>
      <c r="V344" s="30">
        <v>46168.536932870367</v>
      </c>
      <c r="W344" s="30">
        <v>46168.536932870367</v>
      </c>
      <c r="X344" s="30">
        <v>46168.53837962963</v>
      </c>
      <c r="Y344" s="27" t="s">
        <v>117</v>
      </c>
      <c r="Z344" s="27" t="s">
        <v>439</v>
      </c>
      <c r="AA344" s="27" t="s">
        <v>53</v>
      </c>
      <c r="AB344" s="27" t="s">
        <v>60</v>
      </c>
      <c r="AC344" s="27" t="s">
        <v>440</v>
      </c>
      <c r="AD344" s="27" t="s">
        <v>118</v>
      </c>
      <c r="AE344" s="27" t="s">
        <v>61</v>
      </c>
      <c r="AF344" s="27" t="s">
        <v>62</v>
      </c>
      <c r="AG344" s="27" t="s">
        <v>63</v>
      </c>
      <c r="AH344" s="27">
        <v>0</v>
      </c>
      <c r="AI344" s="27">
        <v>0</v>
      </c>
      <c r="AJ344" s="27">
        <v>0</v>
      </c>
      <c r="AK344" s="27">
        <v>0</v>
      </c>
      <c r="AL344" s="27" t="s">
        <v>64</v>
      </c>
      <c r="AM344" s="27">
        <v>3</v>
      </c>
      <c r="AN344" s="27">
        <v>126</v>
      </c>
      <c r="AO344" s="27" t="s">
        <v>65</v>
      </c>
      <c r="AP344" s="27">
        <v>37</v>
      </c>
      <c r="AQ344" s="27">
        <v>1</v>
      </c>
      <c r="AR344" s="27">
        <v>2506025</v>
      </c>
      <c r="AS344" s="27" t="s">
        <v>118</v>
      </c>
      <c r="AT344" s="27" t="s">
        <v>441</v>
      </c>
      <c r="AU344" s="31" t="s">
        <v>118</v>
      </c>
    </row>
    <row r="345" spans="1:47" x14ac:dyDescent="0.25">
      <c r="A345" s="7">
        <f>+CONCATENATE(DAY(V345),"/",MONTH(V345),"/",YEAR(V345),"")*1</f>
        <v>46168</v>
      </c>
      <c r="B345" s="23">
        <f>+Z345*1</f>
        <v>1165515219</v>
      </c>
      <c r="C345" s="21" t="str">
        <f>+AA345</f>
        <v>ENTRANTE</v>
      </c>
      <c r="D345" s="3" t="str">
        <f>VLOOKUP(Q345,Code!E:F,2,0)</f>
        <v>Admisiones</v>
      </c>
      <c r="E345" s="3" t="s">
        <v>55</v>
      </c>
      <c r="F345" s="3">
        <f>+AP345</f>
        <v>37</v>
      </c>
      <c r="G345" s="3">
        <f>+S345</f>
        <v>26</v>
      </c>
      <c r="H345" s="22">
        <f>+HOUR(V345)</f>
        <v>12</v>
      </c>
      <c r="I345" s="22">
        <f>IFERROR(VLOOKUP(B345,MATRICULAS!A:B,2,0),0)*1</f>
        <v>0</v>
      </c>
      <c r="J345" s="26">
        <v>20260526</v>
      </c>
      <c r="K345" s="26">
        <v>149354654</v>
      </c>
      <c r="L345" s="26" t="s">
        <v>134</v>
      </c>
      <c r="M345" s="26" t="s">
        <v>56</v>
      </c>
      <c r="N345" s="26">
        <v>0</v>
      </c>
      <c r="O345" s="26">
        <v>0</v>
      </c>
      <c r="P345" s="26" t="s">
        <v>57</v>
      </c>
      <c r="Q345" s="26">
        <v>150</v>
      </c>
      <c r="R345" s="26" t="s">
        <v>127</v>
      </c>
      <c r="S345" s="26">
        <v>26</v>
      </c>
      <c r="T345" s="26" t="s">
        <v>58</v>
      </c>
      <c r="U345" s="26" t="s">
        <v>59</v>
      </c>
      <c r="V345" s="28">
        <v>46168.508935185186</v>
      </c>
      <c r="W345" s="28">
        <v>46168.508935185186</v>
      </c>
      <c r="X345" s="28">
        <v>46168.51457175926</v>
      </c>
      <c r="Y345" s="26" t="s">
        <v>117</v>
      </c>
      <c r="Z345" s="26" t="s">
        <v>442</v>
      </c>
      <c r="AA345" s="26" t="s">
        <v>53</v>
      </c>
      <c r="AB345" s="26" t="s">
        <v>60</v>
      </c>
      <c r="AC345" s="26" t="s">
        <v>443</v>
      </c>
      <c r="AD345" s="26" t="s">
        <v>118</v>
      </c>
      <c r="AE345" s="26" t="s">
        <v>61</v>
      </c>
      <c r="AF345" s="26" t="s">
        <v>62</v>
      </c>
      <c r="AG345" s="26" t="s">
        <v>63</v>
      </c>
      <c r="AH345" s="26">
        <v>0</v>
      </c>
      <c r="AI345" s="26">
        <v>0</v>
      </c>
      <c r="AJ345" s="26">
        <v>0</v>
      </c>
      <c r="AK345" s="26">
        <v>0</v>
      </c>
      <c r="AL345" s="26" t="s">
        <v>64</v>
      </c>
      <c r="AM345" s="26">
        <v>3</v>
      </c>
      <c r="AN345" s="26">
        <v>487</v>
      </c>
      <c r="AO345" s="26" t="s">
        <v>65</v>
      </c>
      <c r="AP345" s="26">
        <v>37</v>
      </c>
      <c r="AQ345" s="26">
        <v>1</v>
      </c>
      <c r="AR345" s="26">
        <v>2505977</v>
      </c>
      <c r="AS345" s="26" t="s">
        <v>118</v>
      </c>
      <c r="AT345" s="26" t="s">
        <v>444</v>
      </c>
      <c r="AU345" s="29" t="s">
        <v>118</v>
      </c>
    </row>
    <row r="346" spans="1:47" x14ac:dyDescent="0.25">
      <c r="A346" s="7">
        <f>+CONCATENATE(DAY(V346),"/",MONTH(V346),"/",YEAR(V346),"")*1</f>
        <v>46168</v>
      </c>
      <c r="B346" s="23">
        <f>+Z346*1</f>
        <v>1152778588</v>
      </c>
      <c r="C346" s="21" t="str">
        <f>+AA346</f>
        <v>ENTRANTE</v>
      </c>
      <c r="D346" s="3" t="str">
        <f>VLOOKUP(Q346,Code!E:F,2,0)</f>
        <v>Admisiones</v>
      </c>
      <c r="E346" s="3" t="s">
        <v>55</v>
      </c>
      <c r="F346" s="3">
        <f>+AP346</f>
        <v>37</v>
      </c>
      <c r="G346" s="3">
        <f>+S346</f>
        <v>26</v>
      </c>
      <c r="H346" s="22">
        <f>+HOUR(V346)</f>
        <v>11</v>
      </c>
      <c r="I346" s="22">
        <f>IFERROR(VLOOKUP(B346,MATRICULAS!A:B,2,0),0)*1</f>
        <v>0</v>
      </c>
      <c r="J346" s="27">
        <v>20260526</v>
      </c>
      <c r="K346" s="27">
        <v>149354196</v>
      </c>
      <c r="L346" s="27" t="s">
        <v>134</v>
      </c>
      <c r="M346" s="27" t="s">
        <v>56</v>
      </c>
      <c r="N346" s="27">
        <v>0</v>
      </c>
      <c r="O346" s="27">
        <v>0</v>
      </c>
      <c r="P346" s="27" t="s">
        <v>57</v>
      </c>
      <c r="Q346" s="27">
        <v>150</v>
      </c>
      <c r="R346" s="27" t="s">
        <v>127</v>
      </c>
      <c r="S346" s="27">
        <v>26</v>
      </c>
      <c r="T346" s="27" t="s">
        <v>58</v>
      </c>
      <c r="U346" s="27" t="s">
        <v>59</v>
      </c>
      <c r="V346" s="30">
        <v>46168.497071759259</v>
      </c>
      <c r="W346" s="30">
        <v>46168.497071759259</v>
      </c>
      <c r="X346" s="30">
        <v>46168.501747685186</v>
      </c>
      <c r="Y346" s="27" t="s">
        <v>117</v>
      </c>
      <c r="Z346" s="27" t="s">
        <v>445</v>
      </c>
      <c r="AA346" s="27" t="s">
        <v>53</v>
      </c>
      <c r="AB346" s="27" t="s">
        <v>60</v>
      </c>
      <c r="AC346" s="27" t="s">
        <v>446</v>
      </c>
      <c r="AD346" s="27" t="s">
        <v>118</v>
      </c>
      <c r="AE346" s="27" t="s">
        <v>66</v>
      </c>
      <c r="AF346" s="27" t="s">
        <v>67</v>
      </c>
      <c r="AG346" s="27" t="s">
        <v>67</v>
      </c>
      <c r="AH346" s="27">
        <v>0</v>
      </c>
      <c r="AI346" s="27">
        <v>0</v>
      </c>
      <c r="AJ346" s="27">
        <v>0</v>
      </c>
      <c r="AK346" s="27">
        <v>0</v>
      </c>
      <c r="AL346" s="27" t="s">
        <v>64</v>
      </c>
      <c r="AM346" s="27">
        <v>3</v>
      </c>
      <c r="AN346" s="27">
        <v>404</v>
      </c>
      <c r="AO346" s="27" t="s">
        <v>65</v>
      </c>
      <c r="AP346" s="27">
        <v>37</v>
      </c>
      <c r="AQ346" s="27">
        <v>201</v>
      </c>
      <c r="AR346" s="27">
        <v>2505778</v>
      </c>
      <c r="AS346" s="27" t="s">
        <v>118</v>
      </c>
      <c r="AT346" s="27" t="s">
        <v>447</v>
      </c>
      <c r="AU346" s="31" t="s">
        <v>118</v>
      </c>
    </row>
    <row r="347" spans="1:47" x14ac:dyDescent="0.25">
      <c r="A347" s="7">
        <f>+CONCATENATE(DAY(V347),"/",MONTH(V347),"/",YEAR(V347),"")*1</f>
        <v>46168</v>
      </c>
      <c r="B347" s="23">
        <f>+Z347*1</f>
        <v>3863420024</v>
      </c>
      <c r="C347" s="21" t="str">
        <f>+AA347</f>
        <v>ENTRANTE</v>
      </c>
      <c r="D347" s="3" t="str">
        <f>VLOOKUP(Q347,Code!E:F,2,0)</f>
        <v>Admisiones</v>
      </c>
      <c r="E347" s="3" t="s">
        <v>55</v>
      </c>
      <c r="F347" s="3">
        <f>+AP347</f>
        <v>37</v>
      </c>
      <c r="G347" s="3">
        <f>+S347</f>
        <v>26</v>
      </c>
      <c r="H347" s="22">
        <f>+HOUR(V347)</f>
        <v>11</v>
      </c>
      <c r="I347" s="22">
        <f>IFERROR(VLOOKUP(B347,MATRICULAS!A:B,2,0),0)*1</f>
        <v>0</v>
      </c>
      <c r="J347" s="26">
        <v>20260526</v>
      </c>
      <c r="K347" s="26">
        <v>149353863</v>
      </c>
      <c r="L347" s="26" t="s">
        <v>134</v>
      </c>
      <c r="M347" s="26" t="s">
        <v>56</v>
      </c>
      <c r="N347" s="26">
        <v>0</v>
      </c>
      <c r="O347" s="26">
        <v>0</v>
      </c>
      <c r="P347" s="26" t="s">
        <v>57</v>
      </c>
      <c r="Q347" s="26">
        <v>150</v>
      </c>
      <c r="R347" s="26" t="s">
        <v>127</v>
      </c>
      <c r="S347" s="26">
        <v>26</v>
      </c>
      <c r="T347" s="26" t="s">
        <v>58</v>
      </c>
      <c r="U347" s="26" t="s">
        <v>59</v>
      </c>
      <c r="V347" s="28">
        <v>46168.48678240741</v>
      </c>
      <c r="W347" s="28">
        <v>46168.486793981479</v>
      </c>
      <c r="X347" s="28">
        <v>46168.494618055556</v>
      </c>
      <c r="Y347" s="26" t="s">
        <v>117</v>
      </c>
      <c r="Z347" s="26" t="s">
        <v>448</v>
      </c>
      <c r="AA347" s="26" t="s">
        <v>53</v>
      </c>
      <c r="AB347" s="26" t="s">
        <v>60</v>
      </c>
      <c r="AC347" s="26" t="s">
        <v>449</v>
      </c>
      <c r="AD347" s="26" t="s">
        <v>118</v>
      </c>
      <c r="AE347" s="26" t="s">
        <v>70</v>
      </c>
      <c r="AF347" s="26" t="s">
        <v>138</v>
      </c>
      <c r="AG347" s="26" t="s">
        <v>352</v>
      </c>
      <c r="AH347" s="26">
        <v>0</v>
      </c>
      <c r="AI347" s="26">
        <v>0</v>
      </c>
      <c r="AJ347" s="26">
        <v>0</v>
      </c>
      <c r="AK347" s="26">
        <v>0</v>
      </c>
      <c r="AL347" s="26" t="s">
        <v>64</v>
      </c>
      <c r="AM347" s="26">
        <v>3</v>
      </c>
      <c r="AN347" s="26">
        <v>677</v>
      </c>
      <c r="AO347" s="26" t="s">
        <v>65</v>
      </c>
      <c r="AP347" s="26">
        <v>37</v>
      </c>
      <c r="AQ347" s="26">
        <v>1</v>
      </c>
      <c r="AR347" s="26">
        <v>2505940</v>
      </c>
      <c r="AS347" s="26" t="s">
        <v>118</v>
      </c>
      <c r="AT347" s="26" t="s">
        <v>450</v>
      </c>
      <c r="AU347" s="29" t="s">
        <v>118</v>
      </c>
    </row>
    <row r="348" spans="1:47" x14ac:dyDescent="0.25">
      <c r="A348" s="7">
        <f>+CONCATENATE(DAY(V348),"/",MONTH(V348),"/",YEAR(V348),"")*1</f>
        <v>46168</v>
      </c>
      <c r="B348" s="23">
        <f>+Z348*1</f>
        <v>2216550242</v>
      </c>
      <c r="C348" s="21" t="str">
        <f>+AA348</f>
        <v>ENTRANTE</v>
      </c>
      <c r="D348" s="3" t="str">
        <f>VLOOKUP(Q348,Code!E:F,2,0)</f>
        <v>Admisiones</v>
      </c>
      <c r="E348" s="3" t="s">
        <v>55</v>
      </c>
      <c r="F348" s="3">
        <f>+AP348</f>
        <v>37</v>
      </c>
      <c r="G348" s="3">
        <f>+S348</f>
        <v>26</v>
      </c>
      <c r="H348" s="22">
        <f>+HOUR(V348)</f>
        <v>11</v>
      </c>
      <c r="I348" s="22">
        <f>IFERROR(VLOOKUP(B348,MATRICULAS!A:B,2,0),0)*1</f>
        <v>0</v>
      </c>
      <c r="J348" s="27">
        <v>20260526</v>
      </c>
      <c r="K348" s="27">
        <v>149353637</v>
      </c>
      <c r="L348" s="27" t="s">
        <v>134</v>
      </c>
      <c r="M348" s="27" t="s">
        <v>56</v>
      </c>
      <c r="N348" s="27">
        <v>0</v>
      </c>
      <c r="O348" s="27">
        <v>0</v>
      </c>
      <c r="P348" s="27" t="s">
        <v>57</v>
      </c>
      <c r="Q348" s="27">
        <v>150</v>
      </c>
      <c r="R348" s="27" t="s">
        <v>127</v>
      </c>
      <c r="S348" s="27">
        <v>26</v>
      </c>
      <c r="T348" s="27" t="s">
        <v>58</v>
      </c>
      <c r="U348" s="27" t="s">
        <v>59</v>
      </c>
      <c r="V348" s="30">
        <v>46168.481053240743</v>
      </c>
      <c r="W348" s="30">
        <v>46168.481053240743</v>
      </c>
      <c r="X348" s="30">
        <v>46168.483587962961</v>
      </c>
      <c r="Y348" s="27" t="s">
        <v>117</v>
      </c>
      <c r="Z348" s="27" t="s">
        <v>451</v>
      </c>
      <c r="AA348" s="27" t="s">
        <v>53</v>
      </c>
      <c r="AB348" s="27" t="s">
        <v>60</v>
      </c>
      <c r="AC348" s="27" t="s">
        <v>452</v>
      </c>
      <c r="AD348" s="27" t="s">
        <v>118</v>
      </c>
      <c r="AE348" s="27" t="s">
        <v>70</v>
      </c>
      <c r="AF348" s="27" t="s">
        <v>126</v>
      </c>
      <c r="AG348" s="27" t="s">
        <v>129</v>
      </c>
      <c r="AH348" s="27">
        <v>0</v>
      </c>
      <c r="AI348" s="27">
        <v>0</v>
      </c>
      <c r="AJ348" s="27">
        <v>0</v>
      </c>
      <c r="AK348" s="27">
        <v>0</v>
      </c>
      <c r="AL348" s="27" t="s">
        <v>64</v>
      </c>
      <c r="AM348" s="27">
        <v>3</v>
      </c>
      <c r="AN348" s="27">
        <v>219</v>
      </c>
      <c r="AO348" s="27" t="s">
        <v>65</v>
      </c>
      <c r="AP348" s="27">
        <v>37</v>
      </c>
      <c r="AQ348" s="27">
        <v>201</v>
      </c>
      <c r="AR348" s="27">
        <v>2504506</v>
      </c>
      <c r="AS348" s="27" t="s">
        <v>118</v>
      </c>
      <c r="AT348" s="27" t="s">
        <v>453</v>
      </c>
      <c r="AU348" s="31" t="s">
        <v>118</v>
      </c>
    </row>
    <row r="349" spans="1:47" x14ac:dyDescent="0.25">
      <c r="A349" s="7">
        <f>+CONCATENATE(DAY(V349),"/",MONTH(V349),"/",YEAR(V349),"")*1</f>
        <v>46168</v>
      </c>
      <c r="B349" s="23">
        <f>+Z349*1</f>
        <v>1140318888</v>
      </c>
      <c r="C349" s="21" t="str">
        <f>+AA349</f>
        <v>ENTRANTE</v>
      </c>
      <c r="D349" s="3" t="str">
        <f>VLOOKUP(Q349,Code!E:F,2,0)</f>
        <v>Admisiones</v>
      </c>
      <c r="E349" s="3" t="s">
        <v>55</v>
      </c>
      <c r="F349" s="3">
        <f>+AP349</f>
        <v>37</v>
      </c>
      <c r="G349" s="3">
        <f>+S349</f>
        <v>26</v>
      </c>
      <c r="H349" s="22">
        <f>+HOUR(V349)</f>
        <v>11</v>
      </c>
      <c r="I349" s="22">
        <f>IFERROR(VLOOKUP(B349,MATRICULAS!A:B,2,0),0)*1</f>
        <v>0</v>
      </c>
      <c r="J349" s="26">
        <v>20260526</v>
      </c>
      <c r="K349" s="26">
        <v>149353482</v>
      </c>
      <c r="L349" s="26" t="s">
        <v>134</v>
      </c>
      <c r="M349" s="26" t="s">
        <v>56</v>
      </c>
      <c r="N349" s="26">
        <v>0</v>
      </c>
      <c r="O349" s="26">
        <v>0</v>
      </c>
      <c r="P349" s="26" t="s">
        <v>57</v>
      </c>
      <c r="Q349" s="26">
        <v>150</v>
      </c>
      <c r="R349" s="26" t="s">
        <v>145</v>
      </c>
      <c r="S349" s="26">
        <v>26</v>
      </c>
      <c r="T349" s="26" t="s">
        <v>58</v>
      </c>
      <c r="U349" s="26" t="s">
        <v>59</v>
      </c>
      <c r="V349" s="28">
        <v>46168.476064814815</v>
      </c>
      <c r="W349" s="28">
        <v>46168.476064814815</v>
      </c>
      <c r="X349" s="28">
        <v>46168.48945601852</v>
      </c>
      <c r="Y349" s="26" t="s">
        <v>117</v>
      </c>
      <c r="Z349" s="26" t="s">
        <v>454</v>
      </c>
      <c r="AA349" s="26" t="s">
        <v>53</v>
      </c>
      <c r="AB349" s="26" t="s">
        <v>60</v>
      </c>
      <c r="AC349" s="26" t="s">
        <v>455</v>
      </c>
      <c r="AD349" s="26" t="s">
        <v>118</v>
      </c>
      <c r="AE349" s="26" t="s">
        <v>61</v>
      </c>
      <c r="AF349" s="26" t="s">
        <v>62</v>
      </c>
      <c r="AG349" s="26" t="s">
        <v>63</v>
      </c>
      <c r="AH349" s="26">
        <v>0</v>
      </c>
      <c r="AI349" s="26">
        <v>0</v>
      </c>
      <c r="AJ349" s="26">
        <v>0</v>
      </c>
      <c r="AK349" s="26">
        <v>0</v>
      </c>
      <c r="AL349" s="26" t="s">
        <v>64</v>
      </c>
      <c r="AM349" s="26">
        <v>3</v>
      </c>
      <c r="AN349" s="26">
        <v>1158</v>
      </c>
      <c r="AO349" s="26" t="s">
        <v>65</v>
      </c>
      <c r="AP349" s="26">
        <v>37</v>
      </c>
      <c r="AQ349" s="26">
        <v>1</v>
      </c>
      <c r="AR349" s="26">
        <v>2505938</v>
      </c>
      <c r="AS349" s="26" t="s">
        <v>118</v>
      </c>
      <c r="AT349" s="26" t="s">
        <v>456</v>
      </c>
      <c r="AU349" s="29" t="s">
        <v>118</v>
      </c>
    </row>
    <row r="350" spans="1:47" x14ac:dyDescent="0.25">
      <c r="A350" s="7">
        <f>+CONCATENATE(DAY(V350),"/",MONTH(V350),"/",YEAR(V350),"")*1</f>
        <v>46168</v>
      </c>
      <c r="B350" s="23">
        <f>+Z350*1</f>
        <v>2302511206</v>
      </c>
      <c r="C350" s="21" t="str">
        <f>+AA350</f>
        <v>ENTRANTE</v>
      </c>
      <c r="D350" s="3" t="str">
        <f>VLOOKUP(Q350,Code!E:F,2,0)</f>
        <v>Admisiones</v>
      </c>
      <c r="E350" s="3" t="s">
        <v>55</v>
      </c>
      <c r="F350" s="3">
        <f>+AP350</f>
        <v>37</v>
      </c>
      <c r="G350" s="3">
        <f>+S350</f>
        <v>26</v>
      </c>
      <c r="H350" s="22">
        <f>+HOUR(V350)</f>
        <v>11</v>
      </c>
      <c r="I350" s="22">
        <f>IFERROR(VLOOKUP(B350,MATRICULAS!A:B,2,0),0)*1</f>
        <v>0</v>
      </c>
      <c r="J350" s="27">
        <v>20260526</v>
      </c>
      <c r="K350" s="27">
        <v>149353409</v>
      </c>
      <c r="L350" s="27" t="s">
        <v>134</v>
      </c>
      <c r="M350" s="27" t="s">
        <v>56</v>
      </c>
      <c r="N350" s="27">
        <v>0</v>
      </c>
      <c r="O350" s="27">
        <v>0</v>
      </c>
      <c r="P350" s="27" t="s">
        <v>57</v>
      </c>
      <c r="Q350" s="27">
        <v>150</v>
      </c>
      <c r="R350" s="27" t="s">
        <v>127</v>
      </c>
      <c r="S350" s="27">
        <v>26</v>
      </c>
      <c r="T350" s="27" t="s">
        <v>58</v>
      </c>
      <c r="U350" s="27" t="s">
        <v>59</v>
      </c>
      <c r="V350" s="30">
        <v>46168.47347222222</v>
      </c>
      <c r="W350" s="30">
        <v>46168.47347222222</v>
      </c>
      <c r="X350" s="30">
        <v>46168.478078703702</v>
      </c>
      <c r="Y350" s="27" t="s">
        <v>117</v>
      </c>
      <c r="Z350" s="27" t="s">
        <v>457</v>
      </c>
      <c r="AA350" s="27" t="s">
        <v>53</v>
      </c>
      <c r="AB350" s="27" t="s">
        <v>60</v>
      </c>
      <c r="AC350" s="27" t="s">
        <v>458</v>
      </c>
      <c r="AD350" s="27" t="s">
        <v>118</v>
      </c>
      <c r="AE350" s="27" t="s">
        <v>61</v>
      </c>
      <c r="AF350" s="27" t="s">
        <v>62</v>
      </c>
      <c r="AG350" s="27" t="s">
        <v>63</v>
      </c>
      <c r="AH350" s="27">
        <v>0</v>
      </c>
      <c r="AI350" s="27">
        <v>0</v>
      </c>
      <c r="AJ350" s="27">
        <v>0</v>
      </c>
      <c r="AK350" s="27">
        <v>0</v>
      </c>
      <c r="AL350" s="27" t="s">
        <v>64</v>
      </c>
      <c r="AM350" s="27">
        <v>3</v>
      </c>
      <c r="AN350" s="27">
        <v>399</v>
      </c>
      <c r="AO350" s="27" t="s">
        <v>65</v>
      </c>
      <c r="AP350" s="27">
        <v>37</v>
      </c>
      <c r="AQ350" s="27">
        <v>1</v>
      </c>
      <c r="AR350" s="27">
        <v>2505915</v>
      </c>
      <c r="AS350" s="27" t="s">
        <v>118</v>
      </c>
      <c r="AT350" s="27" t="s">
        <v>459</v>
      </c>
      <c r="AU350" s="31" t="s">
        <v>118</v>
      </c>
    </row>
    <row r="351" spans="1:47" x14ac:dyDescent="0.25">
      <c r="A351" s="7">
        <f>+CONCATENATE(DAY(V351),"/",MONTH(V351),"/",YEAR(V351),"")*1</f>
        <v>46168</v>
      </c>
      <c r="B351" s="23">
        <f>+Z351*1</f>
        <v>1122893620</v>
      </c>
      <c r="C351" s="21" t="str">
        <f>+AA351</f>
        <v>ENTRANTE</v>
      </c>
      <c r="D351" s="3" t="str">
        <f>VLOOKUP(Q351,Code!E:F,2,0)</f>
        <v>Admisiones</v>
      </c>
      <c r="E351" s="3" t="s">
        <v>55</v>
      </c>
      <c r="F351" s="3">
        <f>+AP351</f>
        <v>37</v>
      </c>
      <c r="G351" s="3">
        <f>+S351</f>
        <v>26</v>
      </c>
      <c r="H351" s="22">
        <f>+HOUR(V351)</f>
        <v>11</v>
      </c>
      <c r="I351" s="22">
        <f>IFERROR(VLOOKUP(B351,MATRICULAS!A:B,2,0),0)*1</f>
        <v>1</v>
      </c>
      <c r="J351" s="26">
        <v>20260526</v>
      </c>
      <c r="K351" s="26">
        <v>149353278</v>
      </c>
      <c r="L351" s="26" t="s">
        <v>134</v>
      </c>
      <c r="M351" s="26" t="s">
        <v>56</v>
      </c>
      <c r="N351" s="26">
        <v>0</v>
      </c>
      <c r="O351" s="26">
        <v>0</v>
      </c>
      <c r="P351" s="26" t="s">
        <v>57</v>
      </c>
      <c r="Q351" s="26">
        <v>150</v>
      </c>
      <c r="R351" s="26" t="s">
        <v>127</v>
      </c>
      <c r="S351" s="26">
        <v>26</v>
      </c>
      <c r="T351" s="26" t="s">
        <v>58</v>
      </c>
      <c r="U351" s="26" t="s">
        <v>59</v>
      </c>
      <c r="V351" s="28">
        <v>46168.46769675926</v>
      </c>
      <c r="W351" s="28">
        <v>46168.46769675926</v>
      </c>
      <c r="X351" s="28">
        <v>46168.471516203703</v>
      </c>
      <c r="Y351" s="26" t="s">
        <v>117</v>
      </c>
      <c r="Z351" s="26" t="s">
        <v>460</v>
      </c>
      <c r="AA351" s="26" t="s">
        <v>53</v>
      </c>
      <c r="AB351" s="26" t="s">
        <v>60</v>
      </c>
      <c r="AC351" s="26" t="s">
        <v>461</v>
      </c>
      <c r="AD351" s="26" t="s">
        <v>118</v>
      </c>
      <c r="AE351" s="26" t="s">
        <v>66</v>
      </c>
      <c r="AF351" s="26" t="s">
        <v>67</v>
      </c>
      <c r="AG351" s="26" t="s">
        <v>67</v>
      </c>
      <c r="AH351" s="26">
        <v>0</v>
      </c>
      <c r="AI351" s="26">
        <v>0</v>
      </c>
      <c r="AJ351" s="26">
        <v>0</v>
      </c>
      <c r="AK351" s="26">
        <v>0</v>
      </c>
      <c r="AL351" s="26" t="s">
        <v>64</v>
      </c>
      <c r="AM351" s="26">
        <v>3</v>
      </c>
      <c r="AN351" s="26">
        <v>331</v>
      </c>
      <c r="AO351" s="26" t="s">
        <v>65</v>
      </c>
      <c r="AP351" s="26">
        <v>37</v>
      </c>
      <c r="AQ351" s="26">
        <v>202</v>
      </c>
      <c r="AR351" s="26">
        <v>2504311</v>
      </c>
      <c r="AS351" s="26" t="s">
        <v>118</v>
      </c>
      <c r="AT351" s="26" t="s">
        <v>462</v>
      </c>
      <c r="AU351" s="29" t="s">
        <v>118</v>
      </c>
    </row>
    <row r="352" spans="1:47" x14ac:dyDescent="0.25">
      <c r="A352" s="7">
        <f>+CONCATENATE(DAY(V352),"/",MONTH(V352),"/",YEAR(V352),"")*1</f>
        <v>46168</v>
      </c>
      <c r="B352" s="23">
        <f>+Z352*1</f>
        <v>3484560136</v>
      </c>
      <c r="C352" s="21" t="str">
        <f>+AA352</f>
        <v>ENTRANTE</v>
      </c>
      <c r="D352" s="3" t="str">
        <f>VLOOKUP(Q352,Code!E:F,2,0)</f>
        <v>Admisiones</v>
      </c>
      <c r="E352" s="3" t="s">
        <v>55</v>
      </c>
      <c r="F352" s="3">
        <f>+AP352</f>
        <v>37</v>
      </c>
      <c r="G352" s="3">
        <f>+S352</f>
        <v>26</v>
      </c>
      <c r="H352" s="22">
        <f>+HOUR(V352)</f>
        <v>10</v>
      </c>
      <c r="I352" s="22">
        <f>IFERROR(VLOOKUP(B352,MATRICULAS!A:B,2,0),0)*1</f>
        <v>0</v>
      </c>
      <c r="J352" s="27">
        <v>20260526</v>
      </c>
      <c r="K352" s="27">
        <v>149352718</v>
      </c>
      <c r="L352" s="27" t="s">
        <v>134</v>
      </c>
      <c r="M352" s="27" t="s">
        <v>56</v>
      </c>
      <c r="N352" s="27">
        <v>0</v>
      </c>
      <c r="O352" s="27">
        <v>0</v>
      </c>
      <c r="P352" s="27" t="s">
        <v>57</v>
      </c>
      <c r="Q352" s="27">
        <v>150</v>
      </c>
      <c r="R352" s="27" t="s">
        <v>127</v>
      </c>
      <c r="S352" s="27">
        <v>26</v>
      </c>
      <c r="T352" s="27" t="s">
        <v>58</v>
      </c>
      <c r="U352" s="27" t="s">
        <v>59</v>
      </c>
      <c r="V352" s="30">
        <v>46168.450624999998</v>
      </c>
      <c r="W352" s="30">
        <v>46168.450624999998</v>
      </c>
      <c r="X352" s="30">
        <v>46168.453576388885</v>
      </c>
      <c r="Y352" s="27" t="s">
        <v>117</v>
      </c>
      <c r="Z352" s="27" t="s">
        <v>463</v>
      </c>
      <c r="AA352" s="27" t="s">
        <v>53</v>
      </c>
      <c r="AB352" s="27" t="s">
        <v>60</v>
      </c>
      <c r="AC352" s="27" t="s">
        <v>464</v>
      </c>
      <c r="AD352" s="27" t="s">
        <v>118</v>
      </c>
      <c r="AE352" s="27" t="s">
        <v>61</v>
      </c>
      <c r="AF352" s="27" t="s">
        <v>62</v>
      </c>
      <c r="AG352" s="27" t="s">
        <v>63</v>
      </c>
      <c r="AH352" s="27">
        <v>0</v>
      </c>
      <c r="AI352" s="27">
        <v>0</v>
      </c>
      <c r="AJ352" s="27">
        <v>0</v>
      </c>
      <c r="AK352" s="27">
        <v>0</v>
      </c>
      <c r="AL352" s="27" t="s">
        <v>64</v>
      </c>
      <c r="AM352" s="27">
        <v>3</v>
      </c>
      <c r="AN352" s="27">
        <v>255</v>
      </c>
      <c r="AO352" s="27" t="s">
        <v>65</v>
      </c>
      <c r="AP352" s="27">
        <v>37</v>
      </c>
      <c r="AQ352" s="27">
        <v>1</v>
      </c>
      <c r="AR352" s="27">
        <v>1333377</v>
      </c>
      <c r="AS352" s="27" t="s">
        <v>465</v>
      </c>
      <c r="AT352" s="27" t="s">
        <v>466</v>
      </c>
      <c r="AU352" s="31" t="s">
        <v>118</v>
      </c>
    </row>
    <row r="353" spans="1:47" x14ac:dyDescent="0.25">
      <c r="A353" s="7">
        <f>+CONCATENATE(DAY(V353),"/",MONTH(V353),"/",YEAR(V353),"")*1</f>
        <v>46168</v>
      </c>
      <c r="B353" s="23">
        <f>+Z353*1</f>
        <v>1138296219</v>
      </c>
      <c r="C353" s="21" t="str">
        <f>+AA353</f>
        <v>ENTRANTE</v>
      </c>
      <c r="D353" s="3" t="str">
        <f>VLOOKUP(Q353,Code!E:F,2,0)</f>
        <v>Admisiones</v>
      </c>
      <c r="E353" s="3" t="s">
        <v>55</v>
      </c>
      <c r="F353" s="3">
        <f>+AP353</f>
        <v>37</v>
      </c>
      <c r="G353" s="3">
        <f>+S353</f>
        <v>26</v>
      </c>
      <c r="H353" s="22">
        <f>+HOUR(V353)</f>
        <v>10</v>
      </c>
      <c r="I353" s="22">
        <f>IFERROR(VLOOKUP(B353,MATRICULAS!A:B,2,0),0)*1</f>
        <v>0</v>
      </c>
      <c r="J353" s="26">
        <v>20260526</v>
      </c>
      <c r="K353" s="26">
        <v>149352608</v>
      </c>
      <c r="L353" s="26" t="s">
        <v>134</v>
      </c>
      <c r="M353" s="26" t="s">
        <v>56</v>
      </c>
      <c r="N353" s="26">
        <v>0</v>
      </c>
      <c r="O353" s="26">
        <v>0</v>
      </c>
      <c r="P353" s="26" t="s">
        <v>57</v>
      </c>
      <c r="Q353" s="26">
        <v>150</v>
      </c>
      <c r="R353" s="26" t="s">
        <v>127</v>
      </c>
      <c r="S353" s="26">
        <v>26</v>
      </c>
      <c r="T353" s="26" t="s">
        <v>58</v>
      </c>
      <c r="U353" s="26" t="s">
        <v>59</v>
      </c>
      <c r="V353" s="28">
        <v>46168.447754629633</v>
      </c>
      <c r="W353" s="28">
        <v>46168.447754629633</v>
      </c>
      <c r="X353" s="28">
        <v>46168.450115740743</v>
      </c>
      <c r="Y353" s="26" t="s">
        <v>117</v>
      </c>
      <c r="Z353" s="26" t="s">
        <v>467</v>
      </c>
      <c r="AA353" s="26" t="s">
        <v>53</v>
      </c>
      <c r="AB353" s="26" t="s">
        <v>60</v>
      </c>
      <c r="AC353" s="26" t="s">
        <v>468</v>
      </c>
      <c r="AD353" s="26" t="s">
        <v>118</v>
      </c>
      <c r="AE353" s="26" t="s">
        <v>61</v>
      </c>
      <c r="AF353" s="26" t="s">
        <v>62</v>
      </c>
      <c r="AG353" s="26" t="s">
        <v>63</v>
      </c>
      <c r="AH353" s="26">
        <v>0</v>
      </c>
      <c r="AI353" s="26">
        <v>0</v>
      </c>
      <c r="AJ353" s="26">
        <v>0</v>
      </c>
      <c r="AK353" s="26">
        <v>0</v>
      </c>
      <c r="AL353" s="26" t="s">
        <v>64</v>
      </c>
      <c r="AM353" s="26">
        <v>3</v>
      </c>
      <c r="AN353" s="26">
        <v>204</v>
      </c>
      <c r="AO353" s="26" t="s">
        <v>65</v>
      </c>
      <c r="AP353" s="26">
        <v>37</v>
      </c>
      <c r="AQ353" s="26">
        <v>1</v>
      </c>
      <c r="AR353" s="26">
        <v>64188</v>
      </c>
      <c r="AS353" s="26" t="s">
        <v>118</v>
      </c>
      <c r="AT353" s="26" t="s">
        <v>469</v>
      </c>
      <c r="AU353" s="29" t="s">
        <v>118</v>
      </c>
    </row>
    <row r="354" spans="1:47" x14ac:dyDescent="0.25">
      <c r="A354" s="7">
        <f>+CONCATENATE(DAY(V354),"/",MONTH(V354),"/",YEAR(V354),"")*1</f>
        <v>46168</v>
      </c>
      <c r="B354" s="23">
        <f>+Z354*1</f>
        <v>1161236655</v>
      </c>
      <c r="C354" s="21" t="str">
        <f>+AA354</f>
        <v>ENTRANTE</v>
      </c>
      <c r="D354" s="3" t="str">
        <f>VLOOKUP(Q354,Code!E:F,2,0)</f>
        <v>Admisiones</v>
      </c>
      <c r="E354" s="3" t="s">
        <v>55</v>
      </c>
      <c r="F354" s="3">
        <f>+AP354</f>
        <v>37</v>
      </c>
      <c r="G354" s="3">
        <f>+S354</f>
        <v>26</v>
      </c>
      <c r="H354" s="22">
        <f>+HOUR(V354)</f>
        <v>10</v>
      </c>
      <c r="I354" s="22">
        <f>IFERROR(VLOOKUP(B354,MATRICULAS!A:B,2,0),0)*1</f>
        <v>0</v>
      </c>
      <c r="J354" s="27">
        <v>20260526</v>
      </c>
      <c r="K354" s="27">
        <v>149352510</v>
      </c>
      <c r="L354" s="27" t="s">
        <v>134</v>
      </c>
      <c r="M354" s="27" t="s">
        <v>56</v>
      </c>
      <c r="N354" s="27">
        <v>0</v>
      </c>
      <c r="O354" s="27">
        <v>0</v>
      </c>
      <c r="P354" s="27" t="s">
        <v>57</v>
      </c>
      <c r="Q354" s="27">
        <v>150</v>
      </c>
      <c r="R354" s="27" t="s">
        <v>127</v>
      </c>
      <c r="S354" s="27">
        <v>26</v>
      </c>
      <c r="T354" s="27" t="s">
        <v>58</v>
      </c>
      <c r="U354" s="27" t="s">
        <v>59</v>
      </c>
      <c r="V354" s="30">
        <v>46168.445555555554</v>
      </c>
      <c r="W354" s="30">
        <v>46168.445555555554</v>
      </c>
      <c r="X354" s="30">
        <v>46168.446180555555</v>
      </c>
      <c r="Y354" s="27" t="s">
        <v>117</v>
      </c>
      <c r="Z354" s="27" t="s">
        <v>470</v>
      </c>
      <c r="AA354" s="27" t="s">
        <v>53</v>
      </c>
      <c r="AB354" s="27" t="s">
        <v>60</v>
      </c>
      <c r="AC354" s="27" t="s">
        <v>471</v>
      </c>
      <c r="AD354" s="27" t="s">
        <v>118</v>
      </c>
      <c r="AE354" s="27" t="s">
        <v>61</v>
      </c>
      <c r="AF354" s="27" t="s">
        <v>62</v>
      </c>
      <c r="AG354" s="27" t="s">
        <v>63</v>
      </c>
      <c r="AH354" s="27">
        <v>0</v>
      </c>
      <c r="AI354" s="27">
        <v>0</v>
      </c>
      <c r="AJ354" s="27">
        <v>0</v>
      </c>
      <c r="AK354" s="27">
        <v>0</v>
      </c>
      <c r="AL354" s="27" t="s">
        <v>64</v>
      </c>
      <c r="AM354" s="27">
        <v>3</v>
      </c>
      <c r="AN354" s="27">
        <v>54</v>
      </c>
      <c r="AO354" s="27" t="s">
        <v>65</v>
      </c>
      <c r="AP354" s="27">
        <v>37</v>
      </c>
      <c r="AQ354" s="27">
        <v>0</v>
      </c>
      <c r="AR354" s="27">
        <v>0</v>
      </c>
      <c r="AS354" s="27" t="s">
        <v>118</v>
      </c>
      <c r="AT354" s="27" t="s">
        <v>472</v>
      </c>
      <c r="AU354" s="31" t="s">
        <v>118</v>
      </c>
    </row>
    <row r="355" spans="1:47" x14ac:dyDescent="0.25">
      <c r="A355" s="7">
        <f>+CONCATENATE(DAY(V355),"/",MONTH(V355),"/",YEAR(V355),"")*1</f>
        <v>46168</v>
      </c>
      <c r="B355" s="23">
        <f>+Z355*1</f>
        <v>1168589103</v>
      </c>
      <c r="C355" s="21" t="str">
        <f>+AA355</f>
        <v>ENTRANTE</v>
      </c>
      <c r="D355" s="3" t="str">
        <f>VLOOKUP(Q355,Code!E:F,2,0)</f>
        <v>Admisiones</v>
      </c>
      <c r="E355" s="3" t="s">
        <v>55</v>
      </c>
      <c r="F355" s="3">
        <f>+AP355</f>
        <v>37</v>
      </c>
      <c r="G355" s="3">
        <f>+S355</f>
        <v>5</v>
      </c>
      <c r="H355" s="22">
        <f>+HOUR(V355)</f>
        <v>10</v>
      </c>
      <c r="I355" s="22">
        <f>IFERROR(VLOOKUP(B355,MATRICULAS!A:B,2,0),0)*1</f>
        <v>0</v>
      </c>
      <c r="J355" s="26">
        <v>20260526</v>
      </c>
      <c r="K355" s="26">
        <v>149351721</v>
      </c>
      <c r="L355" s="26" t="s">
        <v>134</v>
      </c>
      <c r="M355" s="26" t="s">
        <v>56</v>
      </c>
      <c r="N355" s="26">
        <v>0</v>
      </c>
      <c r="O355" s="26">
        <v>0</v>
      </c>
      <c r="P355" s="26" t="s">
        <v>57</v>
      </c>
      <c r="Q355" s="26">
        <v>150</v>
      </c>
      <c r="R355" s="26" t="s">
        <v>127</v>
      </c>
      <c r="S355" s="26">
        <v>5</v>
      </c>
      <c r="T355" s="26" t="s">
        <v>58</v>
      </c>
      <c r="U355" s="26" t="s">
        <v>59</v>
      </c>
      <c r="V355" s="28">
        <v>46168.42695601852</v>
      </c>
      <c r="W355" s="28">
        <v>46168.42695601852</v>
      </c>
      <c r="X355" s="28">
        <v>46168.428472222222</v>
      </c>
      <c r="Y355" s="26" t="s">
        <v>117</v>
      </c>
      <c r="Z355" s="26" t="s">
        <v>473</v>
      </c>
      <c r="AA355" s="26" t="s">
        <v>53</v>
      </c>
      <c r="AB355" s="26" t="s">
        <v>60</v>
      </c>
      <c r="AC355" s="26" t="s">
        <v>474</v>
      </c>
      <c r="AD355" s="26" t="s">
        <v>118</v>
      </c>
      <c r="AE355" s="26" t="s">
        <v>61</v>
      </c>
      <c r="AF355" s="26" t="s">
        <v>62</v>
      </c>
      <c r="AG355" s="26" t="s">
        <v>63</v>
      </c>
      <c r="AH355" s="26">
        <v>0</v>
      </c>
      <c r="AI355" s="26">
        <v>0</v>
      </c>
      <c r="AJ355" s="26">
        <v>0</v>
      </c>
      <c r="AK355" s="26">
        <v>0</v>
      </c>
      <c r="AL355" s="26" t="s">
        <v>64</v>
      </c>
      <c r="AM355" s="26">
        <v>3</v>
      </c>
      <c r="AN355" s="26">
        <v>132</v>
      </c>
      <c r="AO355" s="26" t="s">
        <v>65</v>
      </c>
      <c r="AP355" s="26">
        <v>37</v>
      </c>
      <c r="AQ355" s="26">
        <v>139</v>
      </c>
      <c r="AR355" s="26">
        <v>1243964</v>
      </c>
      <c r="AS355" s="26" t="s">
        <v>118</v>
      </c>
      <c r="AT355" s="26" t="s">
        <v>475</v>
      </c>
      <c r="AU355" s="29" t="s">
        <v>118</v>
      </c>
    </row>
    <row r="356" spans="1:47" x14ac:dyDescent="0.25">
      <c r="A356" s="7">
        <f>+CONCATENATE(DAY(V356),"/",MONTH(V356),"/",YEAR(V356),"")*1</f>
        <v>46168</v>
      </c>
      <c r="B356" s="23">
        <f>+Z356*1</f>
        <v>1122521178</v>
      </c>
      <c r="C356" s="21" t="str">
        <f>+AA356</f>
        <v>ENTRANTE</v>
      </c>
      <c r="D356" s="3" t="str">
        <f>VLOOKUP(Q356,Code!E:F,2,0)</f>
        <v>Admisiones</v>
      </c>
      <c r="E356" s="3" t="s">
        <v>55</v>
      </c>
      <c r="F356" s="3">
        <f>+AP356</f>
        <v>37</v>
      </c>
      <c r="G356" s="3">
        <f>+S356</f>
        <v>26</v>
      </c>
      <c r="H356" s="22">
        <f>+HOUR(V356)</f>
        <v>9</v>
      </c>
      <c r="I356" s="22">
        <f>IFERROR(VLOOKUP(B356,MATRICULAS!A:B,2,0),0)*1</f>
        <v>0</v>
      </c>
      <c r="J356" s="27">
        <v>20260526</v>
      </c>
      <c r="K356" s="27">
        <v>149350907</v>
      </c>
      <c r="L356" s="27" t="s">
        <v>134</v>
      </c>
      <c r="M356" s="27" t="s">
        <v>56</v>
      </c>
      <c r="N356" s="27">
        <v>0</v>
      </c>
      <c r="O356" s="27">
        <v>0</v>
      </c>
      <c r="P356" s="27" t="s">
        <v>57</v>
      </c>
      <c r="Q356" s="27">
        <v>150</v>
      </c>
      <c r="R356" s="27" t="s">
        <v>145</v>
      </c>
      <c r="S356" s="27">
        <v>26</v>
      </c>
      <c r="T356" s="27" t="s">
        <v>58</v>
      </c>
      <c r="U356" s="27" t="s">
        <v>59</v>
      </c>
      <c r="V356" s="30">
        <v>46168.406377314815</v>
      </c>
      <c r="W356" s="30">
        <v>46168.406377314815</v>
      </c>
      <c r="X356" s="30">
        <v>46168.408090277779</v>
      </c>
      <c r="Y356" s="27" t="s">
        <v>117</v>
      </c>
      <c r="Z356" s="27" t="s">
        <v>476</v>
      </c>
      <c r="AA356" s="27" t="s">
        <v>53</v>
      </c>
      <c r="AB356" s="27" t="s">
        <v>60</v>
      </c>
      <c r="AC356" s="27" t="s">
        <v>477</v>
      </c>
      <c r="AD356" s="27" t="s">
        <v>118</v>
      </c>
      <c r="AE356" s="27" t="s">
        <v>66</v>
      </c>
      <c r="AF356" s="27" t="s">
        <v>67</v>
      </c>
      <c r="AG356" s="27" t="s">
        <v>67</v>
      </c>
      <c r="AH356" s="27">
        <v>0</v>
      </c>
      <c r="AI356" s="27">
        <v>0</v>
      </c>
      <c r="AJ356" s="27">
        <v>0</v>
      </c>
      <c r="AK356" s="27">
        <v>0</v>
      </c>
      <c r="AL356" s="27" t="s">
        <v>64</v>
      </c>
      <c r="AM356" s="27">
        <v>3</v>
      </c>
      <c r="AN356" s="27">
        <v>148</v>
      </c>
      <c r="AO356" s="27" t="s">
        <v>65</v>
      </c>
      <c r="AP356" s="27">
        <v>37</v>
      </c>
      <c r="AQ356" s="27">
        <v>175</v>
      </c>
      <c r="AR356" s="27">
        <v>2229616</v>
      </c>
      <c r="AS356" s="27" t="s">
        <v>118</v>
      </c>
      <c r="AT356" s="27" t="s">
        <v>478</v>
      </c>
      <c r="AU356" s="31" t="s">
        <v>118</v>
      </c>
    </row>
    <row r="357" spans="1:47" x14ac:dyDescent="0.25">
      <c r="A357" s="7">
        <f>+CONCATENATE(DAY(V357),"/",MONTH(V357),"/",YEAR(V357),"")*1</f>
        <v>46168</v>
      </c>
      <c r="B357" s="23">
        <f>+Z357*1</f>
        <v>1134893678</v>
      </c>
      <c r="C357" s="21" t="str">
        <f>+AA357</f>
        <v>ENTRANTE</v>
      </c>
      <c r="D357" s="3" t="str">
        <f>VLOOKUP(Q357,Code!E:F,2,0)</f>
        <v>Admisiones</v>
      </c>
      <c r="E357" s="3" t="s">
        <v>55</v>
      </c>
      <c r="F357" s="3">
        <f>+AP357</f>
        <v>37</v>
      </c>
      <c r="G357" s="3">
        <f>+S357</f>
        <v>26</v>
      </c>
      <c r="H357" s="22">
        <f>+HOUR(V357)</f>
        <v>9</v>
      </c>
      <c r="I357" s="22">
        <f>IFERROR(VLOOKUP(B357,MATRICULAS!A:B,2,0),0)*1</f>
        <v>0</v>
      </c>
      <c r="J357" s="27">
        <v>20260526</v>
      </c>
      <c r="K357" s="27">
        <v>149349811</v>
      </c>
      <c r="L357" s="27" t="s">
        <v>134</v>
      </c>
      <c r="M357" s="27" t="s">
        <v>56</v>
      </c>
      <c r="N357" s="27">
        <v>0</v>
      </c>
      <c r="O357" s="27">
        <v>0</v>
      </c>
      <c r="P357" s="27" t="s">
        <v>57</v>
      </c>
      <c r="Q357" s="27">
        <v>150</v>
      </c>
      <c r="R357" s="27" t="s">
        <v>159</v>
      </c>
      <c r="S357" s="27">
        <v>26</v>
      </c>
      <c r="T357" s="27" t="s">
        <v>58</v>
      </c>
      <c r="U357" s="27" t="s">
        <v>59</v>
      </c>
      <c r="V357" s="30">
        <v>46168.377002314817</v>
      </c>
      <c r="W357" s="30">
        <v>46168.377002314817</v>
      </c>
      <c r="X357" s="30">
        <v>46168.402858796297</v>
      </c>
      <c r="Y357" s="27" t="s">
        <v>117</v>
      </c>
      <c r="Z357" s="27" t="s">
        <v>383</v>
      </c>
      <c r="AA357" s="27" t="s">
        <v>53</v>
      </c>
      <c r="AB357" s="27" t="s">
        <v>60</v>
      </c>
      <c r="AC357" s="27" t="s">
        <v>480</v>
      </c>
      <c r="AD357" s="27" t="s">
        <v>118</v>
      </c>
      <c r="AE357" s="27" t="s">
        <v>66</v>
      </c>
      <c r="AF357" s="27" t="s">
        <v>67</v>
      </c>
      <c r="AG357" s="27" t="s">
        <v>67</v>
      </c>
      <c r="AH357" s="27">
        <v>0</v>
      </c>
      <c r="AI357" s="27">
        <v>0</v>
      </c>
      <c r="AJ357" s="27">
        <v>0</v>
      </c>
      <c r="AK357" s="27">
        <v>0</v>
      </c>
      <c r="AL357" s="27" t="s">
        <v>64</v>
      </c>
      <c r="AM357" s="27">
        <v>3</v>
      </c>
      <c r="AN357" s="27">
        <v>2234</v>
      </c>
      <c r="AO357" s="27" t="s">
        <v>65</v>
      </c>
      <c r="AP357" s="27">
        <v>37</v>
      </c>
      <c r="AQ357" s="27">
        <v>73</v>
      </c>
      <c r="AR357" s="27">
        <v>2505752</v>
      </c>
      <c r="AS357" s="27" t="s">
        <v>118</v>
      </c>
      <c r="AT357" s="27" t="s">
        <v>481</v>
      </c>
      <c r="AU357" s="31" t="s">
        <v>118</v>
      </c>
    </row>
    <row r="358" spans="1:47" x14ac:dyDescent="0.25">
      <c r="A358" s="7">
        <f>+CONCATENATE(DAY(V358),"/",MONTH(V358),"/",YEAR(V358),"")*1</f>
        <v>46169</v>
      </c>
      <c r="B358" s="23">
        <f>+Z358*1</f>
        <v>1161161973</v>
      </c>
      <c r="C358" s="21" t="str">
        <f>+AA358</f>
        <v>ENTRANTE</v>
      </c>
      <c r="D358" s="3" t="str">
        <f>VLOOKUP(Q358,Code!E:F,2,0)</f>
        <v>Admisiones</v>
      </c>
      <c r="E358" s="3" t="s">
        <v>55</v>
      </c>
      <c r="F358" s="3">
        <f>+AP358</f>
        <v>37</v>
      </c>
      <c r="G358" s="3">
        <f>+S358</f>
        <v>27</v>
      </c>
      <c r="H358" s="22">
        <f>+HOUR(V358)</f>
        <v>20</v>
      </c>
      <c r="I358" s="22">
        <f>IFERROR(VLOOKUP(B358,MATRICULAS!A:B,2,0),0)*1</f>
        <v>0</v>
      </c>
      <c r="J358" s="27">
        <v>20260527</v>
      </c>
      <c r="K358" s="27">
        <v>149377883</v>
      </c>
      <c r="L358" s="27" t="s">
        <v>134</v>
      </c>
      <c r="M358" s="27" t="s">
        <v>56</v>
      </c>
      <c r="N358" s="27">
        <v>0</v>
      </c>
      <c r="O358" s="27">
        <v>0</v>
      </c>
      <c r="P358" s="27" t="s">
        <v>57</v>
      </c>
      <c r="Q358" s="27">
        <v>150</v>
      </c>
      <c r="R358" s="27" t="s">
        <v>174</v>
      </c>
      <c r="S358" s="27">
        <v>27</v>
      </c>
      <c r="T358" s="27" t="s">
        <v>58</v>
      </c>
      <c r="U358" s="27" t="s">
        <v>59</v>
      </c>
      <c r="V358" s="30">
        <v>46169.841087962966</v>
      </c>
      <c r="W358" s="30">
        <v>46169.841087962966</v>
      </c>
      <c r="X358" s="30">
        <v>46169.842453703706</v>
      </c>
      <c r="Y358" s="27" t="s">
        <v>117</v>
      </c>
      <c r="Z358" s="27" t="s">
        <v>337</v>
      </c>
      <c r="AA358" s="27" t="s">
        <v>53</v>
      </c>
      <c r="AB358" s="27" t="s">
        <v>60</v>
      </c>
      <c r="AC358" s="27" t="s">
        <v>338</v>
      </c>
      <c r="AD358" s="27" t="s">
        <v>118</v>
      </c>
      <c r="AE358" s="27" t="s">
        <v>61</v>
      </c>
      <c r="AF358" s="27" t="s">
        <v>62</v>
      </c>
      <c r="AG358" s="27" t="s">
        <v>63</v>
      </c>
      <c r="AH358" s="27">
        <v>0</v>
      </c>
      <c r="AI358" s="27">
        <v>0</v>
      </c>
      <c r="AJ358" s="27">
        <v>0</v>
      </c>
      <c r="AK358" s="27">
        <v>0</v>
      </c>
      <c r="AL358" s="27" t="s">
        <v>64</v>
      </c>
      <c r="AM358" s="27">
        <v>3</v>
      </c>
      <c r="AN358" s="27">
        <v>118</v>
      </c>
      <c r="AO358" s="27" t="s">
        <v>65</v>
      </c>
      <c r="AP358" s="27">
        <v>37</v>
      </c>
      <c r="AQ358" s="27">
        <v>201</v>
      </c>
      <c r="AR358" s="27">
        <v>2507398</v>
      </c>
      <c r="AS358" s="27" t="s">
        <v>118</v>
      </c>
      <c r="AT358" s="27" t="s">
        <v>339</v>
      </c>
      <c r="AU358" s="31" t="s">
        <v>118</v>
      </c>
    </row>
    <row r="359" spans="1:47" x14ac:dyDescent="0.25">
      <c r="A359" s="7">
        <f>+CONCATENATE(DAY(V359),"/",MONTH(V359),"/",YEAR(V359),"")*1</f>
        <v>46169</v>
      </c>
      <c r="B359" s="23">
        <f>+Z359*1</f>
        <v>1125245582</v>
      </c>
      <c r="C359" s="21" t="str">
        <f>+AA359</f>
        <v>ENTRANTE</v>
      </c>
      <c r="D359" s="3" t="str">
        <f>VLOOKUP(Q359,Code!E:F,2,0)</f>
        <v>Admisiones</v>
      </c>
      <c r="E359" s="3" t="s">
        <v>55</v>
      </c>
      <c r="F359" s="3">
        <f>+AP359</f>
        <v>37</v>
      </c>
      <c r="G359" s="3">
        <f>+S359</f>
        <v>27</v>
      </c>
      <c r="H359" s="22">
        <f>+HOUR(V359)</f>
        <v>18</v>
      </c>
      <c r="I359" s="22">
        <f>IFERROR(VLOOKUP(B359,MATRICULAS!A:B,2,0),0)*1</f>
        <v>1</v>
      </c>
      <c r="J359" s="26">
        <v>20260527</v>
      </c>
      <c r="K359" s="26">
        <v>149376607</v>
      </c>
      <c r="L359" s="26" t="s">
        <v>134</v>
      </c>
      <c r="M359" s="26" t="s">
        <v>56</v>
      </c>
      <c r="N359" s="26">
        <v>0</v>
      </c>
      <c r="O359" s="26">
        <v>0</v>
      </c>
      <c r="P359" s="26" t="s">
        <v>57</v>
      </c>
      <c r="Q359" s="26">
        <v>150</v>
      </c>
      <c r="R359" s="26" t="s">
        <v>174</v>
      </c>
      <c r="S359" s="26">
        <v>27</v>
      </c>
      <c r="T359" s="26" t="s">
        <v>58</v>
      </c>
      <c r="U359" s="26" t="s">
        <v>59</v>
      </c>
      <c r="V359" s="28">
        <v>46169.785543981481</v>
      </c>
      <c r="W359" s="28">
        <v>46169.785543981481</v>
      </c>
      <c r="X359" s="28">
        <v>46169.787627314814</v>
      </c>
      <c r="Y359" s="26" t="s">
        <v>117</v>
      </c>
      <c r="Z359" s="26" t="s">
        <v>340</v>
      </c>
      <c r="AA359" s="26" t="s">
        <v>53</v>
      </c>
      <c r="AB359" s="26" t="s">
        <v>60</v>
      </c>
      <c r="AC359" s="26" t="s">
        <v>341</v>
      </c>
      <c r="AD359" s="26" t="s">
        <v>118</v>
      </c>
      <c r="AE359" s="26" t="s">
        <v>66</v>
      </c>
      <c r="AF359" s="26" t="s">
        <v>67</v>
      </c>
      <c r="AG359" s="26" t="s">
        <v>67</v>
      </c>
      <c r="AH359" s="26">
        <v>0</v>
      </c>
      <c r="AI359" s="26">
        <v>0</v>
      </c>
      <c r="AJ359" s="26">
        <v>0</v>
      </c>
      <c r="AK359" s="26">
        <v>0</v>
      </c>
      <c r="AL359" s="26" t="s">
        <v>64</v>
      </c>
      <c r="AM359" s="26">
        <v>3</v>
      </c>
      <c r="AN359" s="26">
        <v>181</v>
      </c>
      <c r="AO359" s="26" t="s">
        <v>65</v>
      </c>
      <c r="AP359" s="26">
        <v>37</v>
      </c>
      <c r="AQ359" s="26">
        <v>1</v>
      </c>
      <c r="AR359" s="26">
        <v>2507139</v>
      </c>
      <c r="AS359" s="26" t="s">
        <v>342</v>
      </c>
      <c r="AT359" s="26" t="s">
        <v>343</v>
      </c>
      <c r="AU359" s="29" t="s">
        <v>118</v>
      </c>
    </row>
    <row r="360" spans="1:47" x14ac:dyDescent="0.25">
      <c r="A360" s="7">
        <f>+CONCATENATE(DAY(V360),"/",MONTH(V360),"/",YEAR(V360),"")*1</f>
        <v>46169</v>
      </c>
      <c r="B360" s="23">
        <f>+Z360*1</f>
        <v>1138014350</v>
      </c>
      <c r="C360" s="21" t="str">
        <f>+AA360</f>
        <v>ENTRANTE</v>
      </c>
      <c r="D360" s="3" t="str">
        <f>VLOOKUP(Q360,Code!E:F,2,0)</f>
        <v>Admisiones</v>
      </c>
      <c r="E360" s="3" t="s">
        <v>55</v>
      </c>
      <c r="F360" s="3">
        <f>+AP360</f>
        <v>37</v>
      </c>
      <c r="G360" s="3">
        <f>+S360</f>
        <v>27</v>
      </c>
      <c r="H360" s="22">
        <f>+HOUR(V360)</f>
        <v>17</v>
      </c>
      <c r="I360" s="22">
        <f>IFERROR(VLOOKUP(B360,MATRICULAS!A:B,2,0),0)*1</f>
        <v>0</v>
      </c>
      <c r="J360" s="27">
        <v>20260527</v>
      </c>
      <c r="K360" s="27">
        <v>149375586</v>
      </c>
      <c r="L360" s="27" t="s">
        <v>134</v>
      </c>
      <c r="M360" s="27" t="s">
        <v>56</v>
      </c>
      <c r="N360" s="27">
        <v>0</v>
      </c>
      <c r="O360" s="27">
        <v>0</v>
      </c>
      <c r="P360" s="27" t="s">
        <v>57</v>
      </c>
      <c r="Q360" s="27">
        <v>150</v>
      </c>
      <c r="R360" s="27" t="s">
        <v>163</v>
      </c>
      <c r="S360" s="27">
        <v>27</v>
      </c>
      <c r="T360" s="27" t="s">
        <v>58</v>
      </c>
      <c r="U360" s="27" t="s">
        <v>59</v>
      </c>
      <c r="V360" s="30">
        <v>46169.744537037041</v>
      </c>
      <c r="W360" s="30">
        <v>46169.744537037041</v>
      </c>
      <c r="X360" s="30">
        <v>46169.745509259257</v>
      </c>
      <c r="Y360" s="27" t="s">
        <v>117</v>
      </c>
      <c r="Z360" s="27" t="s">
        <v>344</v>
      </c>
      <c r="AA360" s="27" t="s">
        <v>53</v>
      </c>
      <c r="AB360" s="27" t="s">
        <v>60</v>
      </c>
      <c r="AC360" s="27" t="s">
        <v>345</v>
      </c>
      <c r="AD360" s="27" t="s">
        <v>118</v>
      </c>
      <c r="AE360" s="27" t="s">
        <v>61</v>
      </c>
      <c r="AF360" s="27" t="s">
        <v>62</v>
      </c>
      <c r="AG360" s="27" t="s">
        <v>63</v>
      </c>
      <c r="AH360" s="27">
        <v>0</v>
      </c>
      <c r="AI360" s="27">
        <v>0</v>
      </c>
      <c r="AJ360" s="27">
        <v>0</v>
      </c>
      <c r="AK360" s="27">
        <v>0</v>
      </c>
      <c r="AL360" s="27" t="s">
        <v>64</v>
      </c>
      <c r="AM360" s="27">
        <v>3</v>
      </c>
      <c r="AN360" s="27">
        <v>85</v>
      </c>
      <c r="AO360" s="27" t="s">
        <v>65</v>
      </c>
      <c r="AP360" s="27">
        <v>37</v>
      </c>
      <c r="AQ360" s="27">
        <v>0</v>
      </c>
      <c r="AR360" s="27">
        <v>0</v>
      </c>
      <c r="AS360" s="27" t="s">
        <v>118</v>
      </c>
      <c r="AT360" s="27" t="s">
        <v>346</v>
      </c>
      <c r="AU360" s="31" t="s">
        <v>118</v>
      </c>
    </row>
    <row r="361" spans="1:47" x14ac:dyDescent="0.25">
      <c r="A361" s="7">
        <f>+CONCATENATE(DAY(V361),"/",MONTH(V361),"/",YEAR(V361),"")*1</f>
        <v>46169</v>
      </c>
      <c r="B361" s="23">
        <f>+Z361*1</f>
        <v>1130304009</v>
      </c>
      <c r="C361" s="21" t="str">
        <f>+AA361</f>
        <v>ENTRANTE</v>
      </c>
      <c r="D361" s="3" t="str">
        <f>VLOOKUP(Q361,Code!E:F,2,0)</f>
        <v>Admisiones</v>
      </c>
      <c r="E361" s="3" t="s">
        <v>55</v>
      </c>
      <c r="F361" s="3">
        <f>+AP361</f>
        <v>37</v>
      </c>
      <c r="G361" s="3">
        <f>+S361</f>
        <v>27</v>
      </c>
      <c r="H361" s="22">
        <f>+HOUR(V361)</f>
        <v>16</v>
      </c>
      <c r="I361" s="22">
        <f>IFERROR(VLOOKUP(B361,MATRICULAS!A:B,2,0),0)*1</f>
        <v>0</v>
      </c>
      <c r="J361" s="26">
        <v>20260527</v>
      </c>
      <c r="K361" s="26">
        <v>149374377</v>
      </c>
      <c r="L361" s="26" t="s">
        <v>134</v>
      </c>
      <c r="M361" s="26" t="s">
        <v>56</v>
      </c>
      <c r="N361" s="26">
        <v>0</v>
      </c>
      <c r="O361" s="26">
        <v>0</v>
      </c>
      <c r="P361" s="26" t="s">
        <v>57</v>
      </c>
      <c r="Q361" s="26">
        <v>150</v>
      </c>
      <c r="R361" s="26" t="s">
        <v>206</v>
      </c>
      <c r="S361" s="26">
        <v>27</v>
      </c>
      <c r="T361" s="26" t="s">
        <v>58</v>
      </c>
      <c r="U361" s="26" t="s">
        <v>59</v>
      </c>
      <c r="V361" s="28">
        <v>46169.695694444446</v>
      </c>
      <c r="W361" s="28">
        <v>46169.695694444446</v>
      </c>
      <c r="X361" s="28">
        <v>46169.698773148149</v>
      </c>
      <c r="Y361" s="26" t="s">
        <v>117</v>
      </c>
      <c r="Z361" s="26" t="s">
        <v>347</v>
      </c>
      <c r="AA361" s="26" t="s">
        <v>53</v>
      </c>
      <c r="AB361" s="26" t="s">
        <v>60</v>
      </c>
      <c r="AC361" s="26" t="s">
        <v>348</v>
      </c>
      <c r="AD361" s="26" t="s">
        <v>118</v>
      </c>
      <c r="AE361" s="26" t="s">
        <v>61</v>
      </c>
      <c r="AF361" s="26" t="s">
        <v>62</v>
      </c>
      <c r="AG361" s="26" t="s">
        <v>63</v>
      </c>
      <c r="AH361" s="26">
        <v>0</v>
      </c>
      <c r="AI361" s="26">
        <v>0</v>
      </c>
      <c r="AJ361" s="26">
        <v>0</v>
      </c>
      <c r="AK361" s="26">
        <v>0</v>
      </c>
      <c r="AL361" s="26" t="s">
        <v>64</v>
      </c>
      <c r="AM361" s="26">
        <v>3</v>
      </c>
      <c r="AN361" s="26">
        <v>266</v>
      </c>
      <c r="AO361" s="26" t="s">
        <v>65</v>
      </c>
      <c r="AP361" s="26">
        <v>37</v>
      </c>
      <c r="AQ361" s="26">
        <v>116</v>
      </c>
      <c r="AR361" s="26">
        <v>1295019</v>
      </c>
      <c r="AS361" s="26" t="s">
        <v>118</v>
      </c>
      <c r="AT361" s="26" t="s">
        <v>349</v>
      </c>
      <c r="AU361" s="29" t="s">
        <v>118</v>
      </c>
    </row>
    <row r="362" spans="1:47" x14ac:dyDescent="0.25">
      <c r="A362" s="7">
        <f>+CONCATENATE(DAY(V362),"/",MONTH(V362),"/",YEAR(V362),"")*1</f>
        <v>46169</v>
      </c>
      <c r="B362" s="23">
        <f>+Z362*1</f>
        <v>3863572933</v>
      </c>
      <c r="C362" s="21" t="str">
        <f>+AA362</f>
        <v>ENTRANTE</v>
      </c>
      <c r="D362" s="3" t="str">
        <f>VLOOKUP(Q362,Code!E:F,2,0)</f>
        <v>Admisiones</v>
      </c>
      <c r="E362" s="3" t="s">
        <v>55</v>
      </c>
      <c r="F362" s="3">
        <f>+AP362</f>
        <v>37</v>
      </c>
      <c r="G362" s="3">
        <f>+S362</f>
        <v>27</v>
      </c>
      <c r="H362" s="22">
        <f>+HOUR(V362)</f>
        <v>16</v>
      </c>
      <c r="I362" s="22">
        <f>IFERROR(VLOOKUP(B362,MATRICULAS!A:B,2,0),0)*1</f>
        <v>0</v>
      </c>
      <c r="J362" s="27">
        <v>20260527</v>
      </c>
      <c r="K362" s="27">
        <v>149374037</v>
      </c>
      <c r="L362" s="27" t="s">
        <v>134</v>
      </c>
      <c r="M362" s="27" t="s">
        <v>56</v>
      </c>
      <c r="N362" s="27">
        <v>0</v>
      </c>
      <c r="O362" s="27">
        <v>0</v>
      </c>
      <c r="P362" s="27" t="s">
        <v>57</v>
      </c>
      <c r="Q362" s="27">
        <v>150</v>
      </c>
      <c r="R362" s="27" t="s">
        <v>206</v>
      </c>
      <c r="S362" s="27">
        <v>27</v>
      </c>
      <c r="T362" s="27" t="s">
        <v>58</v>
      </c>
      <c r="U362" s="27" t="s">
        <v>59</v>
      </c>
      <c r="V362" s="30">
        <v>46169.678796296299</v>
      </c>
      <c r="W362" s="30">
        <v>46169.678796296299</v>
      </c>
      <c r="X362" s="30">
        <v>46169.68072916667</v>
      </c>
      <c r="Y362" s="27" t="s">
        <v>117</v>
      </c>
      <c r="Z362" s="27" t="s">
        <v>350</v>
      </c>
      <c r="AA362" s="27" t="s">
        <v>53</v>
      </c>
      <c r="AB362" s="27" t="s">
        <v>60</v>
      </c>
      <c r="AC362" s="27" t="s">
        <v>351</v>
      </c>
      <c r="AD362" s="27" t="s">
        <v>118</v>
      </c>
      <c r="AE362" s="27" t="s">
        <v>70</v>
      </c>
      <c r="AF362" s="27" t="s">
        <v>138</v>
      </c>
      <c r="AG362" s="27" t="s">
        <v>352</v>
      </c>
      <c r="AH362" s="27">
        <v>0</v>
      </c>
      <c r="AI362" s="27">
        <v>0</v>
      </c>
      <c r="AJ362" s="27">
        <v>0</v>
      </c>
      <c r="AK362" s="27">
        <v>0</v>
      </c>
      <c r="AL362" s="27" t="s">
        <v>64</v>
      </c>
      <c r="AM362" s="27">
        <v>3</v>
      </c>
      <c r="AN362" s="27">
        <v>167</v>
      </c>
      <c r="AO362" s="27" t="s">
        <v>65</v>
      </c>
      <c r="AP362" s="27">
        <v>37</v>
      </c>
      <c r="AQ362" s="27">
        <v>201</v>
      </c>
      <c r="AR362" s="27">
        <v>2501019</v>
      </c>
      <c r="AS362" s="27" t="s">
        <v>118</v>
      </c>
      <c r="AT362" s="27" t="s">
        <v>353</v>
      </c>
      <c r="AU362" s="31" t="s">
        <v>118</v>
      </c>
    </row>
    <row r="363" spans="1:47" x14ac:dyDescent="0.25">
      <c r="A363" s="7">
        <f>+CONCATENATE(DAY(V363),"/",MONTH(V363),"/",YEAR(V363),"")*1</f>
        <v>46169</v>
      </c>
      <c r="B363" s="23">
        <f>+Z363*1</f>
        <v>1134740543</v>
      </c>
      <c r="C363" s="21" t="str">
        <f>+AA363</f>
        <v>ENTRANTE</v>
      </c>
      <c r="D363" s="3" t="str">
        <f>VLOOKUP(Q363,Code!E:F,2,0)</f>
        <v>Admisiones</v>
      </c>
      <c r="E363" s="3" t="s">
        <v>55</v>
      </c>
      <c r="F363" s="3">
        <f>+AP363</f>
        <v>37</v>
      </c>
      <c r="G363" s="3">
        <f>+S363</f>
        <v>27</v>
      </c>
      <c r="H363" s="22">
        <f>+HOUR(V363)</f>
        <v>15</v>
      </c>
      <c r="I363" s="22">
        <f>IFERROR(VLOOKUP(B363,MATRICULAS!A:B,2,0),0)*1</f>
        <v>0</v>
      </c>
      <c r="J363" s="26">
        <v>20260527</v>
      </c>
      <c r="K363" s="26">
        <v>149373940</v>
      </c>
      <c r="L363" s="26" t="s">
        <v>134</v>
      </c>
      <c r="M363" s="26" t="s">
        <v>56</v>
      </c>
      <c r="N363" s="26">
        <v>0</v>
      </c>
      <c r="O363" s="26">
        <v>0</v>
      </c>
      <c r="P363" s="26" t="s">
        <v>57</v>
      </c>
      <c r="Q363" s="26">
        <v>150</v>
      </c>
      <c r="R363" s="26" t="s">
        <v>206</v>
      </c>
      <c r="S363" s="26">
        <v>27</v>
      </c>
      <c r="T363" s="26" t="s">
        <v>58</v>
      </c>
      <c r="U363" s="26" t="s">
        <v>59</v>
      </c>
      <c r="V363" s="28">
        <v>46169.658946759257</v>
      </c>
      <c r="W363" s="28">
        <v>46169.658946759257</v>
      </c>
      <c r="X363" s="28">
        <v>46169.66542824074</v>
      </c>
      <c r="Y363" s="26" t="s">
        <v>117</v>
      </c>
      <c r="Z363" s="26" t="s">
        <v>354</v>
      </c>
      <c r="AA363" s="26" t="s">
        <v>53</v>
      </c>
      <c r="AB363" s="26" t="s">
        <v>60</v>
      </c>
      <c r="AC363" s="26" t="s">
        <v>355</v>
      </c>
      <c r="AD363" s="26" t="s">
        <v>118</v>
      </c>
      <c r="AE363" s="26" t="s">
        <v>66</v>
      </c>
      <c r="AF363" s="26" t="s">
        <v>67</v>
      </c>
      <c r="AG363" s="26" t="s">
        <v>67</v>
      </c>
      <c r="AH363" s="26">
        <v>0</v>
      </c>
      <c r="AI363" s="26">
        <v>0</v>
      </c>
      <c r="AJ363" s="26">
        <v>0</v>
      </c>
      <c r="AK363" s="26">
        <v>0</v>
      </c>
      <c r="AL363" s="26" t="s">
        <v>64</v>
      </c>
      <c r="AM363" s="26">
        <v>3</v>
      </c>
      <c r="AN363" s="26">
        <v>560</v>
      </c>
      <c r="AO363" s="26" t="s">
        <v>65</v>
      </c>
      <c r="AP363" s="26">
        <v>37</v>
      </c>
      <c r="AQ363" s="26">
        <v>195</v>
      </c>
      <c r="AR363" s="26">
        <v>2459903</v>
      </c>
      <c r="AS363" s="26" t="s">
        <v>118</v>
      </c>
      <c r="AT363" s="26" t="s">
        <v>356</v>
      </c>
      <c r="AU363" s="29" t="s">
        <v>118</v>
      </c>
    </row>
    <row r="364" spans="1:47" x14ac:dyDescent="0.25">
      <c r="A364" s="7">
        <f>+CONCATENATE(DAY(V364),"/",MONTH(V364),"/",YEAR(V364),"")*1</f>
        <v>46169</v>
      </c>
      <c r="B364" s="23">
        <f>+Z364*1</f>
        <v>1140708653</v>
      </c>
      <c r="C364" s="21" t="str">
        <f>+AA364</f>
        <v>ENTRANTE</v>
      </c>
      <c r="D364" s="3" t="str">
        <f>VLOOKUP(Q364,Code!E:F,2,0)</f>
        <v>Admisiones</v>
      </c>
      <c r="E364" s="3" t="s">
        <v>55</v>
      </c>
      <c r="F364" s="3">
        <f>+AP364</f>
        <v>37</v>
      </c>
      <c r="G364" s="3">
        <f>+S364</f>
        <v>27</v>
      </c>
      <c r="H364" s="22">
        <f>+HOUR(V364)</f>
        <v>15</v>
      </c>
      <c r="I364" s="22">
        <f>IFERROR(VLOOKUP(B364,MATRICULAS!A:B,2,0),0)*1</f>
        <v>1</v>
      </c>
      <c r="J364" s="27">
        <v>20260527</v>
      </c>
      <c r="K364" s="27">
        <v>149373091</v>
      </c>
      <c r="L364" s="27" t="s">
        <v>134</v>
      </c>
      <c r="M364" s="27" t="s">
        <v>56</v>
      </c>
      <c r="N364" s="27">
        <v>0</v>
      </c>
      <c r="O364" s="27">
        <v>0</v>
      </c>
      <c r="P364" s="27" t="s">
        <v>57</v>
      </c>
      <c r="Q364" s="27">
        <v>150</v>
      </c>
      <c r="R364" s="27" t="s">
        <v>161</v>
      </c>
      <c r="S364" s="27">
        <v>27</v>
      </c>
      <c r="T364" s="27" t="s">
        <v>58</v>
      </c>
      <c r="U364" s="27" t="s">
        <v>59</v>
      </c>
      <c r="V364" s="30">
        <v>46169.627847222226</v>
      </c>
      <c r="W364" s="30">
        <v>46169.627847222226</v>
      </c>
      <c r="X364" s="30">
        <v>46169.636469907404</v>
      </c>
      <c r="Y364" s="27" t="s">
        <v>117</v>
      </c>
      <c r="Z364" s="27" t="s">
        <v>357</v>
      </c>
      <c r="AA364" s="27" t="s">
        <v>53</v>
      </c>
      <c r="AB364" s="27" t="s">
        <v>60</v>
      </c>
      <c r="AC364" s="27" t="s">
        <v>358</v>
      </c>
      <c r="AD364" s="27" t="s">
        <v>118</v>
      </c>
      <c r="AE364" s="27" t="s">
        <v>61</v>
      </c>
      <c r="AF364" s="27" t="s">
        <v>62</v>
      </c>
      <c r="AG364" s="27" t="s">
        <v>63</v>
      </c>
      <c r="AH364" s="27">
        <v>0</v>
      </c>
      <c r="AI364" s="27">
        <v>0</v>
      </c>
      <c r="AJ364" s="27">
        <v>0</v>
      </c>
      <c r="AK364" s="27">
        <v>0</v>
      </c>
      <c r="AL364" s="27" t="s">
        <v>64</v>
      </c>
      <c r="AM364" s="27">
        <v>3</v>
      </c>
      <c r="AN364" s="27">
        <v>746</v>
      </c>
      <c r="AO364" s="27" t="s">
        <v>65</v>
      </c>
      <c r="AP364" s="27">
        <v>37</v>
      </c>
      <c r="AQ364" s="27">
        <v>201</v>
      </c>
      <c r="AR364" s="27">
        <v>2502192</v>
      </c>
      <c r="AS364" s="27" t="s">
        <v>118</v>
      </c>
      <c r="AT364" s="27" t="s">
        <v>359</v>
      </c>
      <c r="AU364" s="31" t="s">
        <v>118</v>
      </c>
    </row>
    <row r="365" spans="1:47" x14ac:dyDescent="0.25">
      <c r="A365" s="7">
        <f>+CONCATENATE(DAY(V365),"/",MONTH(V365),"/",YEAR(V365),"")*1</f>
        <v>46169</v>
      </c>
      <c r="B365" s="23">
        <f>+Z365*1</f>
        <v>1135982149</v>
      </c>
      <c r="C365" s="21" t="str">
        <f>+AA365</f>
        <v>ENTRANTE</v>
      </c>
      <c r="D365" s="3" t="str">
        <f>VLOOKUP(Q365,Code!E:F,2,0)</f>
        <v>Admisiones</v>
      </c>
      <c r="E365" s="3" t="s">
        <v>55</v>
      </c>
      <c r="F365" s="3">
        <f>+AP365</f>
        <v>37</v>
      </c>
      <c r="G365" s="3">
        <f>+S365</f>
        <v>26</v>
      </c>
      <c r="H365" s="22">
        <f>+HOUR(V365)</f>
        <v>14</v>
      </c>
      <c r="I365" s="22">
        <f>IFERROR(VLOOKUP(B365,MATRICULAS!A:B,2,0),0)*1</f>
        <v>0</v>
      </c>
      <c r="J365" s="26">
        <v>20260527</v>
      </c>
      <c r="K365" s="26">
        <v>149372412</v>
      </c>
      <c r="L365" s="26" t="s">
        <v>134</v>
      </c>
      <c r="M365" s="26" t="s">
        <v>56</v>
      </c>
      <c r="N365" s="26">
        <v>0</v>
      </c>
      <c r="O365" s="26">
        <v>0</v>
      </c>
      <c r="P365" s="26" t="s">
        <v>57</v>
      </c>
      <c r="Q365" s="26">
        <v>150</v>
      </c>
      <c r="R365" s="26" t="s">
        <v>145</v>
      </c>
      <c r="S365" s="26">
        <v>26</v>
      </c>
      <c r="T365" s="26" t="s">
        <v>58</v>
      </c>
      <c r="U365" s="26" t="s">
        <v>59</v>
      </c>
      <c r="V365" s="28">
        <v>46169.597696759258</v>
      </c>
      <c r="W365" s="28">
        <v>46169.597696759258</v>
      </c>
      <c r="X365" s="28">
        <v>46169.60429398148</v>
      </c>
      <c r="Y365" s="26" t="s">
        <v>117</v>
      </c>
      <c r="Z365" s="26" t="s">
        <v>360</v>
      </c>
      <c r="AA365" s="26" t="s">
        <v>53</v>
      </c>
      <c r="AB365" s="26" t="s">
        <v>60</v>
      </c>
      <c r="AC365" s="26" t="s">
        <v>361</v>
      </c>
      <c r="AD365" s="26" t="s">
        <v>118</v>
      </c>
      <c r="AE365" s="26" t="s">
        <v>61</v>
      </c>
      <c r="AF365" s="26" t="s">
        <v>62</v>
      </c>
      <c r="AG365" s="26" t="s">
        <v>63</v>
      </c>
      <c r="AH365" s="26">
        <v>0</v>
      </c>
      <c r="AI365" s="26">
        <v>0</v>
      </c>
      <c r="AJ365" s="26">
        <v>0</v>
      </c>
      <c r="AK365" s="26">
        <v>0</v>
      </c>
      <c r="AL365" s="26" t="s">
        <v>64</v>
      </c>
      <c r="AM365" s="26">
        <v>3</v>
      </c>
      <c r="AN365" s="26">
        <v>571</v>
      </c>
      <c r="AO365" s="26" t="s">
        <v>65</v>
      </c>
      <c r="AP365" s="26">
        <v>37</v>
      </c>
      <c r="AQ365" s="26">
        <v>202</v>
      </c>
      <c r="AR365" s="26">
        <v>2484457</v>
      </c>
      <c r="AS365" s="26" t="s">
        <v>118</v>
      </c>
      <c r="AT365" s="26" t="s">
        <v>362</v>
      </c>
      <c r="AU365" s="29" t="s">
        <v>118</v>
      </c>
    </row>
    <row r="366" spans="1:47" x14ac:dyDescent="0.25">
      <c r="A366" s="7">
        <f>+CONCATENATE(DAY(V366),"/",MONTH(V366),"/",YEAR(V366),"")*1</f>
        <v>46169</v>
      </c>
      <c r="B366" s="23">
        <f>+Z366*1</f>
        <v>3512799120</v>
      </c>
      <c r="C366" s="21" t="str">
        <f>+AA366</f>
        <v>ENTRANTE</v>
      </c>
      <c r="D366" s="3" t="str">
        <f>VLOOKUP(Q366,Code!E:F,2,0)</f>
        <v>Admisiones</v>
      </c>
      <c r="E366" s="3" t="s">
        <v>55</v>
      </c>
      <c r="F366" s="3">
        <f>+AP366</f>
        <v>37</v>
      </c>
      <c r="G366" s="3">
        <f>+S366</f>
        <v>26</v>
      </c>
      <c r="H366" s="22">
        <f>+HOUR(V366)</f>
        <v>13</v>
      </c>
      <c r="I366" s="22">
        <f>IFERROR(VLOOKUP(B366,MATRICULAS!A:B,2,0),0)*1</f>
        <v>0</v>
      </c>
      <c r="J366" s="26">
        <v>20260527</v>
      </c>
      <c r="K366" s="26">
        <v>149371784</v>
      </c>
      <c r="L366" s="26" t="s">
        <v>134</v>
      </c>
      <c r="M366" s="26" t="s">
        <v>56</v>
      </c>
      <c r="N366" s="26">
        <v>0</v>
      </c>
      <c r="O366" s="26">
        <v>0</v>
      </c>
      <c r="P366" s="26" t="s">
        <v>57</v>
      </c>
      <c r="Q366" s="26">
        <v>150</v>
      </c>
      <c r="R366" s="26" t="s">
        <v>128</v>
      </c>
      <c r="S366" s="26">
        <v>26</v>
      </c>
      <c r="T366" s="26" t="s">
        <v>58</v>
      </c>
      <c r="U366" s="26" t="s">
        <v>59</v>
      </c>
      <c r="V366" s="28">
        <v>46169.577175925922</v>
      </c>
      <c r="W366" s="28">
        <v>46169.577175925922</v>
      </c>
      <c r="X366" s="28">
        <v>46169.577592592592</v>
      </c>
      <c r="Y366" s="26" t="s">
        <v>117</v>
      </c>
      <c r="Z366" s="26" t="s">
        <v>167</v>
      </c>
      <c r="AA366" s="26" t="s">
        <v>53</v>
      </c>
      <c r="AB366" s="26" t="s">
        <v>60</v>
      </c>
      <c r="AC366" s="26" t="s">
        <v>363</v>
      </c>
      <c r="AD366" s="26" t="s">
        <v>118</v>
      </c>
      <c r="AE366" s="26" t="s">
        <v>61</v>
      </c>
      <c r="AF366" s="26" t="s">
        <v>62</v>
      </c>
      <c r="AG366" s="26" t="s">
        <v>63</v>
      </c>
      <c r="AH366" s="26">
        <v>0</v>
      </c>
      <c r="AI366" s="26">
        <v>0</v>
      </c>
      <c r="AJ366" s="26">
        <v>0</v>
      </c>
      <c r="AK366" s="26">
        <v>0</v>
      </c>
      <c r="AL366" s="26" t="s">
        <v>64</v>
      </c>
      <c r="AM366" s="26">
        <v>3</v>
      </c>
      <c r="AN366" s="26">
        <v>36</v>
      </c>
      <c r="AO366" s="26" t="s">
        <v>65</v>
      </c>
      <c r="AP366" s="26">
        <v>37</v>
      </c>
      <c r="AQ366" s="26">
        <v>195</v>
      </c>
      <c r="AR366" s="26">
        <v>2408682</v>
      </c>
      <c r="AS366" s="26" t="s">
        <v>118</v>
      </c>
      <c r="AT366" s="26" t="s">
        <v>364</v>
      </c>
      <c r="AU366" s="29" t="s">
        <v>118</v>
      </c>
    </row>
    <row r="367" spans="1:47" x14ac:dyDescent="0.25">
      <c r="A367" s="7">
        <f>+CONCATENATE(DAY(V367),"/",MONTH(V367),"/",YEAR(V367),"")*1</f>
        <v>46169</v>
      </c>
      <c r="B367" s="23">
        <f>+Z367*1</f>
        <v>1134876030</v>
      </c>
      <c r="C367" s="21" t="str">
        <f>+AA367</f>
        <v>ENTRANTE</v>
      </c>
      <c r="D367" s="3" t="str">
        <f>VLOOKUP(Q367,Code!E:F,2,0)</f>
        <v>Admisiones</v>
      </c>
      <c r="E367" s="3" t="s">
        <v>55</v>
      </c>
      <c r="F367" s="3">
        <f>+AP367</f>
        <v>37</v>
      </c>
      <c r="G367" s="3">
        <f>+S367</f>
        <v>26</v>
      </c>
      <c r="H367" s="22">
        <f>+HOUR(V367)</f>
        <v>13</v>
      </c>
      <c r="I367" s="22">
        <f>IFERROR(VLOOKUP(B367,MATRICULAS!A:B,2,0),0)*1</f>
        <v>0</v>
      </c>
      <c r="J367" s="27">
        <v>20260527</v>
      </c>
      <c r="K367" s="27">
        <v>149371651</v>
      </c>
      <c r="L367" s="27" t="s">
        <v>134</v>
      </c>
      <c r="M367" s="27" t="s">
        <v>56</v>
      </c>
      <c r="N367" s="27">
        <v>0</v>
      </c>
      <c r="O367" s="27">
        <v>0</v>
      </c>
      <c r="P367" s="27" t="s">
        <v>57</v>
      </c>
      <c r="Q367" s="27">
        <v>150</v>
      </c>
      <c r="R367" s="27" t="s">
        <v>145</v>
      </c>
      <c r="S367" s="27">
        <v>26</v>
      </c>
      <c r="T367" s="27" t="s">
        <v>58</v>
      </c>
      <c r="U367" s="27" t="s">
        <v>59</v>
      </c>
      <c r="V367" s="30">
        <v>46169.572685185187</v>
      </c>
      <c r="W367" s="30">
        <v>46169.572685185187</v>
      </c>
      <c r="X367" s="30">
        <v>46169.574999999997</v>
      </c>
      <c r="Y367" s="27" t="s">
        <v>117</v>
      </c>
      <c r="Z367" s="27" t="s">
        <v>365</v>
      </c>
      <c r="AA367" s="27" t="s">
        <v>53</v>
      </c>
      <c r="AB367" s="27" t="s">
        <v>60</v>
      </c>
      <c r="AC367" s="27" t="s">
        <v>366</v>
      </c>
      <c r="AD367" s="27" t="s">
        <v>118</v>
      </c>
      <c r="AE367" s="27" t="s">
        <v>66</v>
      </c>
      <c r="AF367" s="27" t="s">
        <v>67</v>
      </c>
      <c r="AG367" s="27" t="s">
        <v>67</v>
      </c>
      <c r="AH367" s="27">
        <v>0</v>
      </c>
      <c r="AI367" s="27">
        <v>0</v>
      </c>
      <c r="AJ367" s="27">
        <v>0</v>
      </c>
      <c r="AK367" s="27">
        <v>0</v>
      </c>
      <c r="AL367" s="27" t="s">
        <v>64</v>
      </c>
      <c r="AM367" s="27">
        <v>3</v>
      </c>
      <c r="AN367" s="27">
        <v>200</v>
      </c>
      <c r="AO367" s="27" t="s">
        <v>65</v>
      </c>
      <c r="AP367" s="27">
        <v>37</v>
      </c>
      <c r="AQ367" s="27">
        <v>187</v>
      </c>
      <c r="AR367" s="27">
        <v>2244326</v>
      </c>
      <c r="AS367" s="27" t="s">
        <v>118</v>
      </c>
      <c r="AT367" s="27" t="s">
        <v>367</v>
      </c>
      <c r="AU367" s="31" t="s">
        <v>118</v>
      </c>
    </row>
    <row r="368" spans="1:47" x14ac:dyDescent="0.25">
      <c r="A368" s="7">
        <f>+CONCATENATE(DAY(V368),"/",MONTH(V368),"/",YEAR(V368),"")*1</f>
        <v>46169</v>
      </c>
      <c r="B368" s="23">
        <f>+Z368*1</f>
        <v>1155861950</v>
      </c>
      <c r="C368" s="21" t="str">
        <f>+AA368</f>
        <v>ENTRANTE</v>
      </c>
      <c r="D368" s="3" t="str">
        <f>VLOOKUP(Q368,Code!E:F,2,0)</f>
        <v>Admisiones</v>
      </c>
      <c r="E368" s="3" t="s">
        <v>55</v>
      </c>
      <c r="F368" s="3">
        <f>+AP368</f>
        <v>37</v>
      </c>
      <c r="G368" s="3">
        <f>+S368</f>
        <v>26</v>
      </c>
      <c r="H368" s="22">
        <f>+HOUR(V368)</f>
        <v>11</v>
      </c>
      <c r="I368" s="22">
        <f>IFERROR(VLOOKUP(B368,MATRICULAS!A:B,2,0),0)*1</f>
        <v>0</v>
      </c>
      <c r="J368" s="27">
        <v>20260527</v>
      </c>
      <c r="K368" s="27">
        <v>149368952</v>
      </c>
      <c r="L368" s="27" t="s">
        <v>134</v>
      </c>
      <c r="M368" s="27" t="s">
        <v>56</v>
      </c>
      <c r="N368" s="27">
        <v>0</v>
      </c>
      <c r="O368" s="27">
        <v>0</v>
      </c>
      <c r="P368" s="27" t="s">
        <v>57</v>
      </c>
      <c r="Q368" s="27">
        <v>150</v>
      </c>
      <c r="R368" s="27" t="s">
        <v>145</v>
      </c>
      <c r="S368" s="27">
        <v>26</v>
      </c>
      <c r="T368" s="27" t="s">
        <v>58</v>
      </c>
      <c r="U368" s="27" t="s">
        <v>59</v>
      </c>
      <c r="V368" s="30">
        <v>46169.482395833336</v>
      </c>
      <c r="W368" s="30">
        <v>46169.482395833336</v>
      </c>
      <c r="X368" s="30">
        <v>46169.490810185183</v>
      </c>
      <c r="Y368" s="27" t="s">
        <v>117</v>
      </c>
      <c r="Z368" s="27" t="s">
        <v>369</v>
      </c>
      <c r="AA368" s="27" t="s">
        <v>53</v>
      </c>
      <c r="AB368" s="27" t="s">
        <v>60</v>
      </c>
      <c r="AC368" s="27" t="s">
        <v>370</v>
      </c>
      <c r="AD368" s="27" t="s">
        <v>118</v>
      </c>
      <c r="AE368" s="27" t="s">
        <v>61</v>
      </c>
      <c r="AF368" s="27" t="s">
        <v>62</v>
      </c>
      <c r="AG368" s="27" t="s">
        <v>63</v>
      </c>
      <c r="AH368" s="27">
        <v>0</v>
      </c>
      <c r="AI368" s="27">
        <v>0</v>
      </c>
      <c r="AJ368" s="27">
        <v>0</v>
      </c>
      <c r="AK368" s="27">
        <v>0</v>
      </c>
      <c r="AL368" s="27" t="s">
        <v>64</v>
      </c>
      <c r="AM368" s="27">
        <v>3</v>
      </c>
      <c r="AN368" s="27">
        <v>728</v>
      </c>
      <c r="AO368" s="27" t="s">
        <v>65</v>
      </c>
      <c r="AP368" s="27">
        <v>37</v>
      </c>
      <c r="AQ368" s="27">
        <v>1</v>
      </c>
      <c r="AR368" s="27">
        <v>2506917</v>
      </c>
      <c r="AS368" s="27" t="s">
        <v>118</v>
      </c>
      <c r="AT368" s="27" t="s">
        <v>371</v>
      </c>
      <c r="AU368" s="31" t="s">
        <v>118</v>
      </c>
    </row>
    <row r="369" spans="1:47" x14ac:dyDescent="0.25">
      <c r="A369" s="7">
        <f>+CONCATENATE(DAY(V369),"/",MONTH(V369),"/",YEAR(V369),"")*1</f>
        <v>46169</v>
      </c>
      <c r="B369" s="23">
        <f>+Z369*1</f>
        <v>2984160201</v>
      </c>
      <c r="C369" s="21" t="str">
        <f>+AA369</f>
        <v>ENTRANTE</v>
      </c>
      <c r="D369" s="3" t="str">
        <f>VLOOKUP(Q369,Code!E:F,2,0)</f>
        <v>Admisiones</v>
      </c>
      <c r="E369" s="3" t="s">
        <v>55</v>
      </c>
      <c r="F369" s="3">
        <f>+AP369</f>
        <v>37</v>
      </c>
      <c r="G369" s="3">
        <f>+S369</f>
        <v>26</v>
      </c>
      <c r="H369" s="22">
        <f>+HOUR(V369)</f>
        <v>11</v>
      </c>
      <c r="I369" s="22">
        <f>IFERROR(VLOOKUP(B369,MATRICULAS!A:B,2,0),0)*1</f>
        <v>0</v>
      </c>
      <c r="J369" s="26">
        <v>20260527</v>
      </c>
      <c r="K369" s="26">
        <v>149368909</v>
      </c>
      <c r="L369" s="26" t="s">
        <v>134</v>
      </c>
      <c r="M369" s="26" t="s">
        <v>56</v>
      </c>
      <c r="N369" s="26">
        <v>0</v>
      </c>
      <c r="O369" s="26">
        <v>0</v>
      </c>
      <c r="P369" s="26" t="s">
        <v>57</v>
      </c>
      <c r="Q369" s="26">
        <v>150</v>
      </c>
      <c r="R369" s="26" t="s">
        <v>127</v>
      </c>
      <c r="S369" s="26">
        <v>26</v>
      </c>
      <c r="T369" s="26" t="s">
        <v>58</v>
      </c>
      <c r="U369" s="26" t="s">
        <v>59</v>
      </c>
      <c r="V369" s="28">
        <v>46169.48133101852</v>
      </c>
      <c r="W369" s="28">
        <v>46169.48133101852</v>
      </c>
      <c r="X369" s="28">
        <v>46169.490520833337</v>
      </c>
      <c r="Y369" s="26" t="s">
        <v>117</v>
      </c>
      <c r="Z369" s="26" t="s">
        <v>372</v>
      </c>
      <c r="AA369" s="26" t="s">
        <v>53</v>
      </c>
      <c r="AB369" s="26" t="s">
        <v>60</v>
      </c>
      <c r="AC369" s="26" t="s">
        <v>373</v>
      </c>
      <c r="AD369" s="26" t="s">
        <v>118</v>
      </c>
      <c r="AE369" s="26" t="s">
        <v>70</v>
      </c>
      <c r="AF369" s="26" t="s">
        <v>131</v>
      </c>
      <c r="AG369" s="26" t="s">
        <v>178</v>
      </c>
      <c r="AH369" s="26">
        <v>0</v>
      </c>
      <c r="AI369" s="26">
        <v>0</v>
      </c>
      <c r="AJ369" s="26">
        <v>0</v>
      </c>
      <c r="AK369" s="26">
        <v>0</v>
      </c>
      <c r="AL369" s="26" t="s">
        <v>64</v>
      </c>
      <c r="AM369" s="26">
        <v>3</v>
      </c>
      <c r="AN369" s="26">
        <v>794</v>
      </c>
      <c r="AO369" s="26" t="s">
        <v>65</v>
      </c>
      <c r="AP369" s="26">
        <v>37</v>
      </c>
      <c r="AQ369" s="26">
        <v>199</v>
      </c>
      <c r="AR369" s="26">
        <v>2469740</v>
      </c>
      <c r="AS369" s="26" t="s">
        <v>118</v>
      </c>
      <c r="AT369" s="26" t="s">
        <v>374</v>
      </c>
      <c r="AU369" s="29" t="s">
        <v>118</v>
      </c>
    </row>
    <row r="370" spans="1:47" x14ac:dyDescent="0.25">
      <c r="A370" s="7">
        <f>+CONCATENATE(DAY(V370),"/",MONTH(V370),"/",YEAR(V370),"")*1</f>
        <v>46169</v>
      </c>
      <c r="B370" s="23">
        <f>+Z370*1</f>
        <v>2920274392</v>
      </c>
      <c r="C370" s="21" t="str">
        <f>+AA370</f>
        <v>ENTRANTE</v>
      </c>
      <c r="D370" s="3" t="str">
        <f>VLOOKUP(Q370,Code!E:F,2,0)</f>
        <v>Admisiones</v>
      </c>
      <c r="E370" s="3" t="s">
        <v>55</v>
      </c>
      <c r="F370" s="3">
        <f>+AP370</f>
        <v>37</v>
      </c>
      <c r="G370" s="3">
        <f>+S370</f>
        <v>26</v>
      </c>
      <c r="H370" s="22">
        <f>+HOUR(V370)</f>
        <v>11</v>
      </c>
      <c r="I370" s="22">
        <f>IFERROR(VLOOKUP(B370,MATRICULAS!A:B,2,0),0)*1</f>
        <v>0</v>
      </c>
      <c r="J370" s="26">
        <v>20260527</v>
      </c>
      <c r="K370" s="26">
        <v>149368536</v>
      </c>
      <c r="L370" s="26" t="s">
        <v>134</v>
      </c>
      <c r="M370" s="26" t="s">
        <v>56</v>
      </c>
      <c r="N370" s="26">
        <v>0</v>
      </c>
      <c r="O370" s="26">
        <v>0</v>
      </c>
      <c r="P370" s="26" t="s">
        <v>57</v>
      </c>
      <c r="Q370" s="26">
        <v>150</v>
      </c>
      <c r="R370" s="26" t="s">
        <v>127</v>
      </c>
      <c r="S370" s="26">
        <v>26</v>
      </c>
      <c r="T370" s="26" t="s">
        <v>58</v>
      </c>
      <c r="U370" s="26" t="s">
        <v>59</v>
      </c>
      <c r="V370" s="28">
        <v>46169.4687962963</v>
      </c>
      <c r="W370" s="28">
        <v>46169.4687962963</v>
      </c>
      <c r="X370" s="28">
        <v>46169.471342592595</v>
      </c>
      <c r="Y370" s="26" t="s">
        <v>117</v>
      </c>
      <c r="Z370" s="26" t="s">
        <v>376</v>
      </c>
      <c r="AA370" s="26" t="s">
        <v>53</v>
      </c>
      <c r="AB370" s="26" t="s">
        <v>60</v>
      </c>
      <c r="AC370" s="26" t="s">
        <v>377</v>
      </c>
      <c r="AD370" s="26" t="s">
        <v>118</v>
      </c>
      <c r="AE370" s="26" t="s">
        <v>70</v>
      </c>
      <c r="AF370" s="26" t="s">
        <v>131</v>
      </c>
      <c r="AG370" s="26" t="s">
        <v>172</v>
      </c>
      <c r="AH370" s="26">
        <v>0</v>
      </c>
      <c r="AI370" s="26">
        <v>0</v>
      </c>
      <c r="AJ370" s="26">
        <v>0</v>
      </c>
      <c r="AK370" s="26">
        <v>0</v>
      </c>
      <c r="AL370" s="26" t="s">
        <v>64</v>
      </c>
      <c r="AM370" s="26">
        <v>3</v>
      </c>
      <c r="AN370" s="26">
        <v>220</v>
      </c>
      <c r="AO370" s="26" t="s">
        <v>65</v>
      </c>
      <c r="AP370" s="26">
        <v>37</v>
      </c>
      <c r="AQ370" s="26">
        <v>1</v>
      </c>
      <c r="AR370" s="26">
        <v>2506894</v>
      </c>
      <c r="AS370" s="26" t="s">
        <v>378</v>
      </c>
      <c r="AT370" s="26" t="s">
        <v>379</v>
      </c>
      <c r="AU370" s="29" t="s">
        <v>118</v>
      </c>
    </row>
    <row r="371" spans="1:47" x14ac:dyDescent="0.25">
      <c r="A371" s="7">
        <f>+CONCATENATE(DAY(V371),"/",MONTH(V371),"/",YEAR(V371),"")*1</f>
        <v>46169</v>
      </c>
      <c r="B371" s="23">
        <f>+Z371*1</f>
        <v>1163519484</v>
      </c>
      <c r="C371" s="21" t="str">
        <f>+AA371</f>
        <v>ENTRANTE</v>
      </c>
      <c r="D371" s="3" t="str">
        <f>VLOOKUP(Q371,Code!E:F,2,0)</f>
        <v>Admisiones</v>
      </c>
      <c r="E371" s="3" t="s">
        <v>55</v>
      </c>
      <c r="F371" s="3">
        <f>+AP371</f>
        <v>37</v>
      </c>
      <c r="G371" s="3">
        <f>+S371</f>
        <v>26</v>
      </c>
      <c r="H371" s="22">
        <f>+HOUR(V371)</f>
        <v>10</v>
      </c>
      <c r="I371" s="22">
        <f>IFERROR(VLOOKUP(B371,MATRICULAS!A:B,2,0),0)*1</f>
        <v>0</v>
      </c>
      <c r="J371" s="27">
        <v>20260527</v>
      </c>
      <c r="K371" s="27">
        <v>149367954</v>
      </c>
      <c r="L371" s="27" t="s">
        <v>134</v>
      </c>
      <c r="M371" s="27" t="s">
        <v>56</v>
      </c>
      <c r="N371" s="27">
        <v>0</v>
      </c>
      <c r="O371" s="27">
        <v>0</v>
      </c>
      <c r="P371" s="27" t="s">
        <v>57</v>
      </c>
      <c r="Q371" s="27">
        <v>150</v>
      </c>
      <c r="R371" s="27" t="s">
        <v>127</v>
      </c>
      <c r="S371" s="27">
        <v>26</v>
      </c>
      <c r="T371" s="27" t="s">
        <v>58</v>
      </c>
      <c r="U371" s="27" t="s">
        <v>59</v>
      </c>
      <c r="V371" s="30">
        <v>46169.451840277776</v>
      </c>
      <c r="W371" s="30">
        <v>46169.451840277776</v>
      </c>
      <c r="X371" s="30">
        <v>46169.452349537038</v>
      </c>
      <c r="Y371" s="27" t="s">
        <v>117</v>
      </c>
      <c r="Z371" s="27" t="s">
        <v>380</v>
      </c>
      <c r="AA371" s="27" t="s">
        <v>53</v>
      </c>
      <c r="AB371" s="27" t="s">
        <v>60</v>
      </c>
      <c r="AC371" s="27" t="s">
        <v>381</v>
      </c>
      <c r="AD371" s="27" t="s">
        <v>118</v>
      </c>
      <c r="AE371" s="27" t="s">
        <v>61</v>
      </c>
      <c r="AF371" s="27" t="s">
        <v>62</v>
      </c>
      <c r="AG371" s="27" t="s">
        <v>63</v>
      </c>
      <c r="AH371" s="27">
        <v>0</v>
      </c>
      <c r="AI371" s="27">
        <v>0</v>
      </c>
      <c r="AJ371" s="27">
        <v>0</v>
      </c>
      <c r="AK371" s="27">
        <v>0</v>
      </c>
      <c r="AL371" s="27" t="s">
        <v>64</v>
      </c>
      <c r="AM371" s="27">
        <v>3</v>
      </c>
      <c r="AN371" s="27">
        <v>45</v>
      </c>
      <c r="AO371" s="27" t="s">
        <v>65</v>
      </c>
      <c r="AP371" s="27">
        <v>37</v>
      </c>
      <c r="AQ371" s="27">
        <v>0</v>
      </c>
      <c r="AR371" s="27">
        <v>0</v>
      </c>
      <c r="AS371" s="27" t="s">
        <v>118</v>
      </c>
      <c r="AT371" s="27" t="s">
        <v>382</v>
      </c>
      <c r="AU371" s="31" t="s">
        <v>118</v>
      </c>
    </row>
    <row r="372" spans="1:47" x14ac:dyDescent="0.25">
      <c r="A372" s="7">
        <f>+CONCATENATE(DAY(V372),"/",MONTH(V372),"/",YEAR(V372),"")*1</f>
        <v>46169</v>
      </c>
      <c r="B372" s="23">
        <f>+Z372*1</f>
        <v>1144083216</v>
      </c>
      <c r="C372" s="21" t="str">
        <f>+AA372</f>
        <v>ENTRANTE</v>
      </c>
      <c r="D372" s="3" t="str">
        <f>VLOOKUP(Q372,Code!E:F,2,0)</f>
        <v>Admisiones</v>
      </c>
      <c r="E372" s="3" t="s">
        <v>55</v>
      </c>
      <c r="F372" s="3">
        <f>+AP372</f>
        <v>37</v>
      </c>
      <c r="G372" s="3">
        <f>+S372</f>
        <v>26</v>
      </c>
      <c r="H372" s="22">
        <f>+HOUR(V372)</f>
        <v>10</v>
      </c>
      <c r="I372" s="22">
        <f>IFERROR(VLOOKUP(B372,MATRICULAS!A:B,2,0),0)*1</f>
        <v>0</v>
      </c>
      <c r="J372" s="27">
        <v>20260527</v>
      </c>
      <c r="K372" s="27">
        <v>149367287</v>
      </c>
      <c r="L372" s="27" t="s">
        <v>134</v>
      </c>
      <c r="M372" s="27" t="s">
        <v>56</v>
      </c>
      <c r="N372" s="27">
        <v>0</v>
      </c>
      <c r="O372" s="27">
        <v>0</v>
      </c>
      <c r="P372" s="27" t="s">
        <v>57</v>
      </c>
      <c r="Q372" s="27">
        <v>150</v>
      </c>
      <c r="R372" s="27" t="s">
        <v>127</v>
      </c>
      <c r="S372" s="27">
        <v>26</v>
      </c>
      <c r="T372" s="27" t="s">
        <v>58</v>
      </c>
      <c r="U372" s="27" t="s">
        <v>59</v>
      </c>
      <c r="V372" s="30">
        <v>46169.432881944442</v>
      </c>
      <c r="W372" s="30">
        <v>46169.432881944442</v>
      </c>
      <c r="X372" s="30">
        <v>46169.436400462961</v>
      </c>
      <c r="Y372" s="27" t="s">
        <v>117</v>
      </c>
      <c r="Z372" s="27" t="s">
        <v>384</v>
      </c>
      <c r="AA372" s="27" t="s">
        <v>53</v>
      </c>
      <c r="AB372" s="27" t="s">
        <v>60</v>
      </c>
      <c r="AC372" s="27" t="s">
        <v>385</v>
      </c>
      <c r="AD372" s="27" t="s">
        <v>118</v>
      </c>
      <c r="AE372" s="27" t="s">
        <v>61</v>
      </c>
      <c r="AF372" s="27" t="s">
        <v>62</v>
      </c>
      <c r="AG372" s="27" t="s">
        <v>63</v>
      </c>
      <c r="AH372" s="27">
        <v>0</v>
      </c>
      <c r="AI372" s="27">
        <v>0</v>
      </c>
      <c r="AJ372" s="27">
        <v>0</v>
      </c>
      <c r="AK372" s="27">
        <v>0</v>
      </c>
      <c r="AL372" s="27" t="s">
        <v>64</v>
      </c>
      <c r="AM372" s="27">
        <v>3</v>
      </c>
      <c r="AN372" s="27">
        <v>305</v>
      </c>
      <c r="AO372" s="27" t="s">
        <v>65</v>
      </c>
      <c r="AP372" s="27">
        <v>37</v>
      </c>
      <c r="AQ372" s="27">
        <v>198</v>
      </c>
      <c r="AR372" s="27">
        <v>2453607</v>
      </c>
      <c r="AS372" s="27" t="s">
        <v>118</v>
      </c>
      <c r="AT372" s="27" t="s">
        <v>386</v>
      </c>
      <c r="AU372" s="31" t="s">
        <v>118</v>
      </c>
    </row>
    <row r="373" spans="1:47" x14ac:dyDescent="0.25">
      <c r="A373" s="7">
        <f>+CONCATENATE(DAY(V373),"/",MONTH(V373),"/",YEAR(V373),"")*1</f>
        <v>46169</v>
      </c>
      <c r="B373" s="23">
        <f>+Z373*1</f>
        <v>1127458481</v>
      </c>
      <c r="C373" s="21" t="str">
        <f>+AA373</f>
        <v>ENTRANTE</v>
      </c>
      <c r="D373" s="3" t="str">
        <f>VLOOKUP(Q373,Code!E:F,2,0)</f>
        <v>Admisiones</v>
      </c>
      <c r="E373" s="3" t="s">
        <v>55</v>
      </c>
      <c r="F373" s="3">
        <f>+AP373</f>
        <v>37</v>
      </c>
      <c r="G373" s="3">
        <f>+S373</f>
        <v>5</v>
      </c>
      <c r="H373" s="22">
        <f>+HOUR(V373)</f>
        <v>10</v>
      </c>
      <c r="I373" s="22">
        <f>IFERROR(VLOOKUP(B373,MATRICULAS!A:B,2,0),0)*1</f>
        <v>0</v>
      </c>
      <c r="J373" s="26">
        <v>20260527</v>
      </c>
      <c r="K373" s="26">
        <v>149367033</v>
      </c>
      <c r="L373" s="26" t="s">
        <v>134</v>
      </c>
      <c r="M373" s="26" t="s">
        <v>56</v>
      </c>
      <c r="N373" s="26">
        <v>0</v>
      </c>
      <c r="O373" s="26">
        <v>0</v>
      </c>
      <c r="P373" s="26" t="s">
        <v>57</v>
      </c>
      <c r="Q373" s="26">
        <v>150</v>
      </c>
      <c r="R373" s="26" t="s">
        <v>127</v>
      </c>
      <c r="S373" s="26">
        <v>5</v>
      </c>
      <c r="T373" s="26" t="s">
        <v>58</v>
      </c>
      <c r="U373" s="26" t="s">
        <v>59</v>
      </c>
      <c r="V373" s="28">
        <v>46169.421759259261</v>
      </c>
      <c r="W373" s="28">
        <v>46169.421759259261</v>
      </c>
      <c r="X373" s="28">
        <v>46169.423032407409</v>
      </c>
      <c r="Y373" s="26" t="s">
        <v>117</v>
      </c>
      <c r="Z373" s="26" t="s">
        <v>387</v>
      </c>
      <c r="AA373" s="26" t="s">
        <v>53</v>
      </c>
      <c r="AB373" s="26" t="s">
        <v>60</v>
      </c>
      <c r="AC373" s="26" t="s">
        <v>388</v>
      </c>
      <c r="AD373" s="26" t="s">
        <v>118</v>
      </c>
      <c r="AE373" s="26" t="s">
        <v>66</v>
      </c>
      <c r="AF373" s="26" t="s">
        <v>67</v>
      </c>
      <c r="AG373" s="26" t="s">
        <v>67</v>
      </c>
      <c r="AH373" s="26">
        <v>0</v>
      </c>
      <c r="AI373" s="26">
        <v>0</v>
      </c>
      <c r="AJ373" s="26">
        <v>0</v>
      </c>
      <c r="AK373" s="26">
        <v>0</v>
      </c>
      <c r="AL373" s="26" t="s">
        <v>64</v>
      </c>
      <c r="AM373" s="26">
        <v>3</v>
      </c>
      <c r="AN373" s="26">
        <v>111</v>
      </c>
      <c r="AO373" s="26" t="s">
        <v>65</v>
      </c>
      <c r="AP373" s="26">
        <v>37</v>
      </c>
      <c r="AQ373" s="26">
        <v>0</v>
      </c>
      <c r="AR373" s="26">
        <v>0</v>
      </c>
      <c r="AS373" s="26" t="s">
        <v>118</v>
      </c>
      <c r="AT373" s="26" t="s">
        <v>389</v>
      </c>
      <c r="AU373" s="29" t="s">
        <v>118</v>
      </c>
    </row>
    <row r="374" spans="1:47" x14ac:dyDescent="0.25">
      <c r="A374" s="7">
        <f>+CONCATENATE(DAY(V374),"/",MONTH(V374),"/",YEAR(V374),"")*1</f>
        <v>46169</v>
      </c>
      <c r="B374" s="23">
        <f>+Z374*1</f>
        <v>1177321638</v>
      </c>
      <c r="C374" s="21" t="str">
        <f>+AA374</f>
        <v>ENTRANTE</v>
      </c>
      <c r="D374" s="3" t="str">
        <f>VLOOKUP(Q374,Code!E:F,2,0)</f>
        <v>Admisiones</v>
      </c>
      <c r="E374" s="3" t="s">
        <v>55</v>
      </c>
      <c r="F374" s="3">
        <f>+AP374</f>
        <v>37</v>
      </c>
      <c r="G374" s="3">
        <f>+S374</f>
        <v>5</v>
      </c>
      <c r="H374" s="22">
        <f>+HOUR(V374)</f>
        <v>9</v>
      </c>
      <c r="I374" s="22">
        <f>IFERROR(VLOOKUP(B374,MATRICULAS!A:B,2,0),0)*1</f>
        <v>0</v>
      </c>
      <c r="J374" s="26">
        <v>20260527</v>
      </c>
      <c r="K374" s="26">
        <v>149366153</v>
      </c>
      <c r="L374" s="26" t="s">
        <v>134</v>
      </c>
      <c r="M374" s="26" t="s">
        <v>56</v>
      </c>
      <c r="N374" s="26">
        <v>0</v>
      </c>
      <c r="O374" s="26">
        <v>0</v>
      </c>
      <c r="P374" s="26" t="s">
        <v>57</v>
      </c>
      <c r="Q374" s="26">
        <v>150</v>
      </c>
      <c r="R374" s="26" t="s">
        <v>145</v>
      </c>
      <c r="S374" s="26">
        <v>5</v>
      </c>
      <c r="T374" s="26" t="s">
        <v>58</v>
      </c>
      <c r="U374" s="26" t="s">
        <v>59</v>
      </c>
      <c r="V374" s="28">
        <v>46169.392071759263</v>
      </c>
      <c r="W374" s="28">
        <v>46169.392071759263</v>
      </c>
      <c r="X374" s="28">
        <v>46169.394224537034</v>
      </c>
      <c r="Y374" s="26" t="s">
        <v>117</v>
      </c>
      <c r="Z374" s="26" t="s">
        <v>390</v>
      </c>
      <c r="AA374" s="26" t="s">
        <v>53</v>
      </c>
      <c r="AB374" s="26" t="s">
        <v>60</v>
      </c>
      <c r="AC374" s="26" t="s">
        <v>391</v>
      </c>
      <c r="AD374" s="26" t="s">
        <v>118</v>
      </c>
      <c r="AE374" s="26" t="s">
        <v>66</v>
      </c>
      <c r="AF374" s="26" t="s">
        <v>67</v>
      </c>
      <c r="AG374" s="26" t="s">
        <v>67</v>
      </c>
      <c r="AH374" s="26">
        <v>0</v>
      </c>
      <c r="AI374" s="26">
        <v>0</v>
      </c>
      <c r="AJ374" s="26">
        <v>0</v>
      </c>
      <c r="AK374" s="26">
        <v>0</v>
      </c>
      <c r="AL374" s="26" t="s">
        <v>64</v>
      </c>
      <c r="AM374" s="26">
        <v>3</v>
      </c>
      <c r="AN374" s="26">
        <v>187</v>
      </c>
      <c r="AO374" s="26" t="s">
        <v>65</v>
      </c>
      <c r="AP374" s="26">
        <v>37</v>
      </c>
      <c r="AQ374" s="26">
        <v>1</v>
      </c>
      <c r="AR374" s="26">
        <v>2506784</v>
      </c>
      <c r="AS374" s="26" t="s">
        <v>118</v>
      </c>
      <c r="AT374" s="26" t="s">
        <v>392</v>
      </c>
      <c r="AU374" s="29" t="s">
        <v>118</v>
      </c>
    </row>
    <row r="375" spans="1:47" x14ac:dyDescent="0.25">
      <c r="A375" s="7">
        <f>+CONCATENATE(DAY(V375),"/",MONTH(V375),"/",YEAR(V375),"")*1</f>
        <v>46169</v>
      </c>
      <c r="B375" s="23">
        <f>+Z375*1</f>
        <v>1126144728</v>
      </c>
      <c r="C375" s="21" t="str">
        <f>+AA375</f>
        <v>ENTRANTE</v>
      </c>
      <c r="D375" s="3" t="str">
        <f>VLOOKUP(Q375,Code!E:F,2,0)</f>
        <v>Admisiones</v>
      </c>
      <c r="E375" s="3" t="s">
        <v>55</v>
      </c>
      <c r="F375" s="3">
        <f>+AP375</f>
        <v>37</v>
      </c>
      <c r="G375" s="3">
        <f>+S375</f>
        <v>26</v>
      </c>
      <c r="H375" s="22">
        <f>+HOUR(V375)</f>
        <v>9</v>
      </c>
      <c r="I375" s="22">
        <f>IFERROR(VLOOKUP(B375,MATRICULAS!A:B,2,0),0)*1</f>
        <v>0</v>
      </c>
      <c r="J375" s="27">
        <v>20260527</v>
      </c>
      <c r="K375" s="27">
        <v>149366118</v>
      </c>
      <c r="L375" s="27" t="s">
        <v>134</v>
      </c>
      <c r="M375" s="27" t="s">
        <v>56</v>
      </c>
      <c r="N375" s="27">
        <v>0</v>
      </c>
      <c r="O375" s="27">
        <v>0</v>
      </c>
      <c r="P375" s="27" t="s">
        <v>57</v>
      </c>
      <c r="Q375" s="27">
        <v>150</v>
      </c>
      <c r="R375" s="27" t="s">
        <v>127</v>
      </c>
      <c r="S375" s="27">
        <v>26</v>
      </c>
      <c r="T375" s="27" t="s">
        <v>58</v>
      </c>
      <c r="U375" s="27" t="s">
        <v>59</v>
      </c>
      <c r="V375" s="30">
        <v>46169.3909375</v>
      </c>
      <c r="W375" s="30">
        <v>46169.3909375</v>
      </c>
      <c r="X375" s="30">
        <v>46169.39571759259</v>
      </c>
      <c r="Y375" s="27" t="s">
        <v>117</v>
      </c>
      <c r="Z375" s="27" t="s">
        <v>393</v>
      </c>
      <c r="AA375" s="27" t="s">
        <v>53</v>
      </c>
      <c r="AB375" s="27" t="s">
        <v>60</v>
      </c>
      <c r="AC375" s="27" t="s">
        <v>394</v>
      </c>
      <c r="AD375" s="27" t="s">
        <v>118</v>
      </c>
      <c r="AE375" s="27" t="s">
        <v>66</v>
      </c>
      <c r="AF375" s="27" t="s">
        <v>67</v>
      </c>
      <c r="AG375" s="27" t="s">
        <v>67</v>
      </c>
      <c r="AH375" s="27">
        <v>0</v>
      </c>
      <c r="AI375" s="27">
        <v>0</v>
      </c>
      <c r="AJ375" s="27">
        <v>0</v>
      </c>
      <c r="AK375" s="27">
        <v>0</v>
      </c>
      <c r="AL375" s="27" t="s">
        <v>64</v>
      </c>
      <c r="AM375" s="27">
        <v>3</v>
      </c>
      <c r="AN375" s="27">
        <v>413</v>
      </c>
      <c r="AO375" s="27" t="s">
        <v>65</v>
      </c>
      <c r="AP375" s="27">
        <v>37</v>
      </c>
      <c r="AQ375" s="27">
        <v>1</v>
      </c>
      <c r="AR375" s="27">
        <v>2506785</v>
      </c>
      <c r="AS375" s="27" t="s">
        <v>118</v>
      </c>
      <c r="AT375" s="27" t="s">
        <v>395</v>
      </c>
      <c r="AU375" s="31" t="s">
        <v>118</v>
      </c>
    </row>
    <row r="376" spans="1:47" x14ac:dyDescent="0.25">
      <c r="A376" s="7">
        <f>+CONCATENATE(DAY(V376),"/",MONTH(V376),"/",YEAR(V376),"")*1</f>
        <v>46170</v>
      </c>
      <c r="B376" s="23">
        <f>+Z376*1</f>
        <v>1133311989</v>
      </c>
      <c r="C376" s="21" t="str">
        <f>+AA376</f>
        <v>ENTRANTE</v>
      </c>
      <c r="D376" s="3" t="str">
        <f>VLOOKUP(Q376,Code!E:F,2,0)</f>
        <v>Admisiones</v>
      </c>
      <c r="E376" s="3" t="s">
        <v>55</v>
      </c>
      <c r="F376" s="3">
        <f>+AP376</f>
        <v>37</v>
      </c>
      <c r="G376" s="3">
        <f>+S376</f>
        <v>27</v>
      </c>
      <c r="H376" s="22">
        <f>+HOUR(V376)</f>
        <v>17</v>
      </c>
      <c r="I376" s="22">
        <f>IFERROR(VLOOKUP(B376,MATRICULAS!A:B,2,0),0)*1</f>
        <v>0</v>
      </c>
      <c r="J376" s="26">
        <v>20260528</v>
      </c>
      <c r="K376" s="26">
        <v>149389275</v>
      </c>
      <c r="L376" s="26" t="s">
        <v>134</v>
      </c>
      <c r="M376" s="26" t="s">
        <v>56</v>
      </c>
      <c r="N376" s="26">
        <v>0</v>
      </c>
      <c r="O376" s="26">
        <v>0</v>
      </c>
      <c r="P376" s="26" t="s">
        <v>57</v>
      </c>
      <c r="Q376" s="26">
        <v>150</v>
      </c>
      <c r="R376" s="26" t="s">
        <v>163</v>
      </c>
      <c r="S376" s="26">
        <v>27</v>
      </c>
      <c r="T376" s="26" t="s">
        <v>58</v>
      </c>
      <c r="U376" s="26" t="s">
        <v>59</v>
      </c>
      <c r="V376" s="28">
        <v>46170.733217592591</v>
      </c>
      <c r="W376" s="28">
        <v>46170.733217592591</v>
      </c>
      <c r="X376" s="28">
        <v>46170.761678240742</v>
      </c>
      <c r="Y376" s="26" t="s">
        <v>117</v>
      </c>
      <c r="Z376" s="26" t="s">
        <v>266</v>
      </c>
      <c r="AA376" s="26" t="s">
        <v>53</v>
      </c>
      <c r="AB376" s="26" t="s">
        <v>60</v>
      </c>
      <c r="AC376" s="26" t="s">
        <v>267</v>
      </c>
      <c r="AD376" s="26" t="s">
        <v>118</v>
      </c>
      <c r="AE376" s="26" t="s">
        <v>61</v>
      </c>
      <c r="AF376" s="26" t="s">
        <v>62</v>
      </c>
      <c r="AG376" s="26" t="s">
        <v>63</v>
      </c>
      <c r="AH376" s="26">
        <v>0</v>
      </c>
      <c r="AI376" s="26">
        <v>0</v>
      </c>
      <c r="AJ376" s="26">
        <v>0</v>
      </c>
      <c r="AK376" s="26">
        <v>0</v>
      </c>
      <c r="AL376" s="26" t="s">
        <v>64</v>
      </c>
      <c r="AM376" s="26">
        <v>3</v>
      </c>
      <c r="AN376" s="26">
        <v>2459</v>
      </c>
      <c r="AO376" s="26" t="s">
        <v>65</v>
      </c>
      <c r="AP376" s="26">
        <v>37</v>
      </c>
      <c r="AQ376" s="26">
        <v>0</v>
      </c>
      <c r="AR376" s="26">
        <v>0</v>
      </c>
      <c r="AS376" s="26" t="s">
        <v>118</v>
      </c>
      <c r="AT376" s="26" t="s">
        <v>268</v>
      </c>
      <c r="AU376" s="29" t="s">
        <v>118</v>
      </c>
    </row>
    <row r="377" spans="1:47" x14ac:dyDescent="0.25">
      <c r="A377" s="7">
        <f>+CONCATENATE(DAY(V377),"/",MONTH(V377),"/",YEAR(V377),"")*1</f>
        <v>46170</v>
      </c>
      <c r="B377" s="23">
        <f>+Z377*1</f>
        <v>1156144228</v>
      </c>
      <c r="C377" s="21" t="str">
        <f>+AA377</f>
        <v>ENTRANTE</v>
      </c>
      <c r="D377" s="3" t="str">
        <f>VLOOKUP(Q377,Code!E:F,2,0)</f>
        <v>Admisiones</v>
      </c>
      <c r="E377" s="3" t="s">
        <v>55</v>
      </c>
      <c r="F377" s="3">
        <f>+AP377</f>
        <v>37</v>
      </c>
      <c r="G377" s="3">
        <f>+S377</f>
        <v>27</v>
      </c>
      <c r="H377" s="22">
        <f>+HOUR(V377)</f>
        <v>17</v>
      </c>
      <c r="I377" s="22">
        <f>IFERROR(VLOOKUP(B377,MATRICULAS!A:B,2,0),0)*1</f>
        <v>1</v>
      </c>
      <c r="J377" s="27">
        <v>20260528</v>
      </c>
      <c r="K377" s="27">
        <v>149389023</v>
      </c>
      <c r="L377" s="27" t="s">
        <v>134</v>
      </c>
      <c r="M377" s="27" t="s">
        <v>56</v>
      </c>
      <c r="N377" s="27">
        <v>0</v>
      </c>
      <c r="O377" s="27">
        <v>0</v>
      </c>
      <c r="P377" s="27" t="s">
        <v>57</v>
      </c>
      <c r="Q377" s="27">
        <v>150</v>
      </c>
      <c r="R377" s="27" t="s">
        <v>174</v>
      </c>
      <c r="S377" s="27">
        <v>27</v>
      </c>
      <c r="T377" s="27" t="s">
        <v>58</v>
      </c>
      <c r="U377" s="27" t="s">
        <v>59</v>
      </c>
      <c r="V377" s="30">
        <v>46170.723946759259</v>
      </c>
      <c r="W377" s="30">
        <v>46170.723946759259</v>
      </c>
      <c r="X377" s="30">
        <v>46170.728460648148</v>
      </c>
      <c r="Y377" s="27" t="s">
        <v>117</v>
      </c>
      <c r="Z377" s="27" t="s">
        <v>269</v>
      </c>
      <c r="AA377" s="27" t="s">
        <v>53</v>
      </c>
      <c r="AB377" s="27" t="s">
        <v>60</v>
      </c>
      <c r="AC377" s="27" t="s">
        <v>270</v>
      </c>
      <c r="AD377" s="27" t="s">
        <v>118</v>
      </c>
      <c r="AE377" s="27" t="s">
        <v>61</v>
      </c>
      <c r="AF377" s="27" t="s">
        <v>62</v>
      </c>
      <c r="AG377" s="27" t="s">
        <v>63</v>
      </c>
      <c r="AH377" s="27">
        <v>0</v>
      </c>
      <c r="AI377" s="27">
        <v>0</v>
      </c>
      <c r="AJ377" s="27">
        <v>0</v>
      </c>
      <c r="AK377" s="27">
        <v>0</v>
      </c>
      <c r="AL377" s="27" t="s">
        <v>64</v>
      </c>
      <c r="AM377" s="27">
        <v>3</v>
      </c>
      <c r="AN377" s="27">
        <v>391</v>
      </c>
      <c r="AO377" s="27" t="s">
        <v>65</v>
      </c>
      <c r="AP377" s="27">
        <v>37</v>
      </c>
      <c r="AQ377" s="27">
        <v>202</v>
      </c>
      <c r="AR377" s="27">
        <v>2503297</v>
      </c>
      <c r="AS377" s="27" t="s">
        <v>118</v>
      </c>
      <c r="AT377" s="27" t="s">
        <v>271</v>
      </c>
      <c r="AU377" s="31" t="s">
        <v>118</v>
      </c>
    </row>
    <row r="378" spans="1:47" x14ac:dyDescent="0.25">
      <c r="A378" s="7">
        <f>+CONCATENATE(DAY(V378),"/",MONTH(V378),"/",YEAR(V378),"")*1</f>
        <v>46170</v>
      </c>
      <c r="B378" s="23">
        <f>+Z378*1</f>
        <v>1128614148</v>
      </c>
      <c r="C378" s="21" t="str">
        <f>+AA378</f>
        <v>ENTRANTE</v>
      </c>
      <c r="D378" s="3" t="str">
        <f>VLOOKUP(Q378,Code!E:F,2,0)</f>
        <v>Admisiones</v>
      </c>
      <c r="E378" s="3" t="s">
        <v>55</v>
      </c>
      <c r="F378" s="3">
        <f>+AP378</f>
        <v>37</v>
      </c>
      <c r="G378" s="3">
        <f>+S378</f>
        <v>27</v>
      </c>
      <c r="H378" s="22">
        <f>+HOUR(V378)</f>
        <v>17</v>
      </c>
      <c r="I378" s="22">
        <f>IFERROR(VLOOKUP(B378,MATRICULAS!A:B,2,0),0)*1</f>
        <v>0</v>
      </c>
      <c r="J378" s="26">
        <v>20260528</v>
      </c>
      <c r="K378" s="26">
        <v>149388828</v>
      </c>
      <c r="L378" s="26" t="s">
        <v>134</v>
      </c>
      <c r="M378" s="26" t="s">
        <v>56</v>
      </c>
      <c r="N378" s="26">
        <v>0</v>
      </c>
      <c r="O378" s="26">
        <v>0</v>
      </c>
      <c r="P378" s="26" t="s">
        <v>57</v>
      </c>
      <c r="Q378" s="26">
        <v>150</v>
      </c>
      <c r="R378" s="26" t="s">
        <v>206</v>
      </c>
      <c r="S378" s="26">
        <v>27</v>
      </c>
      <c r="T378" s="26" t="s">
        <v>58</v>
      </c>
      <c r="U378" s="26" t="s">
        <v>59</v>
      </c>
      <c r="V378" s="28">
        <v>46170.71570601852</v>
      </c>
      <c r="W378" s="28">
        <v>46170.715717592589</v>
      </c>
      <c r="X378" s="28">
        <v>46170.725983796299</v>
      </c>
      <c r="Y378" s="26" t="s">
        <v>117</v>
      </c>
      <c r="Z378" s="26" t="s">
        <v>272</v>
      </c>
      <c r="AA378" s="26" t="s">
        <v>53</v>
      </c>
      <c r="AB378" s="26" t="s">
        <v>60</v>
      </c>
      <c r="AC378" s="26" t="s">
        <v>273</v>
      </c>
      <c r="AD378" s="26" t="s">
        <v>118</v>
      </c>
      <c r="AE378" s="26" t="s">
        <v>66</v>
      </c>
      <c r="AF378" s="26" t="s">
        <v>67</v>
      </c>
      <c r="AG378" s="26" t="s">
        <v>67</v>
      </c>
      <c r="AH378" s="26">
        <v>0</v>
      </c>
      <c r="AI378" s="26">
        <v>0</v>
      </c>
      <c r="AJ378" s="26">
        <v>0</v>
      </c>
      <c r="AK378" s="26">
        <v>0</v>
      </c>
      <c r="AL378" s="26" t="s">
        <v>64</v>
      </c>
      <c r="AM378" s="26">
        <v>3</v>
      </c>
      <c r="AN378" s="26">
        <v>888</v>
      </c>
      <c r="AO378" s="26" t="s">
        <v>65</v>
      </c>
      <c r="AP378" s="26">
        <v>37</v>
      </c>
      <c r="AQ378" s="26">
        <v>201</v>
      </c>
      <c r="AR378" s="26">
        <v>2507767</v>
      </c>
      <c r="AS378" s="26" t="s">
        <v>118</v>
      </c>
      <c r="AT378" s="26" t="s">
        <v>274</v>
      </c>
      <c r="AU378" s="29" t="s">
        <v>118</v>
      </c>
    </row>
    <row r="379" spans="1:47" x14ac:dyDescent="0.25">
      <c r="A379" s="7">
        <f>+CONCATENATE(DAY(V379),"/",MONTH(V379),"/",YEAR(V379),"")*1</f>
        <v>46170</v>
      </c>
      <c r="B379" s="23">
        <f>+Z379*1</f>
        <v>2996568948</v>
      </c>
      <c r="C379" s="21" t="str">
        <f>+AA379</f>
        <v>ENTRANTE</v>
      </c>
      <c r="D379" s="3" t="str">
        <f>VLOOKUP(Q379,Code!E:F,2,0)</f>
        <v>Admisiones</v>
      </c>
      <c r="E379" s="3" t="s">
        <v>55</v>
      </c>
      <c r="F379" s="3">
        <f>+AP379</f>
        <v>37</v>
      </c>
      <c r="G379" s="3">
        <f>+S379</f>
        <v>27</v>
      </c>
      <c r="H379" s="22">
        <f>+HOUR(V379)</f>
        <v>16</v>
      </c>
      <c r="I379" s="22">
        <f>IFERROR(VLOOKUP(B379,MATRICULAS!A:B,2,0),0)*1</f>
        <v>0</v>
      </c>
      <c r="J379" s="27">
        <v>20260528</v>
      </c>
      <c r="K379" s="27">
        <v>149388556</v>
      </c>
      <c r="L379" s="27" t="s">
        <v>134</v>
      </c>
      <c r="M379" s="27" t="s">
        <v>56</v>
      </c>
      <c r="N379" s="27">
        <v>0</v>
      </c>
      <c r="O379" s="27">
        <v>0</v>
      </c>
      <c r="P379" s="27" t="s">
        <v>57</v>
      </c>
      <c r="Q379" s="27">
        <v>150</v>
      </c>
      <c r="R379" s="27" t="s">
        <v>206</v>
      </c>
      <c r="S379" s="27">
        <v>27</v>
      </c>
      <c r="T379" s="27" t="s">
        <v>58</v>
      </c>
      <c r="U379" s="27" t="s">
        <v>59</v>
      </c>
      <c r="V379" s="30">
        <v>46170.705023148148</v>
      </c>
      <c r="W379" s="30">
        <v>46170.705023148148</v>
      </c>
      <c r="X379" s="30">
        <v>46170.706550925926</v>
      </c>
      <c r="Y379" s="27" t="s">
        <v>117</v>
      </c>
      <c r="Z379" s="27" t="s">
        <v>275</v>
      </c>
      <c r="AA379" s="27" t="s">
        <v>53</v>
      </c>
      <c r="AB379" s="27" t="s">
        <v>60</v>
      </c>
      <c r="AC379" s="27" t="s">
        <v>276</v>
      </c>
      <c r="AD379" s="27" t="s">
        <v>118</v>
      </c>
      <c r="AE379" s="27" t="s">
        <v>70</v>
      </c>
      <c r="AF379" s="27" t="s">
        <v>154</v>
      </c>
      <c r="AG379" s="27" t="s">
        <v>154</v>
      </c>
      <c r="AH379" s="27">
        <v>0</v>
      </c>
      <c r="AI379" s="27">
        <v>0</v>
      </c>
      <c r="AJ379" s="27">
        <v>0</v>
      </c>
      <c r="AK379" s="27">
        <v>0</v>
      </c>
      <c r="AL379" s="27" t="s">
        <v>64</v>
      </c>
      <c r="AM379" s="27">
        <v>3</v>
      </c>
      <c r="AN379" s="27">
        <v>132</v>
      </c>
      <c r="AO379" s="27" t="s">
        <v>65</v>
      </c>
      <c r="AP379" s="27">
        <v>37</v>
      </c>
      <c r="AQ379" s="27">
        <v>202</v>
      </c>
      <c r="AR379" s="27">
        <v>2507714</v>
      </c>
      <c r="AS379" s="27" t="s">
        <v>118</v>
      </c>
      <c r="AT379" s="27" t="s">
        <v>277</v>
      </c>
      <c r="AU379" s="31" t="s">
        <v>118</v>
      </c>
    </row>
    <row r="380" spans="1:47" x14ac:dyDescent="0.25">
      <c r="A380" s="7">
        <f>+CONCATENATE(DAY(V380),"/",MONTH(V380),"/",YEAR(V380),"")*1</f>
        <v>46170</v>
      </c>
      <c r="B380" s="23">
        <f>+Z380*1</f>
        <v>1160269326</v>
      </c>
      <c r="C380" s="21" t="str">
        <f>+AA380</f>
        <v>ENTRANTE</v>
      </c>
      <c r="D380" s="3" t="str">
        <f>VLOOKUP(Q380,Code!E:F,2,0)</f>
        <v>Admisiones</v>
      </c>
      <c r="E380" s="3" t="s">
        <v>55</v>
      </c>
      <c r="F380" s="3">
        <f>+AP380</f>
        <v>37</v>
      </c>
      <c r="G380" s="3">
        <f>+S380</f>
        <v>27</v>
      </c>
      <c r="H380" s="22">
        <f>+HOUR(V380)</f>
        <v>16</v>
      </c>
      <c r="I380" s="22">
        <f>IFERROR(VLOOKUP(B380,MATRICULAS!A:B,2,0),0)*1</f>
        <v>0</v>
      </c>
      <c r="J380" s="26">
        <v>20260528</v>
      </c>
      <c r="K380" s="26">
        <v>149388240</v>
      </c>
      <c r="L380" s="26" t="s">
        <v>134</v>
      </c>
      <c r="M380" s="26" t="s">
        <v>56</v>
      </c>
      <c r="N380" s="26">
        <v>0</v>
      </c>
      <c r="O380" s="26">
        <v>0</v>
      </c>
      <c r="P380" s="26" t="s">
        <v>57</v>
      </c>
      <c r="Q380" s="26">
        <v>150</v>
      </c>
      <c r="R380" s="26" t="s">
        <v>206</v>
      </c>
      <c r="S380" s="26">
        <v>27</v>
      </c>
      <c r="T380" s="26" t="s">
        <v>58</v>
      </c>
      <c r="U380" s="26" t="s">
        <v>59</v>
      </c>
      <c r="V380" s="28">
        <v>46170.693958333337</v>
      </c>
      <c r="W380" s="28">
        <v>46170.693958333337</v>
      </c>
      <c r="X380" s="28">
        <v>46170.704641203702</v>
      </c>
      <c r="Y380" s="26" t="s">
        <v>117</v>
      </c>
      <c r="Z380" s="26" t="s">
        <v>278</v>
      </c>
      <c r="AA380" s="26" t="s">
        <v>53</v>
      </c>
      <c r="AB380" s="26" t="s">
        <v>60</v>
      </c>
      <c r="AC380" s="26" t="s">
        <v>279</v>
      </c>
      <c r="AD380" s="26" t="s">
        <v>118</v>
      </c>
      <c r="AE380" s="26" t="s">
        <v>61</v>
      </c>
      <c r="AF380" s="26" t="s">
        <v>62</v>
      </c>
      <c r="AG380" s="26" t="s">
        <v>63</v>
      </c>
      <c r="AH380" s="26">
        <v>0</v>
      </c>
      <c r="AI380" s="26">
        <v>0</v>
      </c>
      <c r="AJ380" s="26">
        <v>0</v>
      </c>
      <c r="AK380" s="26">
        <v>0</v>
      </c>
      <c r="AL380" s="26" t="s">
        <v>64</v>
      </c>
      <c r="AM380" s="26">
        <v>3</v>
      </c>
      <c r="AN380" s="26">
        <v>923</v>
      </c>
      <c r="AO380" s="26" t="s">
        <v>65</v>
      </c>
      <c r="AP380" s="26">
        <v>37</v>
      </c>
      <c r="AQ380" s="26">
        <v>202</v>
      </c>
      <c r="AR380" s="26">
        <v>2507601</v>
      </c>
      <c r="AS380" s="26" t="s">
        <v>118</v>
      </c>
      <c r="AT380" s="26" t="s">
        <v>280</v>
      </c>
      <c r="AU380" s="29" t="s">
        <v>118</v>
      </c>
    </row>
    <row r="381" spans="1:47" x14ac:dyDescent="0.25">
      <c r="A381" s="7">
        <f>+CONCATENATE(DAY(V381),"/",MONTH(V381),"/",YEAR(V381),"")*1</f>
        <v>46170</v>
      </c>
      <c r="B381" s="23">
        <f>+Z381*1</f>
        <v>1143633800</v>
      </c>
      <c r="C381" s="21" t="str">
        <f>+AA381</f>
        <v>ENTRANTE</v>
      </c>
      <c r="D381" s="3" t="str">
        <f>VLOOKUP(Q381,Code!E:F,2,0)</f>
        <v>Admisiones</v>
      </c>
      <c r="E381" s="3" t="s">
        <v>55</v>
      </c>
      <c r="F381" s="3">
        <f>+AP381</f>
        <v>37</v>
      </c>
      <c r="G381" s="3">
        <f>+S381</f>
        <v>27</v>
      </c>
      <c r="H381" s="22">
        <f>+HOUR(V381)</f>
        <v>15</v>
      </c>
      <c r="I381" s="22">
        <f>IFERROR(VLOOKUP(B381,MATRICULAS!A:B,2,0),0)*1</f>
        <v>0</v>
      </c>
      <c r="J381" s="27">
        <v>20260528</v>
      </c>
      <c r="K381" s="27">
        <v>149386614</v>
      </c>
      <c r="L381" s="27" t="s">
        <v>134</v>
      </c>
      <c r="M381" s="27" t="s">
        <v>56</v>
      </c>
      <c r="N381" s="27">
        <v>0</v>
      </c>
      <c r="O381" s="27">
        <v>0</v>
      </c>
      <c r="P381" s="27" t="s">
        <v>57</v>
      </c>
      <c r="Q381" s="27">
        <v>150</v>
      </c>
      <c r="R381" s="27" t="s">
        <v>206</v>
      </c>
      <c r="S381" s="27">
        <v>27</v>
      </c>
      <c r="T381" s="27" t="s">
        <v>58</v>
      </c>
      <c r="U381" s="27" t="s">
        <v>59</v>
      </c>
      <c r="V381" s="30">
        <v>46170.633796296293</v>
      </c>
      <c r="W381" s="30">
        <v>46170.633796296293</v>
      </c>
      <c r="X381" s="30">
        <v>46170.636458333334</v>
      </c>
      <c r="Y381" s="27" t="s">
        <v>117</v>
      </c>
      <c r="Z381" s="27" t="s">
        <v>281</v>
      </c>
      <c r="AA381" s="27" t="s">
        <v>53</v>
      </c>
      <c r="AB381" s="27" t="s">
        <v>60</v>
      </c>
      <c r="AC381" s="27" t="s">
        <v>282</v>
      </c>
      <c r="AD381" s="27" t="s">
        <v>118</v>
      </c>
      <c r="AE381" s="27" t="s">
        <v>66</v>
      </c>
      <c r="AF381" s="27" t="s">
        <v>67</v>
      </c>
      <c r="AG381" s="27" t="s">
        <v>67</v>
      </c>
      <c r="AH381" s="27">
        <v>0</v>
      </c>
      <c r="AI381" s="27">
        <v>0</v>
      </c>
      <c r="AJ381" s="27">
        <v>0</v>
      </c>
      <c r="AK381" s="27">
        <v>0</v>
      </c>
      <c r="AL381" s="27" t="s">
        <v>64</v>
      </c>
      <c r="AM381" s="27">
        <v>3</v>
      </c>
      <c r="AN381" s="27">
        <v>231</v>
      </c>
      <c r="AO381" s="27" t="s">
        <v>65</v>
      </c>
      <c r="AP381" s="27">
        <v>37</v>
      </c>
      <c r="AQ381" s="27">
        <v>0</v>
      </c>
      <c r="AR381" s="27">
        <v>0</v>
      </c>
      <c r="AS381" s="27" t="s">
        <v>118</v>
      </c>
      <c r="AT381" s="27" t="s">
        <v>283</v>
      </c>
      <c r="AU381" s="31" t="s">
        <v>118</v>
      </c>
    </row>
    <row r="382" spans="1:47" x14ac:dyDescent="0.25">
      <c r="A382" s="7">
        <f>+CONCATENATE(DAY(V382),"/",MONTH(V382),"/",YEAR(V382),"")*1</f>
        <v>46170</v>
      </c>
      <c r="B382" s="23">
        <f>+Z382*1</f>
        <v>1158624619</v>
      </c>
      <c r="C382" s="21" t="str">
        <f>+AA382</f>
        <v>ENTRANTE</v>
      </c>
      <c r="D382" s="3" t="str">
        <f>VLOOKUP(Q382,Code!E:F,2,0)</f>
        <v>Admisiones</v>
      </c>
      <c r="E382" s="3" t="s">
        <v>55</v>
      </c>
      <c r="F382" s="3">
        <f>+AP382</f>
        <v>37</v>
      </c>
      <c r="G382" s="3">
        <f>+S382</f>
        <v>26</v>
      </c>
      <c r="H382" s="22">
        <f>+HOUR(V382)</f>
        <v>14</v>
      </c>
      <c r="I382" s="22">
        <f>IFERROR(VLOOKUP(B382,MATRICULAS!A:B,2,0),0)*1</f>
        <v>0</v>
      </c>
      <c r="J382" s="26">
        <v>20260528</v>
      </c>
      <c r="K382" s="26">
        <v>149386440</v>
      </c>
      <c r="L382" s="26" t="s">
        <v>134</v>
      </c>
      <c r="M382" s="26" t="s">
        <v>56</v>
      </c>
      <c r="N382" s="26">
        <v>0</v>
      </c>
      <c r="O382" s="26">
        <v>0</v>
      </c>
      <c r="P382" s="26" t="s">
        <v>57</v>
      </c>
      <c r="Q382" s="26">
        <v>150</v>
      </c>
      <c r="R382" s="26" t="s">
        <v>153</v>
      </c>
      <c r="S382" s="26">
        <v>26</v>
      </c>
      <c r="T382" s="26" t="s">
        <v>58</v>
      </c>
      <c r="U382" s="26" t="s">
        <v>59</v>
      </c>
      <c r="V382" s="28">
        <v>46170.624502314815</v>
      </c>
      <c r="W382" s="28">
        <v>46170.624513888892</v>
      </c>
      <c r="X382" s="28">
        <v>46170.629340277781</v>
      </c>
      <c r="Y382" s="26" t="s">
        <v>117</v>
      </c>
      <c r="Z382" s="26" t="s">
        <v>284</v>
      </c>
      <c r="AA382" s="26" t="s">
        <v>53</v>
      </c>
      <c r="AB382" s="26" t="s">
        <v>60</v>
      </c>
      <c r="AC382" s="26" t="s">
        <v>285</v>
      </c>
      <c r="AD382" s="26" t="s">
        <v>118</v>
      </c>
      <c r="AE382" s="26" t="s">
        <v>61</v>
      </c>
      <c r="AF382" s="26" t="s">
        <v>62</v>
      </c>
      <c r="AG382" s="26" t="s">
        <v>63</v>
      </c>
      <c r="AH382" s="26">
        <v>0</v>
      </c>
      <c r="AI382" s="26">
        <v>0</v>
      </c>
      <c r="AJ382" s="26">
        <v>0</v>
      </c>
      <c r="AK382" s="26">
        <v>0</v>
      </c>
      <c r="AL382" s="26" t="s">
        <v>64</v>
      </c>
      <c r="AM382" s="26">
        <v>3</v>
      </c>
      <c r="AN382" s="26">
        <v>417</v>
      </c>
      <c r="AO382" s="26" t="s">
        <v>65</v>
      </c>
      <c r="AP382" s="26">
        <v>37</v>
      </c>
      <c r="AQ382" s="26">
        <v>1</v>
      </c>
      <c r="AR382" s="26">
        <v>2508095</v>
      </c>
      <c r="AS382" s="26" t="s">
        <v>286</v>
      </c>
      <c r="AT382" s="26" t="s">
        <v>287</v>
      </c>
      <c r="AU382" s="29" t="s">
        <v>118</v>
      </c>
    </row>
    <row r="383" spans="1:47" x14ac:dyDescent="0.25">
      <c r="A383" s="7">
        <f>+CONCATENATE(DAY(V383),"/",MONTH(V383),"/",YEAR(V383),"")*1</f>
        <v>46170</v>
      </c>
      <c r="B383" s="23">
        <f>+Z383*1</f>
        <v>1122840350</v>
      </c>
      <c r="C383" s="21" t="str">
        <f>+AA383</f>
        <v>ENTRANTE</v>
      </c>
      <c r="D383" s="3" t="str">
        <f>VLOOKUP(Q383,Code!E:F,2,0)</f>
        <v>Admisiones</v>
      </c>
      <c r="E383" s="3" t="s">
        <v>55</v>
      </c>
      <c r="F383" s="3">
        <f>+AP383</f>
        <v>37</v>
      </c>
      <c r="G383" s="3">
        <f>+S383</f>
        <v>26</v>
      </c>
      <c r="H383" s="22">
        <f>+HOUR(V383)</f>
        <v>14</v>
      </c>
      <c r="I383" s="22">
        <f>IFERROR(VLOOKUP(B383,MATRICULAS!A:B,2,0),0)*1</f>
        <v>0</v>
      </c>
      <c r="J383" s="27">
        <v>20260528</v>
      </c>
      <c r="K383" s="27">
        <v>149386358</v>
      </c>
      <c r="L383" s="27" t="s">
        <v>134</v>
      </c>
      <c r="M383" s="27" t="s">
        <v>56</v>
      </c>
      <c r="N383" s="27">
        <v>0</v>
      </c>
      <c r="O383" s="27">
        <v>0</v>
      </c>
      <c r="P383" s="27" t="s">
        <v>57</v>
      </c>
      <c r="Q383" s="27">
        <v>150</v>
      </c>
      <c r="R383" s="27" t="s">
        <v>145</v>
      </c>
      <c r="S383" s="27">
        <v>26</v>
      </c>
      <c r="T383" s="27" t="s">
        <v>58</v>
      </c>
      <c r="U383" s="27" t="s">
        <v>59</v>
      </c>
      <c r="V383" s="30">
        <v>46170.62222222222</v>
      </c>
      <c r="W383" s="30">
        <v>46170.62222222222</v>
      </c>
      <c r="X383" s="30">
        <v>46170.629699074074</v>
      </c>
      <c r="Y383" s="27" t="s">
        <v>117</v>
      </c>
      <c r="Z383" s="27" t="s">
        <v>288</v>
      </c>
      <c r="AA383" s="27" t="s">
        <v>53</v>
      </c>
      <c r="AB383" s="27" t="s">
        <v>60</v>
      </c>
      <c r="AC383" s="27" t="s">
        <v>289</v>
      </c>
      <c r="AD383" s="27" t="s">
        <v>118</v>
      </c>
      <c r="AE383" s="27" t="s">
        <v>66</v>
      </c>
      <c r="AF383" s="27" t="s">
        <v>67</v>
      </c>
      <c r="AG383" s="27" t="s">
        <v>67</v>
      </c>
      <c r="AH383" s="27">
        <v>0</v>
      </c>
      <c r="AI383" s="27">
        <v>0</v>
      </c>
      <c r="AJ383" s="27">
        <v>0</v>
      </c>
      <c r="AK383" s="27">
        <v>0</v>
      </c>
      <c r="AL383" s="27" t="s">
        <v>64</v>
      </c>
      <c r="AM383" s="27">
        <v>3</v>
      </c>
      <c r="AN383" s="27">
        <v>647</v>
      </c>
      <c r="AO383" s="27" t="s">
        <v>65</v>
      </c>
      <c r="AP383" s="27">
        <v>37</v>
      </c>
      <c r="AQ383" s="27">
        <v>1</v>
      </c>
      <c r="AR383" s="27">
        <v>2508090</v>
      </c>
      <c r="AS383" s="27" t="s">
        <v>118</v>
      </c>
      <c r="AT383" s="27" t="s">
        <v>290</v>
      </c>
      <c r="AU383" s="31" t="s">
        <v>118</v>
      </c>
    </row>
    <row r="384" spans="1:47" x14ac:dyDescent="0.25">
      <c r="A384" s="7">
        <f>+CONCATENATE(DAY(V384),"/",MONTH(V384),"/",YEAR(V384),"")*1</f>
        <v>46170</v>
      </c>
      <c r="B384" s="23">
        <f>+Z384*1</f>
        <v>2984120341</v>
      </c>
      <c r="C384" s="21" t="str">
        <f>+AA384</f>
        <v>ENTRANTE</v>
      </c>
      <c r="D384" s="3" t="str">
        <f>VLOOKUP(Q384,Code!E:F,2,0)</f>
        <v>Admisiones</v>
      </c>
      <c r="E384" s="3" t="s">
        <v>55</v>
      </c>
      <c r="F384" s="3">
        <f>+AP384</f>
        <v>37</v>
      </c>
      <c r="G384" s="3">
        <f>+S384</f>
        <v>26</v>
      </c>
      <c r="H384" s="22">
        <f>+HOUR(V384)</f>
        <v>13</v>
      </c>
      <c r="I384" s="22">
        <f>IFERROR(VLOOKUP(B384,MATRICULAS!A:B,2,0),0)*1</f>
        <v>1</v>
      </c>
      <c r="J384" s="26">
        <v>20260528</v>
      </c>
      <c r="K384" s="26">
        <v>149385229</v>
      </c>
      <c r="L384" s="26" t="s">
        <v>134</v>
      </c>
      <c r="M384" s="26" t="s">
        <v>56</v>
      </c>
      <c r="N384" s="26">
        <v>0</v>
      </c>
      <c r="O384" s="26">
        <v>0</v>
      </c>
      <c r="P384" s="26" t="s">
        <v>57</v>
      </c>
      <c r="Q384" s="26">
        <v>150</v>
      </c>
      <c r="R384" s="26" t="s">
        <v>127</v>
      </c>
      <c r="S384" s="26">
        <v>26</v>
      </c>
      <c r="T384" s="26" t="s">
        <v>58</v>
      </c>
      <c r="U384" s="26" t="s">
        <v>59</v>
      </c>
      <c r="V384" s="28">
        <v>46170.579942129632</v>
      </c>
      <c r="W384" s="28">
        <v>46170.579942129632</v>
      </c>
      <c r="X384" s="28">
        <v>46170.585127314815</v>
      </c>
      <c r="Y384" s="26" t="s">
        <v>117</v>
      </c>
      <c r="Z384" s="26" t="s">
        <v>291</v>
      </c>
      <c r="AA384" s="26" t="s">
        <v>53</v>
      </c>
      <c r="AB384" s="26" t="s">
        <v>60</v>
      </c>
      <c r="AC384" s="26" t="s">
        <v>292</v>
      </c>
      <c r="AD384" s="26" t="s">
        <v>118</v>
      </c>
      <c r="AE384" s="26" t="s">
        <v>70</v>
      </c>
      <c r="AF384" s="26" t="s">
        <v>131</v>
      </c>
      <c r="AG384" s="26" t="s">
        <v>178</v>
      </c>
      <c r="AH384" s="26">
        <v>0</v>
      </c>
      <c r="AI384" s="26">
        <v>0</v>
      </c>
      <c r="AJ384" s="26">
        <v>0</v>
      </c>
      <c r="AK384" s="26">
        <v>0</v>
      </c>
      <c r="AL384" s="26" t="s">
        <v>64</v>
      </c>
      <c r="AM384" s="26">
        <v>3</v>
      </c>
      <c r="AN384" s="26">
        <v>448</v>
      </c>
      <c r="AO384" s="26" t="s">
        <v>65</v>
      </c>
      <c r="AP384" s="26">
        <v>37</v>
      </c>
      <c r="AQ384" s="26">
        <v>201</v>
      </c>
      <c r="AR384" s="26">
        <v>2506159</v>
      </c>
      <c r="AS384" s="26" t="s">
        <v>118</v>
      </c>
      <c r="AT384" s="26" t="s">
        <v>293</v>
      </c>
      <c r="AU384" s="29" t="s">
        <v>118</v>
      </c>
    </row>
    <row r="385" spans="1:47" x14ac:dyDescent="0.25">
      <c r="A385" s="7">
        <f>+CONCATENATE(DAY(V385),"/",MONTH(V385),"/",YEAR(V385),"")*1</f>
        <v>46170</v>
      </c>
      <c r="B385" s="23">
        <f>+Z385*1</f>
        <v>1125961690</v>
      </c>
      <c r="C385" s="21" t="str">
        <f>+AA385</f>
        <v>ENTRANTE</v>
      </c>
      <c r="D385" s="3" t="str">
        <f>VLOOKUP(Q385,Code!E:F,2,0)</f>
        <v>Admisiones</v>
      </c>
      <c r="E385" s="3" t="s">
        <v>55</v>
      </c>
      <c r="F385" s="3">
        <f>+AP385</f>
        <v>37</v>
      </c>
      <c r="G385" s="3">
        <f>+S385</f>
        <v>26</v>
      </c>
      <c r="H385" s="22">
        <f>+HOUR(V385)</f>
        <v>13</v>
      </c>
      <c r="I385" s="22">
        <f>IFERROR(VLOOKUP(B385,MATRICULAS!A:B,2,0),0)*1</f>
        <v>0</v>
      </c>
      <c r="J385" s="27">
        <v>20260528</v>
      </c>
      <c r="K385" s="27">
        <v>149385117</v>
      </c>
      <c r="L385" s="27" t="s">
        <v>134</v>
      </c>
      <c r="M385" s="27" t="s">
        <v>56</v>
      </c>
      <c r="N385" s="27">
        <v>0</v>
      </c>
      <c r="O385" s="27">
        <v>0</v>
      </c>
      <c r="P385" s="27" t="s">
        <v>57</v>
      </c>
      <c r="Q385" s="27">
        <v>150</v>
      </c>
      <c r="R385" s="27" t="s">
        <v>127</v>
      </c>
      <c r="S385" s="27">
        <v>26</v>
      </c>
      <c r="T385" s="27" t="s">
        <v>58</v>
      </c>
      <c r="U385" s="27" t="s">
        <v>59</v>
      </c>
      <c r="V385" s="30">
        <v>46170.573437500003</v>
      </c>
      <c r="W385" s="30">
        <v>46170.573437500003</v>
      </c>
      <c r="X385" s="30">
        <v>46170.575243055559</v>
      </c>
      <c r="Y385" s="27" t="s">
        <v>117</v>
      </c>
      <c r="Z385" s="27" t="s">
        <v>294</v>
      </c>
      <c r="AA385" s="27" t="s">
        <v>53</v>
      </c>
      <c r="AB385" s="27" t="s">
        <v>60</v>
      </c>
      <c r="AC385" s="27" t="s">
        <v>295</v>
      </c>
      <c r="AD385" s="27" t="s">
        <v>118</v>
      </c>
      <c r="AE385" s="27" t="s">
        <v>66</v>
      </c>
      <c r="AF385" s="27" t="s">
        <v>67</v>
      </c>
      <c r="AG385" s="27" t="s">
        <v>67</v>
      </c>
      <c r="AH385" s="27">
        <v>0</v>
      </c>
      <c r="AI385" s="27">
        <v>0</v>
      </c>
      <c r="AJ385" s="27">
        <v>0</v>
      </c>
      <c r="AK385" s="27">
        <v>0</v>
      </c>
      <c r="AL385" s="27" t="s">
        <v>64</v>
      </c>
      <c r="AM385" s="27">
        <v>3</v>
      </c>
      <c r="AN385" s="27">
        <v>156</v>
      </c>
      <c r="AO385" s="27" t="s">
        <v>65</v>
      </c>
      <c r="AP385" s="27">
        <v>37</v>
      </c>
      <c r="AQ385" s="27">
        <v>201</v>
      </c>
      <c r="AR385" s="27">
        <v>2508012</v>
      </c>
      <c r="AS385" s="27" t="s">
        <v>118</v>
      </c>
      <c r="AT385" s="27" t="s">
        <v>296</v>
      </c>
      <c r="AU385" s="31" t="s">
        <v>118</v>
      </c>
    </row>
    <row r="386" spans="1:47" x14ac:dyDescent="0.25">
      <c r="A386" s="7">
        <f>+CONCATENATE(DAY(V386),"/",MONTH(V386),"/",YEAR(V386),"")*1</f>
        <v>46170</v>
      </c>
      <c r="B386" s="23">
        <f>+Z386*1</f>
        <v>3794378545</v>
      </c>
      <c r="C386" s="21" t="str">
        <f>+AA386</f>
        <v>ENTRANTE</v>
      </c>
      <c r="D386" s="3" t="str">
        <f>VLOOKUP(Q386,Code!E:F,2,0)</f>
        <v>Admisiones</v>
      </c>
      <c r="E386" s="3" t="s">
        <v>55</v>
      </c>
      <c r="F386" s="3">
        <f>+AP386</f>
        <v>37</v>
      </c>
      <c r="G386" s="3">
        <f>+S386</f>
        <v>26</v>
      </c>
      <c r="H386" s="22">
        <f>+HOUR(V386)</f>
        <v>13</v>
      </c>
      <c r="I386" s="22">
        <f>IFERROR(VLOOKUP(B386,MATRICULAS!A:B,2,0),0)*1</f>
        <v>0</v>
      </c>
      <c r="J386" s="26">
        <v>20260528</v>
      </c>
      <c r="K386" s="26">
        <v>149384931</v>
      </c>
      <c r="L386" s="26" t="s">
        <v>134</v>
      </c>
      <c r="M386" s="26" t="s">
        <v>56</v>
      </c>
      <c r="N386" s="26">
        <v>0</v>
      </c>
      <c r="O386" s="26">
        <v>0</v>
      </c>
      <c r="P386" s="26" t="s">
        <v>57</v>
      </c>
      <c r="Q386" s="26">
        <v>150</v>
      </c>
      <c r="R386" s="26" t="s">
        <v>128</v>
      </c>
      <c r="S386" s="26">
        <v>26</v>
      </c>
      <c r="T386" s="26" t="s">
        <v>58</v>
      </c>
      <c r="U386" s="26" t="s">
        <v>59</v>
      </c>
      <c r="V386" s="28">
        <v>46170.566770833335</v>
      </c>
      <c r="W386" s="28">
        <v>46170.566770833335</v>
      </c>
      <c r="X386" s="28">
        <v>46170.574548611112</v>
      </c>
      <c r="Y386" s="26" t="s">
        <v>117</v>
      </c>
      <c r="Z386" s="26" t="s">
        <v>297</v>
      </c>
      <c r="AA386" s="26" t="s">
        <v>53</v>
      </c>
      <c r="AB386" s="26" t="s">
        <v>60</v>
      </c>
      <c r="AC386" s="26" t="s">
        <v>298</v>
      </c>
      <c r="AD386" s="26" t="s">
        <v>118</v>
      </c>
      <c r="AE386" s="26" t="s">
        <v>61</v>
      </c>
      <c r="AF386" s="26" t="s">
        <v>62</v>
      </c>
      <c r="AG386" s="26" t="s">
        <v>63</v>
      </c>
      <c r="AH386" s="26">
        <v>0</v>
      </c>
      <c r="AI386" s="26">
        <v>0</v>
      </c>
      <c r="AJ386" s="26">
        <v>0</v>
      </c>
      <c r="AK386" s="26">
        <v>0</v>
      </c>
      <c r="AL386" s="26" t="s">
        <v>64</v>
      </c>
      <c r="AM386" s="26">
        <v>3</v>
      </c>
      <c r="AN386" s="26">
        <v>673</v>
      </c>
      <c r="AO386" s="26" t="s">
        <v>65</v>
      </c>
      <c r="AP386" s="26">
        <v>37</v>
      </c>
      <c r="AQ386" s="26">
        <v>164</v>
      </c>
      <c r="AR386" s="26">
        <v>2508009</v>
      </c>
      <c r="AS386" s="26" t="s">
        <v>118</v>
      </c>
      <c r="AT386" s="26" t="s">
        <v>299</v>
      </c>
      <c r="AU386" s="29" t="s">
        <v>118</v>
      </c>
    </row>
    <row r="387" spans="1:47" x14ac:dyDescent="0.25">
      <c r="A387" s="7">
        <f>+CONCATENATE(DAY(V387),"/",MONTH(V387),"/",YEAR(V387),"")*1</f>
        <v>46170</v>
      </c>
      <c r="B387" s="23">
        <f>+Z387*1</f>
        <v>1136351100</v>
      </c>
      <c r="C387" s="21" t="str">
        <f>+AA387</f>
        <v>ENTRANTE</v>
      </c>
      <c r="D387" s="3" t="str">
        <f>VLOOKUP(Q387,Code!E:F,2,0)</f>
        <v>Admisiones</v>
      </c>
      <c r="E387" s="3" t="s">
        <v>55</v>
      </c>
      <c r="F387" s="3">
        <f>+AP387</f>
        <v>37</v>
      </c>
      <c r="G387" s="3">
        <f>+S387</f>
        <v>26</v>
      </c>
      <c r="H387" s="22">
        <f>+HOUR(V387)</f>
        <v>12</v>
      </c>
      <c r="I387" s="22">
        <f>IFERROR(VLOOKUP(B387,MATRICULAS!A:B,2,0),0)*1</f>
        <v>1</v>
      </c>
      <c r="J387" s="27">
        <v>20260528</v>
      </c>
      <c r="K387" s="27">
        <v>149383806</v>
      </c>
      <c r="L387" s="27" t="s">
        <v>134</v>
      </c>
      <c r="M387" s="27" t="s">
        <v>56</v>
      </c>
      <c r="N387" s="27">
        <v>0</v>
      </c>
      <c r="O387" s="27">
        <v>0</v>
      </c>
      <c r="P387" s="27" t="s">
        <v>57</v>
      </c>
      <c r="Q387" s="27">
        <v>150</v>
      </c>
      <c r="R387" s="27" t="s">
        <v>127</v>
      </c>
      <c r="S387" s="27">
        <v>26</v>
      </c>
      <c r="T387" s="27" t="s">
        <v>58</v>
      </c>
      <c r="U387" s="27" t="s">
        <v>59</v>
      </c>
      <c r="V387" s="30">
        <v>46170.532129629632</v>
      </c>
      <c r="W387" s="30">
        <v>46170.532129629632</v>
      </c>
      <c r="X387" s="30">
        <v>46170.536377314813</v>
      </c>
      <c r="Y387" s="27" t="s">
        <v>117</v>
      </c>
      <c r="Z387" s="27" t="s">
        <v>300</v>
      </c>
      <c r="AA387" s="27" t="s">
        <v>53</v>
      </c>
      <c r="AB387" s="27" t="s">
        <v>60</v>
      </c>
      <c r="AC387" s="27" t="s">
        <v>301</v>
      </c>
      <c r="AD387" s="27" t="s">
        <v>118</v>
      </c>
      <c r="AE387" s="27" t="s">
        <v>61</v>
      </c>
      <c r="AF387" s="27" t="s">
        <v>62</v>
      </c>
      <c r="AG387" s="27" t="s">
        <v>63</v>
      </c>
      <c r="AH387" s="27">
        <v>0</v>
      </c>
      <c r="AI387" s="27">
        <v>0</v>
      </c>
      <c r="AJ387" s="27">
        <v>0</v>
      </c>
      <c r="AK387" s="27">
        <v>0</v>
      </c>
      <c r="AL387" s="27" t="s">
        <v>64</v>
      </c>
      <c r="AM387" s="27">
        <v>3</v>
      </c>
      <c r="AN387" s="27">
        <v>367</v>
      </c>
      <c r="AO387" s="27" t="s">
        <v>65</v>
      </c>
      <c r="AP387" s="27">
        <v>37</v>
      </c>
      <c r="AQ387" s="27">
        <v>201</v>
      </c>
      <c r="AR387" s="27">
        <v>2499489</v>
      </c>
      <c r="AS387" s="27" t="s">
        <v>118</v>
      </c>
      <c r="AT387" s="27" t="s">
        <v>302</v>
      </c>
      <c r="AU387" s="31" t="s">
        <v>118</v>
      </c>
    </row>
    <row r="388" spans="1:47" x14ac:dyDescent="0.25">
      <c r="A388" s="7">
        <f>+CONCATENATE(DAY(V388),"/",MONTH(V388),"/",YEAR(V388),"")*1</f>
        <v>46170</v>
      </c>
      <c r="B388" s="23">
        <f>+Z388*1</f>
        <v>2975095182</v>
      </c>
      <c r="C388" s="21" t="str">
        <f>+AA388</f>
        <v>ENTRANTE</v>
      </c>
      <c r="D388" s="3" t="str">
        <f>VLOOKUP(Q388,Code!E:F,2,0)</f>
        <v>Admisiones</v>
      </c>
      <c r="E388" s="3" t="s">
        <v>55</v>
      </c>
      <c r="F388" s="3">
        <f>+AP388</f>
        <v>37</v>
      </c>
      <c r="G388" s="3">
        <f>+S388</f>
        <v>26</v>
      </c>
      <c r="H388" s="22">
        <f>+HOUR(V388)</f>
        <v>12</v>
      </c>
      <c r="I388" s="22">
        <f>IFERROR(VLOOKUP(B388,MATRICULAS!A:B,2,0),0)*1</f>
        <v>0</v>
      </c>
      <c r="J388" s="26">
        <v>20260528</v>
      </c>
      <c r="K388" s="26">
        <v>149383671</v>
      </c>
      <c r="L388" s="26" t="s">
        <v>134</v>
      </c>
      <c r="M388" s="26" t="s">
        <v>56</v>
      </c>
      <c r="N388" s="26">
        <v>0</v>
      </c>
      <c r="O388" s="26">
        <v>0</v>
      </c>
      <c r="P388" s="26" t="s">
        <v>57</v>
      </c>
      <c r="Q388" s="26">
        <v>150</v>
      </c>
      <c r="R388" s="26" t="s">
        <v>127</v>
      </c>
      <c r="S388" s="26">
        <v>26</v>
      </c>
      <c r="T388" s="26" t="s">
        <v>58</v>
      </c>
      <c r="U388" s="26" t="s">
        <v>59</v>
      </c>
      <c r="V388" s="28">
        <v>46170.526678240742</v>
      </c>
      <c r="W388" s="28">
        <v>46170.526678240742</v>
      </c>
      <c r="X388" s="28">
        <v>46170.530590277776</v>
      </c>
      <c r="Y388" s="26" t="s">
        <v>117</v>
      </c>
      <c r="Z388" s="26" t="s">
        <v>303</v>
      </c>
      <c r="AA388" s="26" t="s">
        <v>53</v>
      </c>
      <c r="AB388" s="26" t="s">
        <v>60</v>
      </c>
      <c r="AC388" s="26" t="s">
        <v>304</v>
      </c>
      <c r="AD388" s="26" t="s">
        <v>118</v>
      </c>
      <c r="AE388" s="26" t="s">
        <v>61</v>
      </c>
      <c r="AF388" s="26" t="s">
        <v>62</v>
      </c>
      <c r="AG388" s="26" t="s">
        <v>63</v>
      </c>
      <c r="AH388" s="26">
        <v>0</v>
      </c>
      <c r="AI388" s="26">
        <v>0</v>
      </c>
      <c r="AJ388" s="26">
        <v>0</v>
      </c>
      <c r="AK388" s="26">
        <v>0</v>
      </c>
      <c r="AL388" s="26" t="s">
        <v>64</v>
      </c>
      <c r="AM388" s="26">
        <v>3</v>
      </c>
      <c r="AN388" s="26">
        <v>338</v>
      </c>
      <c r="AO388" s="26" t="s">
        <v>65</v>
      </c>
      <c r="AP388" s="26">
        <v>37</v>
      </c>
      <c r="AQ388" s="26">
        <v>201</v>
      </c>
      <c r="AR388" s="26">
        <v>2507945</v>
      </c>
      <c r="AS388" s="26" t="s">
        <v>118</v>
      </c>
      <c r="AT388" s="26" t="s">
        <v>305</v>
      </c>
      <c r="AU388" s="29" t="s">
        <v>118</v>
      </c>
    </row>
    <row r="389" spans="1:47" x14ac:dyDescent="0.25">
      <c r="A389" s="7">
        <f>+CONCATENATE(DAY(V389),"/",MONTH(V389),"/",YEAR(V389),"")*1</f>
        <v>46170</v>
      </c>
      <c r="B389" s="23">
        <f>+Z389*1</f>
        <v>1130749091</v>
      </c>
      <c r="C389" s="21" t="str">
        <f>+AA389</f>
        <v>ENTRANTE</v>
      </c>
      <c r="D389" s="3" t="str">
        <f>VLOOKUP(Q389,Code!E:F,2,0)</f>
        <v>Admisiones</v>
      </c>
      <c r="E389" s="3" t="s">
        <v>55</v>
      </c>
      <c r="F389" s="3">
        <f>+AP389</f>
        <v>37</v>
      </c>
      <c r="G389" s="3">
        <f>+S389</f>
        <v>26</v>
      </c>
      <c r="H389" s="22">
        <f>+HOUR(V389)</f>
        <v>12</v>
      </c>
      <c r="I389" s="22">
        <f>IFERROR(VLOOKUP(B389,MATRICULAS!A:B,2,0),0)*1</f>
        <v>0</v>
      </c>
      <c r="J389" s="27">
        <v>20260528</v>
      </c>
      <c r="K389" s="27">
        <v>149383463</v>
      </c>
      <c r="L389" s="27" t="s">
        <v>134</v>
      </c>
      <c r="M389" s="27" t="s">
        <v>56</v>
      </c>
      <c r="N389" s="27">
        <v>0</v>
      </c>
      <c r="O389" s="27">
        <v>0</v>
      </c>
      <c r="P389" s="27" t="s">
        <v>57</v>
      </c>
      <c r="Q389" s="27">
        <v>150</v>
      </c>
      <c r="R389" s="27" t="s">
        <v>127</v>
      </c>
      <c r="S389" s="27">
        <v>26</v>
      </c>
      <c r="T389" s="27" t="s">
        <v>58</v>
      </c>
      <c r="U389" s="27" t="s">
        <v>59</v>
      </c>
      <c r="V389" s="30">
        <v>46170.518622685187</v>
      </c>
      <c r="W389" s="30">
        <v>46170.518622685187</v>
      </c>
      <c r="X389" s="30">
        <v>46170.521944444445</v>
      </c>
      <c r="Y389" s="27" t="s">
        <v>117</v>
      </c>
      <c r="Z389" s="27" t="s">
        <v>306</v>
      </c>
      <c r="AA389" s="27" t="s">
        <v>53</v>
      </c>
      <c r="AB389" s="27" t="s">
        <v>60</v>
      </c>
      <c r="AC389" s="27" t="s">
        <v>307</v>
      </c>
      <c r="AD389" s="27" t="s">
        <v>118</v>
      </c>
      <c r="AE389" s="27" t="s">
        <v>61</v>
      </c>
      <c r="AF389" s="27" t="s">
        <v>62</v>
      </c>
      <c r="AG389" s="27" t="s">
        <v>63</v>
      </c>
      <c r="AH389" s="27">
        <v>0</v>
      </c>
      <c r="AI389" s="27">
        <v>0</v>
      </c>
      <c r="AJ389" s="27">
        <v>0</v>
      </c>
      <c r="AK389" s="27">
        <v>0</v>
      </c>
      <c r="AL389" s="27" t="s">
        <v>64</v>
      </c>
      <c r="AM389" s="27">
        <v>3</v>
      </c>
      <c r="AN389" s="27">
        <v>288</v>
      </c>
      <c r="AO389" s="27" t="s">
        <v>65</v>
      </c>
      <c r="AP389" s="27">
        <v>37</v>
      </c>
      <c r="AQ389" s="27">
        <v>147</v>
      </c>
      <c r="AR389" s="27">
        <v>2507773</v>
      </c>
      <c r="AS389" s="27" t="s">
        <v>118</v>
      </c>
      <c r="AT389" s="27" t="s">
        <v>308</v>
      </c>
      <c r="AU389" s="31" t="s">
        <v>118</v>
      </c>
    </row>
    <row r="390" spans="1:47" x14ac:dyDescent="0.25">
      <c r="A390" s="7">
        <f>+CONCATENATE(DAY(V390),"/",MONTH(V390),"/",YEAR(V390),"")*1</f>
        <v>46170</v>
      </c>
      <c r="B390" s="23">
        <f>+Z390*1</f>
        <v>1159005436</v>
      </c>
      <c r="C390" s="21" t="str">
        <f>+AA390</f>
        <v>ENTRANTE</v>
      </c>
      <c r="D390" s="3" t="str">
        <f>VLOOKUP(Q390,Code!E:F,2,0)</f>
        <v>Admisiones</v>
      </c>
      <c r="E390" s="3" t="s">
        <v>55</v>
      </c>
      <c r="F390" s="3">
        <f>+AP390</f>
        <v>37</v>
      </c>
      <c r="G390" s="3">
        <f>+S390</f>
        <v>0</v>
      </c>
      <c r="H390" s="22">
        <f>+HOUR(V390)</f>
        <v>11</v>
      </c>
      <c r="I390" s="22">
        <f>IFERROR(VLOOKUP(B390,MATRICULAS!A:B,2,0),0)*1</f>
        <v>1</v>
      </c>
      <c r="J390" s="26">
        <v>20260528</v>
      </c>
      <c r="K390" s="26">
        <v>149382701</v>
      </c>
      <c r="L390" s="26" t="s">
        <v>134</v>
      </c>
      <c r="M390" s="26" t="s">
        <v>56</v>
      </c>
      <c r="N390" s="26">
        <v>0</v>
      </c>
      <c r="O390" s="26">
        <v>0</v>
      </c>
      <c r="P390" s="26" t="s">
        <v>57</v>
      </c>
      <c r="Q390" s="26">
        <v>150</v>
      </c>
      <c r="R390" s="26" t="s">
        <v>309</v>
      </c>
      <c r="S390" s="26">
        <v>0</v>
      </c>
      <c r="T390" s="26" t="s">
        <v>58</v>
      </c>
      <c r="U390" s="26" t="s">
        <v>59</v>
      </c>
      <c r="V390" s="28">
        <v>46170.495300925926</v>
      </c>
      <c r="W390" s="28">
        <v>46170.495300925926</v>
      </c>
      <c r="X390" s="28">
        <v>46170.502141203702</v>
      </c>
      <c r="Y390" s="26" t="s">
        <v>117</v>
      </c>
      <c r="Z390" s="26" t="s">
        <v>310</v>
      </c>
      <c r="AA390" s="26" t="s">
        <v>53</v>
      </c>
      <c r="AB390" s="26" t="s">
        <v>60</v>
      </c>
      <c r="AC390" s="26" t="s">
        <v>311</v>
      </c>
      <c r="AD390" s="26" t="s">
        <v>118</v>
      </c>
      <c r="AE390" s="26" t="s">
        <v>61</v>
      </c>
      <c r="AF390" s="26" t="s">
        <v>62</v>
      </c>
      <c r="AG390" s="26" t="s">
        <v>63</v>
      </c>
      <c r="AH390" s="26">
        <v>0</v>
      </c>
      <c r="AI390" s="26">
        <v>0</v>
      </c>
      <c r="AJ390" s="26">
        <v>0</v>
      </c>
      <c r="AK390" s="26">
        <v>0</v>
      </c>
      <c r="AL390" s="26" t="s">
        <v>64</v>
      </c>
      <c r="AM390" s="26">
        <v>3</v>
      </c>
      <c r="AN390" s="26">
        <v>592</v>
      </c>
      <c r="AO390" s="26" t="s">
        <v>65</v>
      </c>
      <c r="AP390" s="26">
        <v>37</v>
      </c>
      <c r="AQ390" s="26">
        <v>175</v>
      </c>
      <c r="AR390" s="26">
        <v>2456314</v>
      </c>
      <c r="AS390" s="26" t="s">
        <v>118</v>
      </c>
      <c r="AT390" s="26" t="s">
        <v>312</v>
      </c>
      <c r="AU390" s="29" t="s">
        <v>118</v>
      </c>
    </row>
    <row r="391" spans="1:47" x14ac:dyDescent="0.25">
      <c r="A391" s="7">
        <f>+CONCATENATE(DAY(V391),"/",MONTH(V391),"/",YEAR(V391),"")*1</f>
        <v>46170</v>
      </c>
      <c r="B391" s="23">
        <f>+Z391*1</f>
        <v>3735477939</v>
      </c>
      <c r="C391" s="21" t="str">
        <f>+AA391</f>
        <v>ENTRANTE</v>
      </c>
      <c r="D391" s="3" t="str">
        <f>VLOOKUP(Q391,Code!E:F,2,0)</f>
        <v>Admisiones</v>
      </c>
      <c r="E391" s="3" t="s">
        <v>55</v>
      </c>
      <c r="F391" s="3">
        <f>+AP391</f>
        <v>37</v>
      </c>
      <c r="G391" s="3">
        <f>+S391</f>
        <v>26</v>
      </c>
      <c r="H391" s="22">
        <f>+HOUR(V391)</f>
        <v>10</v>
      </c>
      <c r="I391" s="22">
        <f>IFERROR(VLOOKUP(B391,MATRICULAS!A:B,2,0),0)*1</f>
        <v>0</v>
      </c>
      <c r="J391" s="27">
        <v>20260528</v>
      </c>
      <c r="K391" s="27">
        <v>149381275</v>
      </c>
      <c r="L391" s="27" t="s">
        <v>134</v>
      </c>
      <c r="M391" s="27" t="s">
        <v>56</v>
      </c>
      <c r="N391" s="27">
        <v>0</v>
      </c>
      <c r="O391" s="27">
        <v>0</v>
      </c>
      <c r="P391" s="27" t="s">
        <v>57</v>
      </c>
      <c r="Q391" s="27">
        <v>150</v>
      </c>
      <c r="R391" s="27" t="s">
        <v>159</v>
      </c>
      <c r="S391" s="27">
        <v>26</v>
      </c>
      <c r="T391" s="27" t="s">
        <v>58</v>
      </c>
      <c r="U391" s="27" t="s">
        <v>59</v>
      </c>
      <c r="V391" s="30">
        <v>46170.454502314817</v>
      </c>
      <c r="W391" s="30">
        <v>46170.454502314817</v>
      </c>
      <c r="X391" s="30">
        <v>46170.461273148147</v>
      </c>
      <c r="Y391" s="27" t="s">
        <v>117</v>
      </c>
      <c r="Z391" s="27" t="s">
        <v>313</v>
      </c>
      <c r="AA391" s="27" t="s">
        <v>53</v>
      </c>
      <c r="AB391" s="27" t="s">
        <v>60</v>
      </c>
      <c r="AC391" s="27" t="s">
        <v>314</v>
      </c>
      <c r="AD391" s="27" t="s">
        <v>118</v>
      </c>
      <c r="AE391" s="27" t="s">
        <v>61</v>
      </c>
      <c r="AF391" s="27" t="s">
        <v>62</v>
      </c>
      <c r="AG391" s="27" t="s">
        <v>63</v>
      </c>
      <c r="AH391" s="27">
        <v>0</v>
      </c>
      <c r="AI391" s="27">
        <v>0</v>
      </c>
      <c r="AJ391" s="27">
        <v>0</v>
      </c>
      <c r="AK391" s="27">
        <v>0</v>
      </c>
      <c r="AL391" s="27" t="s">
        <v>64</v>
      </c>
      <c r="AM391" s="27">
        <v>3</v>
      </c>
      <c r="AN391" s="27">
        <v>585</v>
      </c>
      <c r="AO391" s="27" t="s">
        <v>65</v>
      </c>
      <c r="AP391" s="27">
        <v>37</v>
      </c>
      <c r="AQ391" s="27">
        <v>1</v>
      </c>
      <c r="AR391" s="27">
        <v>2507825</v>
      </c>
      <c r="AS391" s="27" t="s">
        <v>118</v>
      </c>
      <c r="AT391" s="27" t="s">
        <v>315</v>
      </c>
      <c r="AU391" s="31" t="s">
        <v>118</v>
      </c>
    </row>
    <row r="392" spans="1:47" x14ac:dyDescent="0.25">
      <c r="A392" s="7">
        <f>+CONCATENATE(DAY(V392),"/",MONTH(V392),"/",YEAR(V392),"")*1</f>
        <v>46170</v>
      </c>
      <c r="B392" s="23">
        <f>+Z392*1</f>
        <v>1154778350</v>
      </c>
      <c r="C392" s="21" t="str">
        <f>+AA392</f>
        <v>ENTRANTE</v>
      </c>
      <c r="D392" s="3" t="str">
        <f>VLOOKUP(Q392,Code!E:F,2,0)</f>
        <v>Admisiones</v>
      </c>
      <c r="E392" s="3" t="s">
        <v>55</v>
      </c>
      <c r="F392" s="3">
        <f>+AP392</f>
        <v>37</v>
      </c>
      <c r="G392" s="3">
        <f>+S392</f>
        <v>26</v>
      </c>
      <c r="H392" s="22">
        <f>+HOUR(V392)</f>
        <v>10</v>
      </c>
      <c r="I392" s="22">
        <f>IFERROR(VLOOKUP(B392,MATRICULAS!A:B,2,0),0)*1</f>
        <v>0</v>
      </c>
      <c r="J392" s="26">
        <v>20260528</v>
      </c>
      <c r="K392" s="26">
        <v>149381229</v>
      </c>
      <c r="L392" s="26" t="s">
        <v>134</v>
      </c>
      <c r="M392" s="26" t="s">
        <v>56</v>
      </c>
      <c r="N392" s="26">
        <v>0</v>
      </c>
      <c r="O392" s="26">
        <v>0</v>
      </c>
      <c r="P392" s="26" t="s">
        <v>57</v>
      </c>
      <c r="Q392" s="26">
        <v>150</v>
      </c>
      <c r="R392" s="26" t="s">
        <v>127</v>
      </c>
      <c r="S392" s="26">
        <v>26</v>
      </c>
      <c r="T392" s="26" t="s">
        <v>58</v>
      </c>
      <c r="U392" s="26" t="s">
        <v>59</v>
      </c>
      <c r="V392" s="28">
        <v>46170.453252314815</v>
      </c>
      <c r="W392" s="28">
        <v>46170.453252314815</v>
      </c>
      <c r="X392" s="28">
        <v>46170.457407407404</v>
      </c>
      <c r="Y392" s="26" t="s">
        <v>117</v>
      </c>
      <c r="Z392" s="26" t="s">
        <v>316</v>
      </c>
      <c r="AA392" s="26" t="s">
        <v>53</v>
      </c>
      <c r="AB392" s="26" t="s">
        <v>60</v>
      </c>
      <c r="AC392" s="26" t="s">
        <v>317</v>
      </c>
      <c r="AD392" s="26" t="s">
        <v>118</v>
      </c>
      <c r="AE392" s="26" t="s">
        <v>61</v>
      </c>
      <c r="AF392" s="26" t="s">
        <v>62</v>
      </c>
      <c r="AG392" s="26" t="s">
        <v>63</v>
      </c>
      <c r="AH392" s="26">
        <v>0</v>
      </c>
      <c r="AI392" s="26">
        <v>0</v>
      </c>
      <c r="AJ392" s="26">
        <v>0</v>
      </c>
      <c r="AK392" s="26">
        <v>0</v>
      </c>
      <c r="AL392" s="26" t="s">
        <v>64</v>
      </c>
      <c r="AM392" s="26">
        <v>3</v>
      </c>
      <c r="AN392" s="26">
        <v>360</v>
      </c>
      <c r="AO392" s="26" t="s">
        <v>65</v>
      </c>
      <c r="AP392" s="26">
        <v>37</v>
      </c>
      <c r="AQ392" s="26">
        <v>196</v>
      </c>
      <c r="AR392" s="26">
        <v>2424435</v>
      </c>
      <c r="AS392" s="26" t="s">
        <v>118</v>
      </c>
      <c r="AT392" s="26" t="s">
        <v>318</v>
      </c>
      <c r="AU392" s="29" t="s">
        <v>118</v>
      </c>
    </row>
    <row r="393" spans="1:47" x14ac:dyDescent="0.25">
      <c r="A393" s="7">
        <f>+CONCATENATE(DAY(V393),"/",MONTH(V393),"/",YEAR(V393),"")*1</f>
        <v>46170</v>
      </c>
      <c r="B393" s="23">
        <f>+Z393*1</f>
        <v>1124278889</v>
      </c>
      <c r="C393" s="21" t="str">
        <f>+AA393</f>
        <v>ENTRANTE</v>
      </c>
      <c r="D393" s="3" t="str">
        <f>VLOOKUP(Q393,Code!E:F,2,0)</f>
        <v>Admisiones</v>
      </c>
      <c r="E393" s="3" t="s">
        <v>55</v>
      </c>
      <c r="F393" s="3">
        <f>+AP393</f>
        <v>37</v>
      </c>
      <c r="G393" s="3">
        <f>+S393</f>
        <v>26</v>
      </c>
      <c r="H393" s="22">
        <f>+HOUR(V393)</f>
        <v>10</v>
      </c>
      <c r="I393" s="22">
        <f>IFERROR(VLOOKUP(B393,MATRICULAS!A:B,2,0),0)*1</f>
        <v>0</v>
      </c>
      <c r="J393" s="27">
        <v>20260528</v>
      </c>
      <c r="K393" s="27">
        <v>149381164</v>
      </c>
      <c r="L393" s="27" t="s">
        <v>134</v>
      </c>
      <c r="M393" s="27" t="s">
        <v>56</v>
      </c>
      <c r="N393" s="27">
        <v>0</v>
      </c>
      <c r="O393" s="27">
        <v>0</v>
      </c>
      <c r="P393" s="27" t="s">
        <v>57</v>
      </c>
      <c r="Q393" s="27">
        <v>150</v>
      </c>
      <c r="R393" s="27" t="s">
        <v>128</v>
      </c>
      <c r="S393" s="27">
        <v>26</v>
      </c>
      <c r="T393" s="27" t="s">
        <v>58</v>
      </c>
      <c r="U393" s="27" t="s">
        <v>59</v>
      </c>
      <c r="V393" s="30">
        <v>46170.45207175926</v>
      </c>
      <c r="W393" s="30">
        <v>46170.45207175926</v>
      </c>
      <c r="X393" s="30">
        <v>46170.455266203702</v>
      </c>
      <c r="Y393" s="27" t="s">
        <v>117</v>
      </c>
      <c r="Z393" s="27" t="s">
        <v>319</v>
      </c>
      <c r="AA393" s="27" t="s">
        <v>53</v>
      </c>
      <c r="AB393" s="27" t="s">
        <v>60</v>
      </c>
      <c r="AC393" s="27" t="s">
        <v>320</v>
      </c>
      <c r="AD393" s="27" t="s">
        <v>118</v>
      </c>
      <c r="AE393" s="27" t="s">
        <v>66</v>
      </c>
      <c r="AF393" s="27" t="s">
        <v>67</v>
      </c>
      <c r="AG393" s="27" t="s">
        <v>67</v>
      </c>
      <c r="AH393" s="27">
        <v>0</v>
      </c>
      <c r="AI393" s="27">
        <v>0</v>
      </c>
      <c r="AJ393" s="27">
        <v>0</v>
      </c>
      <c r="AK393" s="27">
        <v>0</v>
      </c>
      <c r="AL393" s="27" t="s">
        <v>64</v>
      </c>
      <c r="AM393" s="27">
        <v>3</v>
      </c>
      <c r="AN393" s="27">
        <v>277</v>
      </c>
      <c r="AO393" s="27" t="s">
        <v>65</v>
      </c>
      <c r="AP393" s="27">
        <v>37</v>
      </c>
      <c r="AQ393" s="27">
        <v>164</v>
      </c>
      <c r="AR393" s="27">
        <v>2507819</v>
      </c>
      <c r="AS393" s="27" t="s">
        <v>118</v>
      </c>
      <c r="AT393" s="27" t="s">
        <v>321</v>
      </c>
      <c r="AU393" s="31" t="s">
        <v>118</v>
      </c>
    </row>
    <row r="394" spans="1:47" x14ac:dyDescent="0.25">
      <c r="A394" s="7">
        <f>+CONCATENATE(DAY(V394),"/",MONTH(V394),"/",YEAR(V394),"")*1</f>
        <v>46170</v>
      </c>
      <c r="B394" s="23">
        <f>+Z394*1</f>
        <v>1124932161</v>
      </c>
      <c r="C394" s="21" t="str">
        <f>+AA394</f>
        <v>ENTRANTE</v>
      </c>
      <c r="D394" s="3" t="str">
        <f>VLOOKUP(Q394,Code!E:F,2,0)</f>
        <v>Admisiones</v>
      </c>
      <c r="E394" s="3" t="s">
        <v>55</v>
      </c>
      <c r="F394" s="3">
        <f>+AP394</f>
        <v>37</v>
      </c>
      <c r="G394" s="3">
        <f>+S394</f>
        <v>26</v>
      </c>
      <c r="H394" s="22">
        <f>+HOUR(V394)</f>
        <v>10</v>
      </c>
      <c r="I394" s="22">
        <f>IFERROR(VLOOKUP(B394,MATRICULAS!A:B,2,0),0)*1</f>
        <v>1</v>
      </c>
      <c r="J394" s="27">
        <v>20260528</v>
      </c>
      <c r="K394" s="27">
        <v>149381137</v>
      </c>
      <c r="L394" s="27" t="s">
        <v>134</v>
      </c>
      <c r="M394" s="27" t="s">
        <v>56</v>
      </c>
      <c r="N394" s="27">
        <v>0</v>
      </c>
      <c r="O394" s="27">
        <v>0</v>
      </c>
      <c r="P394" s="27" t="s">
        <v>57</v>
      </c>
      <c r="Q394" s="27">
        <v>150</v>
      </c>
      <c r="R394" s="27" t="s">
        <v>145</v>
      </c>
      <c r="S394" s="27">
        <v>26</v>
      </c>
      <c r="T394" s="27" t="s">
        <v>58</v>
      </c>
      <c r="U394" s="27" t="s">
        <v>59</v>
      </c>
      <c r="V394" s="30">
        <v>46170.451527777775</v>
      </c>
      <c r="W394" s="30">
        <v>46170.451527777775</v>
      </c>
      <c r="X394" s="30">
        <v>46170.452025462961</v>
      </c>
      <c r="Y394" s="27" t="s">
        <v>117</v>
      </c>
      <c r="Z394" s="27" t="s">
        <v>322</v>
      </c>
      <c r="AA394" s="27" t="s">
        <v>53</v>
      </c>
      <c r="AB394" s="27" t="s">
        <v>60</v>
      </c>
      <c r="AC394" s="27" t="s">
        <v>323</v>
      </c>
      <c r="AD394" s="27" t="s">
        <v>118</v>
      </c>
      <c r="AE394" s="27" t="s">
        <v>66</v>
      </c>
      <c r="AF394" s="27" t="s">
        <v>67</v>
      </c>
      <c r="AG394" s="27" t="s">
        <v>67</v>
      </c>
      <c r="AH394" s="27">
        <v>0</v>
      </c>
      <c r="AI394" s="27">
        <v>0</v>
      </c>
      <c r="AJ394" s="27">
        <v>0</v>
      </c>
      <c r="AK394" s="27">
        <v>0</v>
      </c>
      <c r="AL394" s="27" t="s">
        <v>64</v>
      </c>
      <c r="AM394" s="27">
        <v>3</v>
      </c>
      <c r="AN394" s="27">
        <v>44</v>
      </c>
      <c r="AO394" s="27" t="s">
        <v>65</v>
      </c>
      <c r="AP394" s="27">
        <v>37</v>
      </c>
      <c r="AQ394" s="27">
        <v>201</v>
      </c>
      <c r="AR394" s="27">
        <v>2486153</v>
      </c>
      <c r="AS394" s="27" t="s">
        <v>118</v>
      </c>
      <c r="AT394" s="27" t="s">
        <v>324</v>
      </c>
      <c r="AU394" s="31" t="s">
        <v>118</v>
      </c>
    </row>
    <row r="395" spans="1:47" x14ac:dyDescent="0.25">
      <c r="A395" s="7">
        <f>+CONCATENATE(DAY(V395),"/",MONTH(V395),"/",YEAR(V395),"")*1</f>
        <v>46170</v>
      </c>
      <c r="B395" s="23">
        <f>+Z395*1</f>
        <v>1168785671</v>
      </c>
      <c r="C395" s="21" t="str">
        <f>+AA395</f>
        <v>ENTRANTE</v>
      </c>
      <c r="D395" s="3" t="str">
        <f>VLOOKUP(Q395,Code!E:F,2,0)</f>
        <v>Admisiones</v>
      </c>
      <c r="E395" s="3" t="s">
        <v>55</v>
      </c>
      <c r="F395" s="3">
        <f>+AP395</f>
        <v>37</v>
      </c>
      <c r="G395" s="3">
        <f>+S395</f>
        <v>5</v>
      </c>
      <c r="H395" s="22">
        <f>+HOUR(V395)</f>
        <v>10</v>
      </c>
      <c r="I395" s="22">
        <f>IFERROR(VLOOKUP(B395,MATRICULAS!A:B,2,0),0)*1</f>
        <v>0</v>
      </c>
      <c r="J395" s="27">
        <v>20260528</v>
      </c>
      <c r="K395" s="27">
        <v>149380720</v>
      </c>
      <c r="L395" s="27" t="s">
        <v>134</v>
      </c>
      <c r="M395" s="27" t="s">
        <v>56</v>
      </c>
      <c r="N395" s="27">
        <v>0</v>
      </c>
      <c r="O395" s="27">
        <v>0</v>
      </c>
      <c r="P395" s="27" t="s">
        <v>57</v>
      </c>
      <c r="Q395" s="27">
        <v>150</v>
      </c>
      <c r="R395" s="27" t="s">
        <v>127</v>
      </c>
      <c r="S395" s="27">
        <v>5</v>
      </c>
      <c r="T395" s="27" t="s">
        <v>58</v>
      </c>
      <c r="U395" s="27" t="s">
        <v>59</v>
      </c>
      <c r="V395" s="30">
        <v>46170.440092592595</v>
      </c>
      <c r="W395" s="30">
        <v>46170.440092592595</v>
      </c>
      <c r="X395" s="30">
        <v>46170.441111111111</v>
      </c>
      <c r="Y395" s="27" t="s">
        <v>117</v>
      </c>
      <c r="Z395" s="27" t="s">
        <v>325</v>
      </c>
      <c r="AA395" s="27" t="s">
        <v>53</v>
      </c>
      <c r="AB395" s="27" t="s">
        <v>60</v>
      </c>
      <c r="AC395" s="27" t="s">
        <v>326</v>
      </c>
      <c r="AD395" s="27" t="s">
        <v>118</v>
      </c>
      <c r="AE395" s="27" t="s">
        <v>61</v>
      </c>
      <c r="AF395" s="27" t="s">
        <v>62</v>
      </c>
      <c r="AG395" s="27" t="s">
        <v>63</v>
      </c>
      <c r="AH395" s="27">
        <v>0</v>
      </c>
      <c r="AI395" s="27">
        <v>0</v>
      </c>
      <c r="AJ395" s="27">
        <v>0</v>
      </c>
      <c r="AK395" s="27">
        <v>0</v>
      </c>
      <c r="AL395" s="27" t="s">
        <v>64</v>
      </c>
      <c r="AM395" s="27">
        <v>3</v>
      </c>
      <c r="AN395" s="27">
        <v>89</v>
      </c>
      <c r="AO395" s="27" t="s">
        <v>65</v>
      </c>
      <c r="AP395" s="27">
        <v>37</v>
      </c>
      <c r="AQ395" s="27">
        <v>0</v>
      </c>
      <c r="AR395" s="27">
        <v>0</v>
      </c>
      <c r="AS395" s="27" t="s">
        <v>118</v>
      </c>
      <c r="AT395" s="27" t="s">
        <v>327</v>
      </c>
      <c r="AU395" s="31" t="s">
        <v>118</v>
      </c>
    </row>
    <row r="396" spans="1:47" x14ac:dyDescent="0.25">
      <c r="A396" s="7">
        <f>+CONCATENATE(DAY(V396),"/",MONTH(V396),"/",YEAR(V396),"")*1</f>
        <v>46170</v>
      </c>
      <c r="B396" s="23">
        <f>+Z396*1</f>
        <v>1160652200</v>
      </c>
      <c r="C396" s="21" t="str">
        <f>+AA396</f>
        <v>ENTRANTE</v>
      </c>
      <c r="D396" s="3" t="str">
        <f>VLOOKUP(Q396,Code!E:F,2,0)</f>
        <v>Admisiones</v>
      </c>
      <c r="E396" s="3" t="s">
        <v>55</v>
      </c>
      <c r="F396" s="3">
        <f>+AP396</f>
        <v>37</v>
      </c>
      <c r="G396" s="3">
        <f>+S396</f>
        <v>26</v>
      </c>
      <c r="H396" s="22">
        <f>+HOUR(V396)</f>
        <v>9</v>
      </c>
      <c r="I396" s="22">
        <f>IFERROR(VLOOKUP(B396,MATRICULAS!A:B,2,0),0)*1</f>
        <v>0</v>
      </c>
      <c r="J396" s="26">
        <v>20260528</v>
      </c>
      <c r="K396" s="26">
        <v>149379913</v>
      </c>
      <c r="L396" s="26" t="s">
        <v>134</v>
      </c>
      <c r="M396" s="26" t="s">
        <v>56</v>
      </c>
      <c r="N396" s="26">
        <v>0</v>
      </c>
      <c r="O396" s="26">
        <v>0</v>
      </c>
      <c r="P396" s="26" t="s">
        <v>57</v>
      </c>
      <c r="Q396" s="26">
        <v>150</v>
      </c>
      <c r="R396" s="26" t="s">
        <v>145</v>
      </c>
      <c r="S396" s="26">
        <v>26</v>
      </c>
      <c r="T396" s="26" t="s">
        <v>58</v>
      </c>
      <c r="U396" s="26" t="s">
        <v>59</v>
      </c>
      <c r="V396" s="28">
        <v>46170.414953703701</v>
      </c>
      <c r="W396" s="28">
        <v>46170.414953703701</v>
      </c>
      <c r="X396" s="28">
        <v>46170.420856481483</v>
      </c>
      <c r="Y396" s="26" t="s">
        <v>117</v>
      </c>
      <c r="Z396" s="26" t="s">
        <v>328</v>
      </c>
      <c r="AA396" s="26" t="s">
        <v>53</v>
      </c>
      <c r="AB396" s="26" t="s">
        <v>60</v>
      </c>
      <c r="AC396" s="26" t="s">
        <v>329</v>
      </c>
      <c r="AD396" s="26" t="s">
        <v>118</v>
      </c>
      <c r="AE396" s="26" t="s">
        <v>66</v>
      </c>
      <c r="AF396" s="26" t="s">
        <v>67</v>
      </c>
      <c r="AG396" s="26" t="s">
        <v>67</v>
      </c>
      <c r="AH396" s="26">
        <v>0</v>
      </c>
      <c r="AI396" s="26">
        <v>0</v>
      </c>
      <c r="AJ396" s="26">
        <v>0</v>
      </c>
      <c r="AK396" s="26">
        <v>0</v>
      </c>
      <c r="AL396" s="26" t="s">
        <v>64</v>
      </c>
      <c r="AM396" s="26">
        <v>3</v>
      </c>
      <c r="AN396" s="26">
        <v>511</v>
      </c>
      <c r="AO396" s="26" t="s">
        <v>65</v>
      </c>
      <c r="AP396" s="26">
        <v>37</v>
      </c>
      <c r="AQ396" s="26">
        <v>1</v>
      </c>
      <c r="AR396" s="26">
        <v>374350</v>
      </c>
      <c r="AS396" s="26" t="s">
        <v>118</v>
      </c>
      <c r="AT396" s="26" t="s">
        <v>330</v>
      </c>
      <c r="AU396" s="29" t="s">
        <v>118</v>
      </c>
    </row>
    <row r="397" spans="1:47" x14ac:dyDescent="0.25">
      <c r="A397" s="7">
        <f>+CONCATENATE(DAY(V397),"/",MONTH(V397),"/",YEAR(V397),"")*1</f>
        <v>46170</v>
      </c>
      <c r="B397" s="23">
        <f>+Z397*1</f>
        <v>1124828590</v>
      </c>
      <c r="C397" s="21" t="str">
        <f>+AA397</f>
        <v>ENTRANTE</v>
      </c>
      <c r="D397" s="3" t="str">
        <f>VLOOKUP(Q397,Code!E:F,2,0)</f>
        <v>Admisiones</v>
      </c>
      <c r="E397" s="3" t="s">
        <v>55</v>
      </c>
      <c r="F397" s="3">
        <f>+AP397</f>
        <v>37</v>
      </c>
      <c r="G397" s="3">
        <f>+S397</f>
        <v>26</v>
      </c>
      <c r="H397" s="22">
        <f>+HOUR(V397)</f>
        <v>9</v>
      </c>
      <c r="I397" s="22">
        <f>IFERROR(VLOOKUP(B397,MATRICULAS!A:B,2,0),0)*1</f>
        <v>0</v>
      </c>
      <c r="J397" s="27">
        <v>20260528</v>
      </c>
      <c r="K397" s="27">
        <v>149378884</v>
      </c>
      <c r="L397" s="27" t="s">
        <v>134</v>
      </c>
      <c r="M397" s="27" t="s">
        <v>56</v>
      </c>
      <c r="N397" s="27">
        <v>0</v>
      </c>
      <c r="O397" s="27">
        <v>0</v>
      </c>
      <c r="P397" s="27" t="s">
        <v>57</v>
      </c>
      <c r="Q397" s="27">
        <v>150</v>
      </c>
      <c r="R397" s="27" t="s">
        <v>153</v>
      </c>
      <c r="S397" s="27">
        <v>26</v>
      </c>
      <c r="T397" s="27" t="s">
        <v>58</v>
      </c>
      <c r="U397" s="27" t="s">
        <v>59</v>
      </c>
      <c r="V397" s="30">
        <v>46170.38175925926</v>
      </c>
      <c r="W397" s="30">
        <v>46170.38177083333</v>
      </c>
      <c r="X397" s="30">
        <v>46170.383275462962</v>
      </c>
      <c r="Y397" s="27" t="s">
        <v>117</v>
      </c>
      <c r="Z397" s="27" t="s">
        <v>331</v>
      </c>
      <c r="AA397" s="27" t="s">
        <v>53</v>
      </c>
      <c r="AB397" s="27" t="s">
        <v>60</v>
      </c>
      <c r="AC397" s="27" t="s">
        <v>332</v>
      </c>
      <c r="AD397" s="27" t="s">
        <v>118</v>
      </c>
      <c r="AE397" s="27" t="s">
        <v>66</v>
      </c>
      <c r="AF397" s="27" t="s">
        <v>67</v>
      </c>
      <c r="AG397" s="27" t="s">
        <v>67</v>
      </c>
      <c r="AH397" s="27">
        <v>0</v>
      </c>
      <c r="AI397" s="27">
        <v>0</v>
      </c>
      <c r="AJ397" s="27">
        <v>0</v>
      </c>
      <c r="AK397" s="27">
        <v>0</v>
      </c>
      <c r="AL397" s="27" t="s">
        <v>64</v>
      </c>
      <c r="AM397" s="27">
        <v>3</v>
      </c>
      <c r="AN397" s="27">
        <v>131</v>
      </c>
      <c r="AO397" s="27" t="s">
        <v>65</v>
      </c>
      <c r="AP397" s="27">
        <v>37</v>
      </c>
      <c r="AQ397" s="27">
        <v>175</v>
      </c>
      <c r="AR397" s="27">
        <v>2026326</v>
      </c>
      <c r="AS397" s="27" t="s">
        <v>118</v>
      </c>
      <c r="AT397" s="27" t="s">
        <v>333</v>
      </c>
      <c r="AU397" s="31" t="s">
        <v>118</v>
      </c>
    </row>
    <row r="398" spans="1:47" x14ac:dyDescent="0.25">
      <c r="A398" s="7">
        <f>+CONCATENATE(DAY(V398),"/",MONTH(V398),"/",YEAR(V398),"")*1</f>
        <v>46170</v>
      </c>
      <c r="B398" s="23">
        <f>+Z398*1</f>
        <v>1131845475</v>
      </c>
      <c r="C398" s="21" t="str">
        <f>+AA398</f>
        <v>ENTRANTE</v>
      </c>
      <c r="D398" s="3" t="str">
        <f>VLOOKUP(Q398,Code!E:F,2,0)</f>
        <v>Admisiones</v>
      </c>
      <c r="E398" s="3" t="s">
        <v>55</v>
      </c>
      <c r="F398" s="3">
        <f>+AP398</f>
        <v>37</v>
      </c>
      <c r="G398" s="3">
        <f>+S398</f>
        <v>26</v>
      </c>
      <c r="H398" s="22">
        <f>+HOUR(V398)</f>
        <v>9</v>
      </c>
      <c r="I398" s="22">
        <f>IFERROR(VLOOKUP(B398,MATRICULAS!A:B,2,0),0)*1</f>
        <v>1</v>
      </c>
      <c r="J398" s="26">
        <v>20260528</v>
      </c>
      <c r="K398" s="26">
        <v>149378817</v>
      </c>
      <c r="L398" s="26" t="s">
        <v>134</v>
      </c>
      <c r="M398" s="26" t="s">
        <v>56</v>
      </c>
      <c r="N398" s="26">
        <v>0</v>
      </c>
      <c r="O398" s="26">
        <v>0</v>
      </c>
      <c r="P398" s="26" t="s">
        <v>57</v>
      </c>
      <c r="Q398" s="26">
        <v>150</v>
      </c>
      <c r="R398" s="26" t="s">
        <v>145</v>
      </c>
      <c r="S398" s="26">
        <v>26</v>
      </c>
      <c r="T398" s="26" t="s">
        <v>58</v>
      </c>
      <c r="U398" s="26" t="s">
        <v>59</v>
      </c>
      <c r="V398" s="28">
        <v>46170.379490740743</v>
      </c>
      <c r="W398" s="28">
        <v>46170.379490740743</v>
      </c>
      <c r="X398" s="28">
        <v>46170.410416666666</v>
      </c>
      <c r="Y398" s="26" t="s">
        <v>117</v>
      </c>
      <c r="Z398" s="26" t="s">
        <v>334</v>
      </c>
      <c r="AA398" s="26" t="s">
        <v>53</v>
      </c>
      <c r="AB398" s="26" t="s">
        <v>60</v>
      </c>
      <c r="AC398" s="26" t="s">
        <v>335</v>
      </c>
      <c r="AD398" s="26" t="s">
        <v>118</v>
      </c>
      <c r="AE398" s="26" t="s">
        <v>61</v>
      </c>
      <c r="AF398" s="26" t="s">
        <v>62</v>
      </c>
      <c r="AG398" s="26" t="s">
        <v>63</v>
      </c>
      <c r="AH398" s="26">
        <v>0</v>
      </c>
      <c r="AI398" s="26">
        <v>0</v>
      </c>
      <c r="AJ398" s="26">
        <v>0</v>
      </c>
      <c r="AK398" s="26">
        <v>0</v>
      </c>
      <c r="AL398" s="26" t="s">
        <v>64</v>
      </c>
      <c r="AM398" s="26">
        <v>3</v>
      </c>
      <c r="AN398" s="26">
        <v>2672</v>
      </c>
      <c r="AO398" s="26" t="s">
        <v>65</v>
      </c>
      <c r="AP398" s="26">
        <v>37</v>
      </c>
      <c r="AQ398" s="26">
        <v>201</v>
      </c>
      <c r="AR398" s="26">
        <v>2503063</v>
      </c>
      <c r="AS398" s="26" t="s">
        <v>118</v>
      </c>
      <c r="AT398" s="26" t="s">
        <v>336</v>
      </c>
      <c r="AU398" s="29" t="s">
        <v>118</v>
      </c>
    </row>
    <row r="399" spans="1:47" x14ac:dyDescent="0.25">
      <c r="A399" s="7">
        <f>+CONCATENATE(DAY(V399),"/",MONTH(V399),"/",YEAR(V399),"")*1</f>
        <v>46171</v>
      </c>
      <c r="B399" s="23">
        <f>+Z399*1</f>
        <v>3434657088</v>
      </c>
      <c r="C399" s="21" t="str">
        <f>+AA399</f>
        <v>ENTRANTE</v>
      </c>
      <c r="D399" s="3" t="str">
        <f>VLOOKUP(Q399,Code!E:F,2,0)</f>
        <v>Admisiones</v>
      </c>
      <c r="E399" s="3" t="s">
        <v>55</v>
      </c>
      <c r="F399" s="3">
        <f>+AP399</f>
        <v>37</v>
      </c>
      <c r="G399" s="3">
        <f>+S399</f>
        <v>27</v>
      </c>
      <c r="H399" s="22">
        <f>+HOUR(V399)</f>
        <v>20</v>
      </c>
      <c r="I399" s="22">
        <f>IFERROR(VLOOKUP(B399,MATRICULAS!A:B,2,0),0)*1</f>
        <v>0</v>
      </c>
      <c r="J399" s="26">
        <v>20260529</v>
      </c>
      <c r="K399" s="26">
        <v>149405570</v>
      </c>
      <c r="L399" s="26" t="s">
        <v>134</v>
      </c>
      <c r="M399" s="26" t="s">
        <v>56</v>
      </c>
      <c r="N399" s="26">
        <v>0</v>
      </c>
      <c r="O399" s="26">
        <v>0</v>
      </c>
      <c r="P399" s="26" t="s">
        <v>57</v>
      </c>
      <c r="Q399" s="26">
        <v>150</v>
      </c>
      <c r="R399" s="26" t="s">
        <v>206</v>
      </c>
      <c r="S399" s="26">
        <v>27</v>
      </c>
      <c r="T399" s="26" t="s">
        <v>58</v>
      </c>
      <c r="U399" s="26" t="s">
        <v>59</v>
      </c>
      <c r="V399" s="28">
        <v>46171.854062500002</v>
      </c>
      <c r="W399" s="28">
        <v>46171.854062500002</v>
      </c>
      <c r="X399" s="28">
        <v>46171.866689814815</v>
      </c>
      <c r="Y399" s="26" t="s">
        <v>117</v>
      </c>
      <c r="Z399" s="26" t="s">
        <v>207</v>
      </c>
      <c r="AA399" s="26" t="s">
        <v>53</v>
      </c>
      <c r="AB399" s="26" t="s">
        <v>60</v>
      </c>
      <c r="AC399" s="26" t="s">
        <v>208</v>
      </c>
      <c r="AD399" s="26" t="s">
        <v>118</v>
      </c>
      <c r="AE399" s="26" t="s">
        <v>61</v>
      </c>
      <c r="AF399" s="26" t="s">
        <v>62</v>
      </c>
      <c r="AG399" s="26" t="s">
        <v>63</v>
      </c>
      <c r="AH399" s="26">
        <v>0</v>
      </c>
      <c r="AI399" s="26">
        <v>0</v>
      </c>
      <c r="AJ399" s="26">
        <v>0</v>
      </c>
      <c r="AK399" s="26">
        <v>0</v>
      </c>
      <c r="AL399" s="26" t="s">
        <v>64</v>
      </c>
      <c r="AM399" s="26">
        <v>3</v>
      </c>
      <c r="AN399" s="26">
        <v>1092</v>
      </c>
      <c r="AO399" s="26" t="s">
        <v>65</v>
      </c>
      <c r="AP399" s="26">
        <v>37</v>
      </c>
      <c r="AQ399" s="26">
        <v>191</v>
      </c>
      <c r="AR399" s="26">
        <v>2337032</v>
      </c>
      <c r="AS399" s="26" t="s">
        <v>118</v>
      </c>
      <c r="AT399" s="26" t="s">
        <v>209</v>
      </c>
      <c r="AU399" s="29" t="s">
        <v>118</v>
      </c>
    </row>
    <row r="400" spans="1:47" x14ac:dyDescent="0.25">
      <c r="A400" s="7">
        <f>+CONCATENATE(DAY(V400),"/",MONTH(V400),"/",YEAR(V400),"")*1</f>
        <v>46171</v>
      </c>
      <c r="B400" s="23">
        <f>+Z400*1</f>
        <v>1165922569</v>
      </c>
      <c r="C400" s="21" t="str">
        <f>+AA400</f>
        <v>ENTRANTE</v>
      </c>
      <c r="D400" s="3" t="str">
        <f>VLOOKUP(Q400,Code!E:F,2,0)</f>
        <v>Admisiones</v>
      </c>
      <c r="E400" s="3" t="s">
        <v>55</v>
      </c>
      <c r="F400" s="3">
        <f>+AP400</f>
        <v>37</v>
      </c>
      <c r="G400" s="3">
        <f>+S400</f>
        <v>27</v>
      </c>
      <c r="H400" s="22">
        <f>+HOUR(V400)</f>
        <v>19</v>
      </c>
      <c r="I400" s="22">
        <f>IFERROR(VLOOKUP(B400,MATRICULAS!A:B,2,0),0)*1</f>
        <v>0</v>
      </c>
      <c r="J400" s="27">
        <v>20260529</v>
      </c>
      <c r="K400" s="27">
        <v>149405048</v>
      </c>
      <c r="L400" s="27" t="s">
        <v>134</v>
      </c>
      <c r="M400" s="27" t="s">
        <v>56</v>
      </c>
      <c r="N400" s="27">
        <v>0</v>
      </c>
      <c r="O400" s="27">
        <v>0</v>
      </c>
      <c r="P400" s="27" t="s">
        <v>57</v>
      </c>
      <c r="Q400" s="27">
        <v>150</v>
      </c>
      <c r="R400" s="27" t="s">
        <v>174</v>
      </c>
      <c r="S400" s="27">
        <v>27</v>
      </c>
      <c r="T400" s="27" t="s">
        <v>58</v>
      </c>
      <c r="U400" s="27" t="s">
        <v>59</v>
      </c>
      <c r="V400" s="30">
        <v>46171.830949074072</v>
      </c>
      <c r="W400" s="30">
        <v>46171.830949074072</v>
      </c>
      <c r="X400" s="30">
        <v>46171.836296296293</v>
      </c>
      <c r="Y400" s="27" t="s">
        <v>117</v>
      </c>
      <c r="Z400" s="27" t="s">
        <v>210</v>
      </c>
      <c r="AA400" s="27" t="s">
        <v>53</v>
      </c>
      <c r="AB400" s="27" t="s">
        <v>60</v>
      </c>
      <c r="AC400" s="27" t="s">
        <v>211</v>
      </c>
      <c r="AD400" s="27" t="s">
        <v>118</v>
      </c>
      <c r="AE400" s="27" t="s">
        <v>61</v>
      </c>
      <c r="AF400" s="27" t="s">
        <v>62</v>
      </c>
      <c r="AG400" s="27" t="s">
        <v>63</v>
      </c>
      <c r="AH400" s="27">
        <v>0</v>
      </c>
      <c r="AI400" s="27">
        <v>0</v>
      </c>
      <c r="AJ400" s="27">
        <v>0</v>
      </c>
      <c r="AK400" s="27">
        <v>0</v>
      </c>
      <c r="AL400" s="27" t="s">
        <v>64</v>
      </c>
      <c r="AM400" s="27">
        <v>3</v>
      </c>
      <c r="AN400" s="27">
        <v>463</v>
      </c>
      <c r="AO400" s="27" t="s">
        <v>65</v>
      </c>
      <c r="AP400" s="27">
        <v>37</v>
      </c>
      <c r="AQ400" s="27">
        <v>201</v>
      </c>
      <c r="AR400" s="27">
        <v>2509156</v>
      </c>
      <c r="AS400" s="27" t="s">
        <v>118</v>
      </c>
      <c r="AT400" s="27" t="s">
        <v>212</v>
      </c>
      <c r="AU400" s="31" t="s">
        <v>118</v>
      </c>
    </row>
    <row r="401" spans="1:47" x14ac:dyDescent="0.25">
      <c r="A401" s="7">
        <f>+CONCATENATE(DAY(V401),"/",MONTH(V401),"/",YEAR(V401),"")*1</f>
        <v>46171</v>
      </c>
      <c r="B401" s="23">
        <f>+Z401*1</f>
        <v>1122741132</v>
      </c>
      <c r="C401" s="21" t="str">
        <f>+AA401</f>
        <v>ENTRANTE</v>
      </c>
      <c r="D401" s="3" t="str">
        <f>VLOOKUP(Q401,Code!E:F,2,0)</f>
        <v>Admisiones</v>
      </c>
      <c r="E401" s="3" t="s">
        <v>55</v>
      </c>
      <c r="F401" s="3">
        <f>+AP401</f>
        <v>37</v>
      </c>
      <c r="G401" s="3">
        <f>+S401</f>
        <v>27</v>
      </c>
      <c r="H401" s="22">
        <f>+HOUR(V401)</f>
        <v>19</v>
      </c>
      <c r="I401" s="22">
        <f>IFERROR(VLOOKUP(B401,MATRICULAS!A:B,2,0),0)*1</f>
        <v>0</v>
      </c>
      <c r="J401" s="26">
        <v>20260529</v>
      </c>
      <c r="K401" s="26">
        <v>149405047</v>
      </c>
      <c r="L401" s="26" t="s">
        <v>134</v>
      </c>
      <c r="M401" s="26" t="s">
        <v>56</v>
      </c>
      <c r="N401" s="26">
        <v>0</v>
      </c>
      <c r="O401" s="26">
        <v>0</v>
      </c>
      <c r="P401" s="26" t="s">
        <v>57</v>
      </c>
      <c r="Q401" s="26">
        <v>150</v>
      </c>
      <c r="R401" s="26" t="s">
        <v>206</v>
      </c>
      <c r="S401" s="26">
        <v>27</v>
      </c>
      <c r="T401" s="26" t="s">
        <v>58</v>
      </c>
      <c r="U401" s="26" t="s">
        <v>59</v>
      </c>
      <c r="V401" s="28">
        <v>46171.830925925926</v>
      </c>
      <c r="W401" s="28">
        <v>46171.830937500003</v>
      </c>
      <c r="X401" s="28">
        <v>46171.833472222221</v>
      </c>
      <c r="Y401" s="26" t="s">
        <v>117</v>
      </c>
      <c r="Z401" s="26" t="s">
        <v>213</v>
      </c>
      <c r="AA401" s="26" t="s">
        <v>53</v>
      </c>
      <c r="AB401" s="26" t="s">
        <v>60</v>
      </c>
      <c r="AC401" s="26" t="s">
        <v>214</v>
      </c>
      <c r="AD401" s="26" t="s">
        <v>118</v>
      </c>
      <c r="AE401" s="26" t="s">
        <v>66</v>
      </c>
      <c r="AF401" s="26" t="s">
        <v>67</v>
      </c>
      <c r="AG401" s="26" t="s">
        <v>67</v>
      </c>
      <c r="AH401" s="26">
        <v>0</v>
      </c>
      <c r="AI401" s="26">
        <v>0</v>
      </c>
      <c r="AJ401" s="26">
        <v>0</v>
      </c>
      <c r="AK401" s="26">
        <v>0</v>
      </c>
      <c r="AL401" s="26" t="s">
        <v>64</v>
      </c>
      <c r="AM401" s="26">
        <v>3</v>
      </c>
      <c r="AN401" s="26">
        <v>220</v>
      </c>
      <c r="AO401" s="26" t="s">
        <v>65</v>
      </c>
      <c r="AP401" s="26">
        <v>37</v>
      </c>
      <c r="AQ401" s="26">
        <v>0</v>
      </c>
      <c r="AR401" s="26">
        <v>0</v>
      </c>
      <c r="AS401" s="26" t="s">
        <v>118</v>
      </c>
      <c r="AT401" s="26" t="s">
        <v>215</v>
      </c>
      <c r="AU401" s="29" t="s">
        <v>118</v>
      </c>
    </row>
    <row r="402" spans="1:47" x14ac:dyDescent="0.25">
      <c r="A402" s="7">
        <f>+CONCATENATE(DAY(V402),"/",MONTH(V402),"/",YEAR(V402),"")*1</f>
        <v>46171</v>
      </c>
      <c r="B402" s="23">
        <f>+Z402*1</f>
        <v>3585180073</v>
      </c>
      <c r="C402" s="21" t="str">
        <f>+AA402</f>
        <v>ENTRANTE</v>
      </c>
      <c r="D402" s="3" t="str">
        <f>VLOOKUP(Q402,Code!E:F,2,0)</f>
        <v>Admisiones</v>
      </c>
      <c r="E402" s="3" t="s">
        <v>55</v>
      </c>
      <c r="F402" s="3">
        <f>+AP402</f>
        <v>37</v>
      </c>
      <c r="G402" s="3">
        <f>+S402</f>
        <v>27</v>
      </c>
      <c r="H402" s="22">
        <f>+HOUR(V402)</f>
        <v>19</v>
      </c>
      <c r="I402" s="22">
        <f>IFERROR(VLOOKUP(B402,MATRICULAS!A:B,2,0),0)*1</f>
        <v>0</v>
      </c>
      <c r="J402" s="27">
        <v>20260529</v>
      </c>
      <c r="K402" s="27">
        <v>149404429</v>
      </c>
      <c r="L402" s="27" t="s">
        <v>134</v>
      </c>
      <c r="M402" s="27" t="s">
        <v>56</v>
      </c>
      <c r="N402" s="27">
        <v>0</v>
      </c>
      <c r="O402" s="27">
        <v>0</v>
      </c>
      <c r="P402" s="27" t="s">
        <v>57</v>
      </c>
      <c r="Q402" s="27">
        <v>150</v>
      </c>
      <c r="R402" s="27" t="s">
        <v>174</v>
      </c>
      <c r="S402" s="27">
        <v>27</v>
      </c>
      <c r="T402" s="27" t="s">
        <v>58</v>
      </c>
      <c r="U402" s="27" t="s">
        <v>59</v>
      </c>
      <c r="V402" s="30">
        <v>46171.807789351849</v>
      </c>
      <c r="W402" s="30">
        <v>46171.807789351849</v>
      </c>
      <c r="X402" s="30">
        <v>46171.810891203706</v>
      </c>
      <c r="Y402" s="27" t="s">
        <v>117</v>
      </c>
      <c r="Z402" s="27" t="s">
        <v>216</v>
      </c>
      <c r="AA402" s="27" t="s">
        <v>53</v>
      </c>
      <c r="AB402" s="27" t="s">
        <v>60</v>
      </c>
      <c r="AC402" s="27" t="s">
        <v>217</v>
      </c>
      <c r="AD402" s="27" t="s">
        <v>118</v>
      </c>
      <c r="AE402" s="27" t="s">
        <v>70</v>
      </c>
      <c r="AF402" s="27" t="s">
        <v>130</v>
      </c>
      <c r="AG402" s="27" t="s">
        <v>218</v>
      </c>
      <c r="AH402" s="27">
        <v>0</v>
      </c>
      <c r="AI402" s="27">
        <v>0</v>
      </c>
      <c r="AJ402" s="27">
        <v>0</v>
      </c>
      <c r="AK402" s="27">
        <v>0</v>
      </c>
      <c r="AL402" s="27" t="s">
        <v>64</v>
      </c>
      <c r="AM402" s="27">
        <v>3</v>
      </c>
      <c r="AN402" s="27">
        <v>268</v>
      </c>
      <c r="AO402" s="27" t="s">
        <v>65</v>
      </c>
      <c r="AP402" s="27">
        <v>37</v>
      </c>
      <c r="AQ402" s="27">
        <v>201</v>
      </c>
      <c r="AR402" s="27">
        <v>2506526</v>
      </c>
      <c r="AS402" s="27" t="s">
        <v>118</v>
      </c>
      <c r="AT402" s="27" t="s">
        <v>219</v>
      </c>
      <c r="AU402" s="31" t="s">
        <v>118</v>
      </c>
    </row>
    <row r="403" spans="1:47" x14ac:dyDescent="0.25">
      <c r="A403" s="7">
        <f>+CONCATENATE(DAY(V403),"/",MONTH(V403),"/",YEAR(V403),"")*1</f>
        <v>46171</v>
      </c>
      <c r="B403" s="23">
        <f>+Z403*1</f>
        <v>2616821075</v>
      </c>
      <c r="C403" s="21" t="str">
        <f>+AA403</f>
        <v>ENTRANTE</v>
      </c>
      <c r="D403" s="3" t="str">
        <f>VLOOKUP(Q403,Code!E:F,2,0)</f>
        <v>Admisiones</v>
      </c>
      <c r="E403" s="3" t="s">
        <v>55</v>
      </c>
      <c r="F403" s="3">
        <f>+AP403</f>
        <v>37</v>
      </c>
      <c r="G403" s="3">
        <f>+S403</f>
        <v>27</v>
      </c>
      <c r="H403" s="22">
        <f>+HOUR(V403)</f>
        <v>19</v>
      </c>
      <c r="I403" s="22">
        <f>IFERROR(VLOOKUP(B403,MATRICULAS!A:B,2,0),0)*1</f>
        <v>0</v>
      </c>
      <c r="J403" s="26">
        <v>20260529</v>
      </c>
      <c r="K403" s="26">
        <v>149404376</v>
      </c>
      <c r="L403" s="26" t="s">
        <v>134</v>
      </c>
      <c r="M403" s="26" t="s">
        <v>56</v>
      </c>
      <c r="N403" s="26">
        <v>0</v>
      </c>
      <c r="O403" s="26">
        <v>0</v>
      </c>
      <c r="P403" s="26" t="s">
        <v>57</v>
      </c>
      <c r="Q403" s="26">
        <v>150</v>
      </c>
      <c r="R403" s="26" t="s">
        <v>174</v>
      </c>
      <c r="S403" s="26">
        <v>27</v>
      </c>
      <c r="T403" s="26" t="s">
        <v>58</v>
      </c>
      <c r="U403" s="26" t="s">
        <v>59</v>
      </c>
      <c r="V403" s="28">
        <v>46171.805983796294</v>
      </c>
      <c r="W403" s="28">
        <v>46171.805983796294</v>
      </c>
      <c r="X403" s="28">
        <v>46171.807627314818</v>
      </c>
      <c r="Y403" s="26" t="s">
        <v>117</v>
      </c>
      <c r="Z403" s="26" t="s">
        <v>220</v>
      </c>
      <c r="AA403" s="26" t="s">
        <v>53</v>
      </c>
      <c r="AB403" s="26" t="s">
        <v>60</v>
      </c>
      <c r="AC403" s="26" t="s">
        <v>221</v>
      </c>
      <c r="AD403" s="26" t="s">
        <v>118</v>
      </c>
      <c r="AE403" s="26" t="s">
        <v>61</v>
      </c>
      <c r="AF403" s="26" t="s">
        <v>62</v>
      </c>
      <c r="AG403" s="26" t="s">
        <v>63</v>
      </c>
      <c r="AH403" s="26">
        <v>0</v>
      </c>
      <c r="AI403" s="26">
        <v>0</v>
      </c>
      <c r="AJ403" s="26">
        <v>0</v>
      </c>
      <c r="AK403" s="26">
        <v>0</v>
      </c>
      <c r="AL403" s="26" t="s">
        <v>64</v>
      </c>
      <c r="AM403" s="26">
        <v>3</v>
      </c>
      <c r="AN403" s="26">
        <v>143</v>
      </c>
      <c r="AO403" s="26" t="s">
        <v>65</v>
      </c>
      <c r="AP403" s="26">
        <v>37</v>
      </c>
      <c r="AQ403" s="26">
        <v>0</v>
      </c>
      <c r="AR403" s="26">
        <v>0</v>
      </c>
      <c r="AS403" s="26" t="s">
        <v>118</v>
      </c>
      <c r="AT403" s="26" t="s">
        <v>222</v>
      </c>
      <c r="AU403" s="29" t="s">
        <v>118</v>
      </c>
    </row>
    <row r="404" spans="1:47" x14ac:dyDescent="0.25">
      <c r="A404" s="7">
        <f>+CONCATENATE(DAY(V404),"/",MONTH(V404),"/",YEAR(V404),"")*1</f>
        <v>46171</v>
      </c>
      <c r="B404" s="23">
        <f>+Z404*1</f>
        <v>2302349967</v>
      </c>
      <c r="C404" s="21" t="str">
        <f>+AA404</f>
        <v>ENTRANTE</v>
      </c>
      <c r="D404" s="3" t="str">
        <f>VLOOKUP(Q404,Code!E:F,2,0)</f>
        <v>Admisiones</v>
      </c>
      <c r="E404" s="3" t="s">
        <v>55</v>
      </c>
      <c r="F404" s="3">
        <f>+AP404</f>
        <v>37</v>
      </c>
      <c r="G404" s="3">
        <f>+S404</f>
        <v>27</v>
      </c>
      <c r="H404" s="22">
        <f>+HOUR(V404)</f>
        <v>17</v>
      </c>
      <c r="I404" s="22">
        <f>IFERROR(VLOOKUP(B404,MATRICULAS!A:B,2,0),0)*1</f>
        <v>0</v>
      </c>
      <c r="J404" s="27">
        <v>20260529</v>
      </c>
      <c r="K404" s="27">
        <v>149402683</v>
      </c>
      <c r="L404" s="27" t="s">
        <v>134</v>
      </c>
      <c r="M404" s="27" t="s">
        <v>56</v>
      </c>
      <c r="N404" s="27">
        <v>0</v>
      </c>
      <c r="O404" s="27">
        <v>0</v>
      </c>
      <c r="P404" s="27" t="s">
        <v>57</v>
      </c>
      <c r="Q404" s="27">
        <v>150</v>
      </c>
      <c r="R404" s="27" t="s">
        <v>174</v>
      </c>
      <c r="S404" s="27">
        <v>27</v>
      </c>
      <c r="T404" s="27" t="s">
        <v>58</v>
      </c>
      <c r="U404" s="27" t="s">
        <v>59</v>
      </c>
      <c r="V404" s="30">
        <v>46171.737303240741</v>
      </c>
      <c r="W404" s="30">
        <v>46171.737314814818</v>
      </c>
      <c r="X404" s="30">
        <v>46171.745625000003</v>
      </c>
      <c r="Y404" s="27" t="s">
        <v>117</v>
      </c>
      <c r="Z404" s="27" t="s">
        <v>224</v>
      </c>
      <c r="AA404" s="27" t="s">
        <v>53</v>
      </c>
      <c r="AB404" s="27" t="s">
        <v>60</v>
      </c>
      <c r="AC404" s="27" t="s">
        <v>225</v>
      </c>
      <c r="AD404" s="27" t="s">
        <v>118</v>
      </c>
      <c r="AE404" s="27" t="s">
        <v>70</v>
      </c>
      <c r="AF404" s="27" t="s">
        <v>169</v>
      </c>
      <c r="AG404" s="27" t="s">
        <v>226</v>
      </c>
      <c r="AH404" s="27">
        <v>0</v>
      </c>
      <c r="AI404" s="27">
        <v>0</v>
      </c>
      <c r="AJ404" s="27">
        <v>0</v>
      </c>
      <c r="AK404" s="27">
        <v>0</v>
      </c>
      <c r="AL404" s="27" t="s">
        <v>64</v>
      </c>
      <c r="AM404" s="27">
        <v>3</v>
      </c>
      <c r="AN404" s="27">
        <v>719</v>
      </c>
      <c r="AO404" s="27" t="s">
        <v>65</v>
      </c>
      <c r="AP404" s="27">
        <v>37</v>
      </c>
      <c r="AQ404" s="27">
        <v>0</v>
      </c>
      <c r="AR404" s="27">
        <v>0</v>
      </c>
      <c r="AS404" s="27" t="s">
        <v>118</v>
      </c>
      <c r="AT404" s="27" t="s">
        <v>227</v>
      </c>
      <c r="AU404" s="31" t="s">
        <v>118</v>
      </c>
    </row>
    <row r="405" spans="1:47" x14ac:dyDescent="0.25">
      <c r="A405" s="7">
        <f>+CONCATENATE(DAY(V405),"/",MONTH(V405),"/",YEAR(V405),"")*1</f>
        <v>46171</v>
      </c>
      <c r="B405" s="23">
        <f>+Z405*1</f>
        <v>1165132086</v>
      </c>
      <c r="C405" s="21" t="str">
        <f>+AA405</f>
        <v>ENTRANTE</v>
      </c>
      <c r="D405" s="3" t="str">
        <f>VLOOKUP(Q405,Code!E:F,2,0)</f>
        <v>Admisiones</v>
      </c>
      <c r="E405" s="3" t="s">
        <v>55</v>
      </c>
      <c r="F405" s="3">
        <f>+AP405</f>
        <v>37</v>
      </c>
      <c r="G405" s="3">
        <f>+S405</f>
        <v>27</v>
      </c>
      <c r="H405" s="22">
        <f>+HOUR(V405)</f>
        <v>17</v>
      </c>
      <c r="I405" s="22">
        <f>IFERROR(VLOOKUP(B405,MATRICULAS!A:B,2,0),0)*1</f>
        <v>0</v>
      </c>
      <c r="J405" s="26">
        <v>20260529</v>
      </c>
      <c r="K405" s="26">
        <v>149402567</v>
      </c>
      <c r="L405" s="26" t="s">
        <v>134</v>
      </c>
      <c r="M405" s="26" t="s">
        <v>56</v>
      </c>
      <c r="N405" s="26">
        <v>0</v>
      </c>
      <c r="O405" s="26">
        <v>0</v>
      </c>
      <c r="P405" s="26" t="s">
        <v>57</v>
      </c>
      <c r="Q405" s="26">
        <v>150</v>
      </c>
      <c r="R405" s="26" t="s">
        <v>174</v>
      </c>
      <c r="S405" s="26">
        <v>27</v>
      </c>
      <c r="T405" s="26" t="s">
        <v>58</v>
      </c>
      <c r="U405" s="26" t="s">
        <v>59</v>
      </c>
      <c r="V405" s="28">
        <v>46171.731157407405</v>
      </c>
      <c r="W405" s="28">
        <v>46171.731157407405</v>
      </c>
      <c r="X405" s="28">
        <v>46171.733055555553</v>
      </c>
      <c r="Y405" s="26" t="s">
        <v>117</v>
      </c>
      <c r="Z405" s="26" t="s">
        <v>228</v>
      </c>
      <c r="AA405" s="26" t="s">
        <v>53</v>
      </c>
      <c r="AB405" s="26" t="s">
        <v>60</v>
      </c>
      <c r="AC405" s="26" t="s">
        <v>229</v>
      </c>
      <c r="AD405" s="26" t="s">
        <v>118</v>
      </c>
      <c r="AE405" s="26" t="s">
        <v>61</v>
      </c>
      <c r="AF405" s="26" t="s">
        <v>62</v>
      </c>
      <c r="AG405" s="26" t="s">
        <v>63</v>
      </c>
      <c r="AH405" s="26">
        <v>0</v>
      </c>
      <c r="AI405" s="26">
        <v>0</v>
      </c>
      <c r="AJ405" s="26">
        <v>0</v>
      </c>
      <c r="AK405" s="26">
        <v>0</v>
      </c>
      <c r="AL405" s="26" t="s">
        <v>64</v>
      </c>
      <c r="AM405" s="26">
        <v>3</v>
      </c>
      <c r="AN405" s="26">
        <v>164</v>
      </c>
      <c r="AO405" s="26" t="s">
        <v>65</v>
      </c>
      <c r="AP405" s="26">
        <v>37</v>
      </c>
      <c r="AQ405" s="26">
        <v>201</v>
      </c>
      <c r="AR405" s="26">
        <v>2509070</v>
      </c>
      <c r="AS405" s="26" t="s">
        <v>118</v>
      </c>
      <c r="AT405" s="26" t="s">
        <v>230</v>
      </c>
      <c r="AU405" s="29" t="s">
        <v>118</v>
      </c>
    </row>
    <row r="406" spans="1:47" x14ac:dyDescent="0.25">
      <c r="A406" s="7">
        <f>+CONCATENATE(DAY(V406),"/",MONTH(V406),"/",YEAR(V406),"")*1</f>
        <v>46171</v>
      </c>
      <c r="B406" s="23">
        <f>+Z406*1</f>
        <v>1159489179</v>
      </c>
      <c r="C406" s="21" t="str">
        <f>+AA406</f>
        <v>ENTRANTE</v>
      </c>
      <c r="D406" s="3" t="str">
        <f>VLOOKUP(Q406,Code!E:F,2,0)</f>
        <v>Admisiones</v>
      </c>
      <c r="E406" s="3" t="s">
        <v>55</v>
      </c>
      <c r="F406" s="3">
        <f>+AP406</f>
        <v>37</v>
      </c>
      <c r="G406" s="3">
        <f>+S406</f>
        <v>27</v>
      </c>
      <c r="H406" s="22">
        <f>+HOUR(V406)</f>
        <v>17</v>
      </c>
      <c r="I406" s="22">
        <f>IFERROR(VLOOKUP(B406,MATRICULAS!A:B,2,0),0)*1</f>
        <v>0</v>
      </c>
      <c r="J406" s="27">
        <v>20260529</v>
      </c>
      <c r="K406" s="27">
        <v>149402254</v>
      </c>
      <c r="L406" s="27" t="s">
        <v>134</v>
      </c>
      <c r="M406" s="27" t="s">
        <v>56</v>
      </c>
      <c r="N406" s="27">
        <v>0</v>
      </c>
      <c r="O406" s="27">
        <v>0</v>
      </c>
      <c r="P406" s="27" t="s">
        <v>57</v>
      </c>
      <c r="Q406" s="27">
        <v>150</v>
      </c>
      <c r="R406" s="27" t="s">
        <v>174</v>
      </c>
      <c r="S406" s="27">
        <v>27</v>
      </c>
      <c r="T406" s="27" t="s">
        <v>58</v>
      </c>
      <c r="U406" s="27" t="s">
        <v>59</v>
      </c>
      <c r="V406" s="30">
        <v>46171.718819444446</v>
      </c>
      <c r="W406" s="30">
        <v>46171.718819444446</v>
      </c>
      <c r="X406" s="30">
        <v>46171.721909722219</v>
      </c>
      <c r="Y406" s="27" t="s">
        <v>117</v>
      </c>
      <c r="Z406" s="27" t="s">
        <v>231</v>
      </c>
      <c r="AA406" s="27" t="s">
        <v>53</v>
      </c>
      <c r="AB406" s="27" t="s">
        <v>60</v>
      </c>
      <c r="AC406" s="27" t="s">
        <v>232</v>
      </c>
      <c r="AD406" s="27" t="s">
        <v>118</v>
      </c>
      <c r="AE406" s="27" t="s">
        <v>61</v>
      </c>
      <c r="AF406" s="27" t="s">
        <v>62</v>
      </c>
      <c r="AG406" s="27" t="s">
        <v>63</v>
      </c>
      <c r="AH406" s="27">
        <v>0</v>
      </c>
      <c r="AI406" s="27">
        <v>0</v>
      </c>
      <c r="AJ406" s="27">
        <v>0</v>
      </c>
      <c r="AK406" s="27">
        <v>0</v>
      </c>
      <c r="AL406" s="27" t="s">
        <v>64</v>
      </c>
      <c r="AM406" s="27">
        <v>3</v>
      </c>
      <c r="AN406" s="27">
        <v>267</v>
      </c>
      <c r="AO406" s="27" t="s">
        <v>65</v>
      </c>
      <c r="AP406" s="27">
        <v>37</v>
      </c>
      <c r="AQ406" s="27">
        <v>202</v>
      </c>
      <c r="AR406" s="27">
        <v>2505884</v>
      </c>
      <c r="AS406" s="27" t="s">
        <v>118</v>
      </c>
      <c r="AT406" s="27" t="s">
        <v>233</v>
      </c>
      <c r="AU406" s="31" t="s">
        <v>118</v>
      </c>
    </row>
    <row r="407" spans="1:47" x14ac:dyDescent="0.25">
      <c r="A407" s="7">
        <f>+CONCATENATE(DAY(V407),"/",MONTH(V407),"/",YEAR(V407),"")*1</f>
        <v>46171</v>
      </c>
      <c r="B407" s="23">
        <f>+Z407*1</f>
        <v>2994280550</v>
      </c>
      <c r="C407" s="21" t="str">
        <f>+AA407</f>
        <v>ENTRANTE</v>
      </c>
      <c r="D407" s="3" t="str">
        <f>VLOOKUP(Q407,Code!E:F,2,0)</f>
        <v>Admisiones</v>
      </c>
      <c r="E407" s="3" t="s">
        <v>55</v>
      </c>
      <c r="F407" s="3">
        <f>+AP407</f>
        <v>37</v>
      </c>
      <c r="G407" s="3">
        <f>+S407</f>
        <v>0</v>
      </c>
      <c r="H407" s="22">
        <f>+HOUR(V407)</f>
        <v>16</v>
      </c>
      <c r="I407" s="22">
        <f>IFERROR(VLOOKUP(B407,MATRICULAS!A:B,2,0),0)*1</f>
        <v>0</v>
      </c>
      <c r="J407" s="26">
        <v>20260529</v>
      </c>
      <c r="K407" s="26">
        <v>149401863</v>
      </c>
      <c r="L407" s="26" t="s">
        <v>134</v>
      </c>
      <c r="M407" s="26" t="s">
        <v>56</v>
      </c>
      <c r="N407" s="26">
        <v>0</v>
      </c>
      <c r="O407" s="26">
        <v>0</v>
      </c>
      <c r="P407" s="26" t="s">
        <v>57</v>
      </c>
      <c r="Q407" s="26">
        <v>150</v>
      </c>
      <c r="R407" s="26" t="s">
        <v>234</v>
      </c>
      <c r="S407" s="26">
        <v>0</v>
      </c>
      <c r="T407" s="26" t="s">
        <v>58</v>
      </c>
      <c r="U407" s="26" t="s">
        <v>59</v>
      </c>
      <c r="V407" s="28">
        <v>46171.704513888886</v>
      </c>
      <c r="W407" s="28">
        <v>46171.704513888886</v>
      </c>
      <c r="X407" s="28">
        <v>46171.716631944444</v>
      </c>
      <c r="Y407" s="26" t="s">
        <v>117</v>
      </c>
      <c r="Z407" s="26" t="s">
        <v>235</v>
      </c>
      <c r="AA407" s="26" t="s">
        <v>53</v>
      </c>
      <c r="AB407" s="26" t="s">
        <v>60</v>
      </c>
      <c r="AC407" s="26" t="s">
        <v>236</v>
      </c>
      <c r="AD407" s="26" t="s">
        <v>118</v>
      </c>
      <c r="AE407" s="26" t="s">
        <v>61</v>
      </c>
      <c r="AF407" s="26" t="s">
        <v>62</v>
      </c>
      <c r="AG407" s="26" t="s">
        <v>63</v>
      </c>
      <c r="AH407" s="26">
        <v>0</v>
      </c>
      <c r="AI407" s="26">
        <v>0</v>
      </c>
      <c r="AJ407" s="26">
        <v>0</v>
      </c>
      <c r="AK407" s="26">
        <v>0</v>
      </c>
      <c r="AL407" s="26" t="s">
        <v>64</v>
      </c>
      <c r="AM407" s="26">
        <v>3</v>
      </c>
      <c r="AN407" s="26">
        <v>1047</v>
      </c>
      <c r="AO407" s="26" t="s">
        <v>65</v>
      </c>
      <c r="AP407" s="26">
        <v>37</v>
      </c>
      <c r="AQ407" s="26">
        <v>202</v>
      </c>
      <c r="AR407" s="26">
        <v>2508229</v>
      </c>
      <c r="AS407" s="26" t="s">
        <v>118</v>
      </c>
      <c r="AT407" s="26" t="s">
        <v>237</v>
      </c>
      <c r="AU407" s="29" t="s">
        <v>118</v>
      </c>
    </row>
    <row r="408" spans="1:47" x14ac:dyDescent="0.25">
      <c r="A408" s="7">
        <f>+CONCATENATE(DAY(V408),"/",MONTH(V408),"/",YEAR(V408),"")*1</f>
        <v>46171</v>
      </c>
      <c r="B408" s="23">
        <f>+Z408*1</f>
        <v>1153331172</v>
      </c>
      <c r="C408" s="21" t="str">
        <f>+AA408</f>
        <v>ENTRANTE</v>
      </c>
      <c r="D408" s="3" t="str">
        <f>VLOOKUP(Q408,Code!E:F,2,0)</f>
        <v>Admisiones</v>
      </c>
      <c r="E408" s="3" t="s">
        <v>55</v>
      </c>
      <c r="F408" s="3">
        <f>+AP408</f>
        <v>37</v>
      </c>
      <c r="G408" s="3">
        <f>+S408</f>
        <v>27</v>
      </c>
      <c r="H408" s="22">
        <f>+HOUR(V408)</f>
        <v>16</v>
      </c>
      <c r="I408" s="22">
        <f>IFERROR(VLOOKUP(B408,MATRICULAS!A:B,2,0),0)*1</f>
        <v>0</v>
      </c>
      <c r="J408" s="27">
        <v>20260529</v>
      </c>
      <c r="K408" s="27">
        <v>149401398</v>
      </c>
      <c r="L408" s="27" t="s">
        <v>134</v>
      </c>
      <c r="M408" s="27" t="s">
        <v>56</v>
      </c>
      <c r="N408" s="27">
        <v>0</v>
      </c>
      <c r="O408" s="27">
        <v>0</v>
      </c>
      <c r="P408" s="27" t="s">
        <v>57</v>
      </c>
      <c r="Q408" s="27">
        <v>150</v>
      </c>
      <c r="R408" s="27" t="s">
        <v>206</v>
      </c>
      <c r="S408" s="27">
        <v>27</v>
      </c>
      <c r="T408" s="27" t="s">
        <v>58</v>
      </c>
      <c r="U408" s="27" t="s">
        <v>59</v>
      </c>
      <c r="V408" s="30">
        <v>46171.688900462963</v>
      </c>
      <c r="W408" s="30">
        <v>46171.68891203704</v>
      </c>
      <c r="X408" s="30">
        <v>46171.690775462965</v>
      </c>
      <c r="Y408" s="27" t="s">
        <v>117</v>
      </c>
      <c r="Z408" s="27" t="s">
        <v>238</v>
      </c>
      <c r="AA408" s="27" t="s">
        <v>53</v>
      </c>
      <c r="AB408" s="27" t="s">
        <v>60</v>
      </c>
      <c r="AC408" s="27" t="s">
        <v>239</v>
      </c>
      <c r="AD408" s="27" t="s">
        <v>118</v>
      </c>
      <c r="AE408" s="27" t="s">
        <v>61</v>
      </c>
      <c r="AF408" s="27" t="s">
        <v>62</v>
      </c>
      <c r="AG408" s="27" t="s">
        <v>63</v>
      </c>
      <c r="AH408" s="27">
        <v>0</v>
      </c>
      <c r="AI408" s="27">
        <v>0</v>
      </c>
      <c r="AJ408" s="27">
        <v>0</v>
      </c>
      <c r="AK408" s="27">
        <v>0</v>
      </c>
      <c r="AL408" s="27" t="s">
        <v>64</v>
      </c>
      <c r="AM408" s="27">
        <v>3</v>
      </c>
      <c r="AN408" s="27">
        <v>162</v>
      </c>
      <c r="AO408" s="27" t="s">
        <v>65</v>
      </c>
      <c r="AP408" s="27">
        <v>37</v>
      </c>
      <c r="AQ408" s="27">
        <v>0</v>
      </c>
      <c r="AR408" s="27">
        <v>0</v>
      </c>
      <c r="AS408" s="27" t="s">
        <v>118</v>
      </c>
      <c r="AT408" s="27" t="s">
        <v>240</v>
      </c>
      <c r="AU408" s="31" t="s">
        <v>118</v>
      </c>
    </row>
    <row r="409" spans="1:47" x14ac:dyDescent="0.25">
      <c r="A409" s="7">
        <f>+CONCATENATE(DAY(V409),"/",MONTH(V409),"/",YEAR(V409),"")*1</f>
        <v>46171</v>
      </c>
      <c r="B409" s="23">
        <f>+Z409*1</f>
        <v>1153257382</v>
      </c>
      <c r="C409" s="21" t="str">
        <f>+AA409</f>
        <v>ENTRANTE</v>
      </c>
      <c r="D409" s="3" t="str">
        <f>VLOOKUP(Q409,Code!E:F,2,0)</f>
        <v>Admisiones</v>
      </c>
      <c r="E409" s="3" t="s">
        <v>55</v>
      </c>
      <c r="F409" s="3">
        <f>+AP409</f>
        <v>37</v>
      </c>
      <c r="G409" s="3">
        <f>+S409</f>
        <v>0</v>
      </c>
      <c r="H409" s="22">
        <f>+HOUR(V409)</f>
        <v>16</v>
      </c>
      <c r="I409" s="22">
        <f>IFERROR(VLOOKUP(B409,MATRICULAS!A:B,2,0),0)*1</f>
        <v>0</v>
      </c>
      <c r="J409" s="26">
        <v>20260529</v>
      </c>
      <c r="K409" s="26">
        <v>149401180</v>
      </c>
      <c r="L409" s="26" t="s">
        <v>134</v>
      </c>
      <c r="M409" s="26" t="s">
        <v>56</v>
      </c>
      <c r="N409" s="26">
        <v>0</v>
      </c>
      <c r="O409" s="26">
        <v>0</v>
      </c>
      <c r="P409" s="26" t="s">
        <v>57</v>
      </c>
      <c r="Q409" s="26">
        <v>150</v>
      </c>
      <c r="R409" s="26" t="s">
        <v>161</v>
      </c>
      <c r="S409" s="26">
        <v>0</v>
      </c>
      <c r="T409" s="26" t="s">
        <v>58</v>
      </c>
      <c r="U409" s="26" t="s">
        <v>59</v>
      </c>
      <c r="V409" s="28">
        <v>46171.680868055555</v>
      </c>
      <c r="W409" s="28">
        <v>46171.680868055555</v>
      </c>
      <c r="X409" s="28">
        <v>46171.691932870373</v>
      </c>
      <c r="Y409" s="26" t="s">
        <v>117</v>
      </c>
      <c r="Z409" s="26" t="s">
        <v>241</v>
      </c>
      <c r="AA409" s="26" t="s">
        <v>53</v>
      </c>
      <c r="AB409" s="26" t="s">
        <v>60</v>
      </c>
      <c r="AC409" s="26" t="s">
        <v>242</v>
      </c>
      <c r="AD409" s="26" t="s">
        <v>118</v>
      </c>
      <c r="AE409" s="26" t="s">
        <v>61</v>
      </c>
      <c r="AF409" s="26" t="s">
        <v>62</v>
      </c>
      <c r="AG409" s="26" t="s">
        <v>63</v>
      </c>
      <c r="AH409" s="26">
        <v>0</v>
      </c>
      <c r="AI409" s="26">
        <v>0</v>
      </c>
      <c r="AJ409" s="26">
        <v>0</v>
      </c>
      <c r="AK409" s="26">
        <v>0</v>
      </c>
      <c r="AL409" s="26" t="s">
        <v>64</v>
      </c>
      <c r="AM409" s="26">
        <v>3</v>
      </c>
      <c r="AN409" s="26">
        <v>956</v>
      </c>
      <c r="AO409" s="26" t="s">
        <v>65</v>
      </c>
      <c r="AP409" s="26">
        <v>37</v>
      </c>
      <c r="AQ409" s="26">
        <v>202</v>
      </c>
      <c r="AR409" s="26">
        <v>2501107</v>
      </c>
      <c r="AS409" s="26" t="s">
        <v>118</v>
      </c>
      <c r="AT409" s="26" t="s">
        <v>243</v>
      </c>
      <c r="AU409" s="29" t="s">
        <v>118</v>
      </c>
    </row>
    <row r="410" spans="1:47" x14ac:dyDescent="0.25">
      <c r="A410" s="7">
        <f>+CONCATENATE(DAY(V410),"/",MONTH(V410),"/",YEAR(V410),"")*1</f>
        <v>46171</v>
      </c>
      <c r="B410" s="23">
        <f>+Z410*1</f>
        <v>1130321018</v>
      </c>
      <c r="C410" s="21" t="str">
        <f>+AA410</f>
        <v>ENTRANTE</v>
      </c>
      <c r="D410" s="3" t="str">
        <f>VLOOKUP(Q410,Code!E:F,2,0)</f>
        <v>Admisiones</v>
      </c>
      <c r="E410" s="3" t="s">
        <v>55</v>
      </c>
      <c r="F410" s="3">
        <f>+AP410</f>
        <v>37</v>
      </c>
      <c r="G410" s="3">
        <f>+S410</f>
        <v>27</v>
      </c>
      <c r="H410" s="22">
        <f>+HOUR(V410)</f>
        <v>15</v>
      </c>
      <c r="I410" s="22">
        <f>IFERROR(VLOOKUP(B410,MATRICULAS!A:B,2,0),0)*1</f>
        <v>0</v>
      </c>
      <c r="J410" s="27">
        <v>20260529</v>
      </c>
      <c r="K410" s="27">
        <v>149400288</v>
      </c>
      <c r="L410" s="27" t="s">
        <v>134</v>
      </c>
      <c r="M410" s="27" t="s">
        <v>56</v>
      </c>
      <c r="N410" s="27">
        <v>0</v>
      </c>
      <c r="O410" s="27">
        <v>0</v>
      </c>
      <c r="P410" s="27" t="s">
        <v>57</v>
      </c>
      <c r="Q410" s="27">
        <v>150</v>
      </c>
      <c r="R410" s="27" t="s">
        <v>206</v>
      </c>
      <c r="S410" s="27">
        <v>27</v>
      </c>
      <c r="T410" s="27" t="s">
        <v>58</v>
      </c>
      <c r="U410" s="27" t="s">
        <v>59</v>
      </c>
      <c r="V410" s="30">
        <v>46171.646041666667</v>
      </c>
      <c r="W410" s="30">
        <v>46171.646041666667</v>
      </c>
      <c r="X410" s="30">
        <v>46171.654814814814</v>
      </c>
      <c r="Y410" s="27" t="s">
        <v>117</v>
      </c>
      <c r="Z410" s="27" t="s">
        <v>244</v>
      </c>
      <c r="AA410" s="27" t="s">
        <v>53</v>
      </c>
      <c r="AB410" s="27" t="s">
        <v>60</v>
      </c>
      <c r="AC410" s="27" t="s">
        <v>245</v>
      </c>
      <c r="AD410" s="27" t="s">
        <v>118</v>
      </c>
      <c r="AE410" s="27" t="s">
        <v>61</v>
      </c>
      <c r="AF410" s="27" t="s">
        <v>62</v>
      </c>
      <c r="AG410" s="27" t="s">
        <v>63</v>
      </c>
      <c r="AH410" s="27">
        <v>0</v>
      </c>
      <c r="AI410" s="27">
        <v>0</v>
      </c>
      <c r="AJ410" s="27">
        <v>0</v>
      </c>
      <c r="AK410" s="27">
        <v>0</v>
      </c>
      <c r="AL410" s="27" t="s">
        <v>64</v>
      </c>
      <c r="AM410" s="27">
        <v>3</v>
      </c>
      <c r="AN410" s="27">
        <v>758</v>
      </c>
      <c r="AO410" s="27" t="s">
        <v>65</v>
      </c>
      <c r="AP410" s="27">
        <v>37</v>
      </c>
      <c r="AQ410" s="27">
        <v>201</v>
      </c>
      <c r="AR410" s="27">
        <v>2506722</v>
      </c>
      <c r="AS410" s="27" t="s">
        <v>118</v>
      </c>
      <c r="AT410" s="27" t="s">
        <v>246</v>
      </c>
      <c r="AU410" s="31" t="s">
        <v>118</v>
      </c>
    </row>
    <row r="411" spans="1:47" x14ac:dyDescent="0.25">
      <c r="A411" s="7">
        <f>+CONCATENATE(DAY(V411),"/",MONTH(V411),"/",YEAR(V411),"")*1</f>
        <v>46171</v>
      </c>
      <c r="B411" s="23">
        <f>+Z411*1</f>
        <v>1158421482</v>
      </c>
      <c r="C411" s="21" t="str">
        <f>+AA411</f>
        <v>ENTRANTE</v>
      </c>
      <c r="D411" s="3" t="str">
        <f>VLOOKUP(Q411,Code!E:F,2,0)</f>
        <v>Admisiones</v>
      </c>
      <c r="E411" s="3" t="s">
        <v>55</v>
      </c>
      <c r="F411" s="3">
        <f>+AP411</f>
        <v>37</v>
      </c>
      <c r="G411" s="3">
        <f>+S411</f>
        <v>0</v>
      </c>
      <c r="H411" s="22">
        <f>+HOUR(V411)</f>
        <v>13</v>
      </c>
      <c r="I411" s="22">
        <f>IFERROR(VLOOKUP(B411,MATRICULAS!A:B,2,0),0)*1</f>
        <v>0</v>
      </c>
      <c r="J411" s="26">
        <v>20260529</v>
      </c>
      <c r="K411" s="26">
        <v>149398499</v>
      </c>
      <c r="L411" s="26" t="s">
        <v>134</v>
      </c>
      <c r="M411" s="26" t="s">
        <v>56</v>
      </c>
      <c r="N411" s="26">
        <v>0</v>
      </c>
      <c r="O411" s="26">
        <v>0</v>
      </c>
      <c r="P411" s="26" t="s">
        <v>57</v>
      </c>
      <c r="Q411" s="26">
        <v>150</v>
      </c>
      <c r="R411" s="26" t="s">
        <v>247</v>
      </c>
      <c r="S411" s="26">
        <v>0</v>
      </c>
      <c r="T411" s="26" t="s">
        <v>58</v>
      </c>
      <c r="U411" s="26" t="s">
        <v>59</v>
      </c>
      <c r="V411" s="28">
        <v>46171.565810185188</v>
      </c>
      <c r="W411" s="28">
        <v>46171.565810185188</v>
      </c>
      <c r="X411" s="28">
        <v>46171.570821759262</v>
      </c>
      <c r="Y411" s="26" t="s">
        <v>117</v>
      </c>
      <c r="Z411" s="26" t="s">
        <v>248</v>
      </c>
      <c r="AA411" s="26" t="s">
        <v>53</v>
      </c>
      <c r="AB411" s="26" t="s">
        <v>60</v>
      </c>
      <c r="AC411" s="26" t="s">
        <v>249</v>
      </c>
      <c r="AD411" s="26" t="s">
        <v>118</v>
      </c>
      <c r="AE411" s="26" t="s">
        <v>61</v>
      </c>
      <c r="AF411" s="26" t="s">
        <v>62</v>
      </c>
      <c r="AG411" s="26" t="s">
        <v>63</v>
      </c>
      <c r="AH411" s="26">
        <v>0</v>
      </c>
      <c r="AI411" s="26">
        <v>0</v>
      </c>
      <c r="AJ411" s="26">
        <v>0</v>
      </c>
      <c r="AK411" s="26">
        <v>0</v>
      </c>
      <c r="AL411" s="26" t="s">
        <v>64</v>
      </c>
      <c r="AM411" s="26">
        <v>3</v>
      </c>
      <c r="AN411" s="26">
        <v>433</v>
      </c>
      <c r="AO411" s="26" t="s">
        <v>65</v>
      </c>
      <c r="AP411" s="26">
        <v>37</v>
      </c>
      <c r="AQ411" s="26">
        <v>199</v>
      </c>
      <c r="AR411" s="26">
        <v>2477350</v>
      </c>
      <c r="AS411" s="26" t="s">
        <v>118</v>
      </c>
      <c r="AT411" s="26" t="s">
        <v>250</v>
      </c>
      <c r="AU411" s="29" t="s">
        <v>118</v>
      </c>
    </row>
    <row r="412" spans="1:47" x14ac:dyDescent="0.25">
      <c r="A412" s="7">
        <f>+CONCATENATE(DAY(V412),"/",MONTH(V412),"/",YEAR(V412),"")*1</f>
        <v>46171</v>
      </c>
      <c r="B412" s="23">
        <f>+Z412*1</f>
        <v>3812498030</v>
      </c>
      <c r="C412" s="21" t="str">
        <f>+AA412</f>
        <v>ENTRANTE</v>
      </c>
      <c r="D412" s="3" t="str">
        <f>VLOOKUP(Q412,Code!E:F,2,0)</f>
        <v>Admisiones</v>
      </c>
      <c r="E412" s="3" t="s">
        <v>55</v>
      </c>
      <c r="F412" s="3">
        <f>+AP412</f>
        <v>37</v>
      </c>
      <c r="G412" s="3">
        <f>+S412</f>
        <v>26</v>
      </c>
      <c r="H412" s="22">
        <f>+HOUR(V412)</f>
        <v>13</v>
      </c>
      <c r="I412" s="22">
        <f>IFERROR(VLOOKUP(B412,MATRICULAS!A:B,2,0),0)*1</f>
        <v>0</v>
      </c>
      <c r="J412" s="27">
        <v>20260529</v>
      </c>
      <c r="K412" s="27">
        <v>149398242</v>
      </c>
      <c r="L412" s="27" t="s">
        <v>134</v>
      </c>
      <c r="M412" s="27" t="s">
        <v>56</v>
      </c>
      <c r="N412" s="27">
        <v>0</v>
      </c>
      <c r="O412" s="27">
        <v>0</v>
      </c>
      <c r="P412" s="27" t="s">
        <v>57</v>
      </c>
      <c r="Q412" s="27">
        <v>150</v>
      </c>
      <c r="R412" s="27" t="s">
        <v>127</v>
      </c>
      <c r="S412" s="27">
        <v>26</v>
      </c>
      <c r="T412" s="27" t="s">
        <v>58</v>
      </c>
      <c r="U412" s="27" t="s">
        <v>59</v>
      </c>
      <c r="V412" s="30">
        <v>46171.553657407407</v>
      </c>
      <c r="W412" s="30">
        <v>46171.553657407407</v>
      </c>
      <c r="X412" s="30">
        <v>46171.560624999998</v>
      </c>
      <c r="Y412" s="27" t="s">
        <v>117</v>
      </c>
      <c r="Z412" s="27" t="s">
        <v>251</v>
      </c>
      <c r="AA412" s="27" t="s">
        <v>53</v>
      </c>
      <c r="AB412" s="27" t="s">
        <v>60</v>
      </c>
      <c r="AC412" s="27" t="s">
        <v>252</v>
      </c>
      <c r="AD412" s="27" t="s">
        <v>118</v>
      </c>
      <c r="AE412" s="27" t="s">
        <v>70</v>
      </c>
      <c r="AF412" s="27" t="s">
        <v>138</v>
      </c>
      <c r="AG412" s="27" t="s">
        <v>139</v>
      </c>
      <c r="AH412" s="27">
        <v>0</v>
      </c>
      <c r="AI412" s="27">
        <v>0</v>
      </c>
      <c r="AJ412" s="27">
        <v>0</v>
      </c>
      <c r="AK412" s="27">
        <v>0</v>
      </c>
      <c r="AL412" s="27" t="s">
        <v>64</v>
      </c>
      <c r="AM412" s="27">
        <v>3</v>
      </c>
      <c r="AN412" s="27">
        <v>602</v>
      </c>
      <c r="AO412" s="27" t="s">
        <v>65</v>
      </c>
      <c r="AP412" s="27">
        <v>37</v>
      </c>
      <c r="AQ412" s="27">
        <v>201</v>
      </c>
      <c r="AR412" s="27">
        <v>2508856</v>
      </c>
      <c r="AS412" s="27" t="s">
        <v>118</v>
      </c>
      <c r="AT412" s="27" t="s">
        <v>253</v>
      </c>
      <c r="AU412" s="31" t="s">
        <v>118</v>
      </c>
    </row>
    <row r="413" spans="1:47" x14ac:dyDescent="0.25">
      <c r="A413" s="7">
        <f>+CONCATENATE(DAY(V413),"/",MONTH(V413),"/",YEAR(V413),"")*1</f>
        <v>46171</v>
      </c>
      <c r="B413" s="23">
        <f>+Z413*1</f>
        <v>1166378034</v>
      </c>
      <c r="C413" s="21" t="str">
        <f>+AA413</f>
        <v>ENTRANTE</v>
      </c>
      <c r="D413" s="3" t="str">
        <f>VLOOKUP(Q413,Code!E:F,2,0)</f>
        <v>Admisiones</v>
      </c>
      <c r="E413" s="3" t="s">
        <v>55</v>
      </c>
      <c r="F413" s="3">
        <f>+AP413</f>
        <v>37</v>
      </c>
      <c r="G413" s="3">
        <f>+S413</f>
        <v>26</v>
      </c>
      <c r="H413" s="22">
        <f>+HOUR(V413)</f>
        <v>12</v>
      </c>
      <c r="I413" s="22">
        <f>IFERROR(VLOOKUP(B413,MATRICULAS!A:B,2,0),0)*1</f>
        <v>0</v>
      </c>
      <c r="J413" s="26">
        <v>20260529</v>
      </c>
      <c r="K413" s="26">
        <v>149397492</v>
      </c>
      <c r="L413" s="26" t="s">
        <v>134</v>
      </c>
      <c r="M413" s="26" t="s">
        <v>56</v>
      </c>
      <c r="N413" s="26">
        <v>0</v>
      </c>
      <c r="O413" s="26">
        <v>0</v>
      </c>
      <c r="P413" s="26" t="s">
        <v>57</v>
      </c>
      <c r="Q413" s="26">
        <v>150</v>
      </c>
      <c r="R413" s="26" t="s">
        <v>127</v>
      </c>
      <c r="S413" s="26">
        <v>26</v>
      </c>
      <c r="T413" s="26" t="s">
        <v>58</v>
      </c>
      <c r="U413" s="26" t="s">
        <v>59</v>
      </c>
      <c r="V413" s="28">
        <v>46171.526539351849</v>
      </c>
      <c r="W413" s="28">
        <v>46171.526539351849</v>
      </c>
      <c r="X413" s="28">
        <v>46171.532442129632</v>
      </c>
      <c r="Y413" s="26" t="s">
        <v>117</v>
      </c>
      <c r="Z413" s="26" t="s">
        <v>254</v>
      </c>
      <c r="AA413" s="26" t="s">
        <v>53</v>
      </c>
      <c r="AB413" s="26" t="s">
        <v>60</v>
      </c>
      <c r="AC413" s="26" t="s">
        <v>255</v>
      </c>
      <c r="AD413" s="26" t="s">
        <v>118</v>
      </c>
      <c r="AE413" s="26" t="s">
        <v>61</v>
      </c>
      <c r="AF413" s="26" t="s">
        <v>62</v>
      </c>
      <c r="AG413" s="26" t="s">
        <v>63</v>
      </c>
      <c r="AH413" s="26">
        <v>0</v>
      </c>
      <c r="AI413" s="26">
        <v>0</v>
      </c>
      <c r="AJ413" s="26">
        <v>0</v>
      </c>
      <c r="AK413" s="26">
        <v>0</v>
      </c>
      <c r="AL413" s="26" t="s">
        <v>64</v>
      </c>
      <c r="AM413" s="26">
        <v>3</v>
      </c>
      <c r="AN413" s="26">
        <v>510</v>
      </c>
      <c r="AO413" s="26" t="s">
        <v>65</v>
      </c>
      <c r="AP413" s="26">
        <v>37</v>
      </c>
      <c r="AQ413" s="26">
        <v>1</v>
      </c>
      <c r="AR413" s="26">
        <v>2508821</v>
      </c>
      <c r="AS413" s="26" t="s">
        <v>256</v>
      </c>
      <c r="AT413" s="26" t="s">
        <v>257</v>
      </c>
      <c r="AU413" s="29" t="s">
        <v>118</v>
      </c>
    </row>
    <row r="414" spans="1:47" x14ac:dyDescent="0.25">
      <c r="A414" s="7">
        <f>+CONCATENATE(DAY(V414),"/",MONTH(V414),"/",YEAR(V414),"")*1</f>
        <v>46171</v>
      </c>
      <c r="B414" s="23">
        <f>+Z414*1</f>
        <v>1161247926</v>
      </c>
      <c r="C414" s="21" t="str">
        <f>+AA414</f>
        <v>ENTRANTE</v>
      </c>
      <c r="D414" s="3" t="str">
        <f>VLOOKUP(Q414,Code!E:F,2,0)</f>
        <v>Admisiones</v>
      </c>
      <c r="E414" s="3" t="s">
        <v>55</v>
      </c>
      <c r="F414" s="3">
        <f>+AP414</f>
        <v>37</v>
      </c>
      <c r="G414" s="3">
        <f>+S414</f>
        <v>26</v>
      </c>
      <c r="H414" s="22">
        <f>+HOUR(V414)</f>
        <v>11</v>
      </c>
      <c r="I414" s="22">
        <f>IFERROR(VLOOKUP(B414,MATRICULAS!A:B,2,0),0)*1</f>
        <v>0</v>
      </c>
      <c r="J414" s="27">
        <v>20260529</v>
      </c>
      <c r="K414" s="27">
        <v>149395569</v>
      </c>
      <c r="L414" s="27" t="s">
        <v>134</v>
      </c>
      <c r="M414" s="27" t="s">
        <v>56</v>
      </c>
      <c r="N414" s="27">
        <v>0</v>
      </c>
      <c r="O414" s="27">
        <v>0</v>
      </c>
      <c r="P414" s="27" t="s">
        <v>57</v>
      </c>
      <c r="Q414" s="27">
        <v>150</v>
      </c>
      <c r="R414" s="27" t="s">
        <v>127</v>
      </c>
      <c r="S414" s="27">
        <v>26</v>
      </c>
      <c r="T414" s="27" t="s">
        <v>58</v>
      </c>
      <c r="U414" s="27" t="s">
        <v>59</v>
      </c>
      <c r="V414" s="30">
        <v>46171.465127314812</v>
      </c>
      <c r="W414" s="30">
        <v>46171.465127314812</v>
      </c>
      <c r="X414" s="30">
        <v>46171.469363425924</v>
      </c>
      <c r="Y414" s="27" t="s">
        <v>117</v>
      </c>
      <c r="Z414" s="27" t="s">
        <v>258</v>
      </c>
      <c r="AA414" s="27" t="s">
        <v>53</v>
      </c>
      <c r="AB414" s="27" t="s">
        <v>60</v>
      </c>
      <c r="AC414" s="27" t="s">
        <v>259</v>
      </c>
      <c r="AD414" s="27" t="s">
        <v>118</v>
      </c>
      <c r="AE414" s="27" t="s">
        <v>61</v>
      </c>
      <c r="AF414" s="27" t="s">
        <v>62</v>
      </c>
      <c r="AG414" s="27" t="s">
        <v>63</v>
      </c>
      <c r="AH414" s="27">
        <v>0</v>
      </c>
      <c r="AI414" s="27">
        <v>0</v>
      </c>
      <c r="AJ414" s="27">
        <v>0</v>
      </c>
      <c r="AK414" s="27">
        <v>0</v>
      </c>
      <c r="AL414" s="27" t="s">
        <v>64</v>
      </c>
      <c r="AM414" s="27">
        <v>3</v>
      </c>
      <c r="AN414" s="27">
        <v>366</v>
      </c>
      <c r="AO414" s="27" t="s">
        <v>65</v>
      </c>
      <c r="AP414" s="27">
        <v>37</v>
      </c>
      <c r="AQ414" s="27">
        <v>1</v>
      </c>
      <c r="AR414" s="27">
        <v>2508745</v>
      </c>
      <c r="AS414" s="27" t="s">
        <v>260</v>
      </c>
      <c r="AT414" s="27" t="s">
        <v>261</v>
      </c>
      <c r="AU414" s="31" t="s">
        <v>118</v>
      </c>
    </row>
    <row r="415" spans="1:47" x14ac:dyDescent="0.25">
      <c r="A415" s="7">
        <f>+CONCATENATE(DAY(V415),"/",MONTH(V415),"/",YEAR(V415),"")*1</f>
        <v>46171</v>
      </c>
      <c r="B415" s="23">
        <f>+Z415*1</f>
        <v>3418382668</v>
      </c>
      <c r="C415" s="21" t="str">
        <f>+AA415</f>
        <v>ENTRANTE</v>
      </c>
      <c r="D415" s="3" t="str">
        <f>VLOOKUP(Q415,Code!E:F,2,0)</f>
        <v>Admisiones</v>
      </c>
      <c r="E415" s="3" t="s">
        <v>55</v>
      </c>
      <c r="F415" s="3">
        <f>+AP415</f>
        <v>37</v>
      </c>
      <c r="G415" s="3">
        <f>+S415</f>
        <v>26</v>
      </c>
      <c r="H415" s="22">
        <f>+HOUR(V415)</f>
        <v>9</v>
      </c>
      <c r="I415" s="22">
        <f>IFERROR(VLOOKUP(B415,MATRICULAS!A:B,2,0),0)*1</f>
        <v>0</v>
      </c>
      <c r="J415" s="26">
        <v>20260529</v>
      </c>
      <c r="K415" s="26">
        <v>149393952</v>
      </c>
      <c r="L415" s="26" t="s">
        <v>134</v>
      </c>
      <c r="M415" s="26" t="s">
        <v>56</v>
      </c>
      <c r="N415" s="26">
        <v>0</v>
      </c>
      <c r="O415" s="26">
        <v>0</v>
      </c>
      <c r="P415" s="26" t="s">
        <v>57</v>
      </c>
      <c r="Q415" s="26">
        <v>150</v>
      </c>
      <c r="R415" s="26" t="s">
        <v>127</v>
      </c>
      <c r="S415" s="26">
        <v>26</v>
      </c>
      <c r="T415" s="26" t="s">
        <v>58</v>
      </c>
      <c r="U415" s="26" t="s">
        <v>59</v>
      </c>
      <c r="V415" s="28">
        <v>46171.413182870368</v>
      </c>
      <c r="W415" s="28">
        <v>46171.413182870368</v>
      </c>
      <c r="X415" s="28">
        <v>46171.427604166667</v>
      </c>
      <c r="Y415" s="26" t="s">
        <v>117</v>
      </c>
      <c r="Z415" s="26" t="s">
        <v>262</v>
      </c>
      <c r="AA415" s="26" t="s">
        <v>53</v>
      </c>
      <c r="AB415" s="26" t="s">
        <v>60</v>
      </c>
      <c r="AC415" s="26" t="s">
        <v>263</v>
      </c>
      <c r="AD415" s="26" t="s">
        <v>118</v>
      </c>
      <c r="AE415" s="26" t="s">
        <v>70</v>
      </c>
      <c r="AF415" s="26" t="s">
        <v>142</v>
      </c>
      <c r="AG415" s="26" t="s">
        <v>143</v>
      </c>
      <c r="AH415" s="26">
        <v>0</v>
      </c>
      <c r="AI415" s="26">
        <v>0</v>
      </c>
      <c r="AJ415" s="26">
        <v>0</v>
      </c>
      <c r="AK415" s="26">
        <v>0</v>
      </c>
      <c r="AL415" s="26" t="s">
        <v>64</v>
      </c>
      <c r="AM415" s="26">
        <v>3</v>
      </c>
      <c r="AN415" s="26">
        <v>1246</v>
      </c>
      <c r="AO415" s="26" t="s">
        <v>65</v>
      </c>
      <c r="AP415" s="26">
        <v>37</v>
      </c>
      <c r="AQ415" s="26">
        <v>175</v>
      </c>
      <c r="AR415" s="26">
        <v>2287474</v>
      </c>
      <c r="AS415" s="26" t="s">
        <v>118</v>
      </c>
      <c r="AT415" s="26" t="s">
        <v>264</v>
      </c>
      <c r="AU415" s="29" t="s">
        <v>118</v>
      </c>
    </row>
    <row r="416" spans="1:47" x14ac:dyDescent="0.25">
      <c r="A416"/>
      <c r="B416"/>
      <c r="C416"/>
      <c r="D416"/>
      <c r="E416"/>
      <c r="F416"/>
      <c r="G416"/>
      <c r="H416"/>
      <c r="I416" s="22">
        <f>IFERROR(VLOOKUP(B416,MATRICULAS!A:B,2,0),0)*1</f>
        <v>0</v>
      </c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</row>
    <row r="417" spans="1:47" x14ac:dyDescent="0.25">
      <c r="A417"/>
      <c r="B417"/>
      <c r="C417"/>
      <c r="D417"/>
      <c r="E417"/>
      <c r="F417"/>
      <c r="G417"/>
      <c r="H417"/>
      <c r="I417" s="22">
        <f>IFERROR(VLOOKUP(B417,MATRICULAS!A:B,2,0),0)*1</f>
        <v>0</v>
      </c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</row>
    <row r="418" spans="1:47" x14ac:dyDescent="0.25">
      <c r="A418"/>
      <c r="B418"/>
      <c r="C418"/>
      <c r="D418"/>
      <c r="E418"/>
      <c r="F418"/>
      <c r="G418"/>
      <c r="H418"/>
      <c r="I418" s="22">
        <f>IFERROR(VLOOKUP(B418,MATRICULAS!A:B,2,0),0)*1</f>
        <v>0</v>
      </c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</row>
    <row r="419" spans="1:47" x14ac:dyDescent="0.25">
      <c r="A419"/>
      <c r="B419"/>
      <c r="C419"/>
      <c r="D419"/>
      <c r="E419"/>
      <c r="F419"/>
      <c r="G419"/>
      <c r="H419"/>
      <c r="I419" s="22">
        <f>IFERROR(VLOOKUP(B419,MATRICULAS!A:B,2,0),0)*1</f>
        <v>0</v>
      </c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</row>
    <row r="420" spans="1:47" x14ac:dyDescent="0.25">
      <c r="A420"/>
      <c r="B420"/>
      <c r="C420"/>
      <c r="D420"/>
      <c r="E420"/>
      <c r="F420"/>
      <c r="G420"/>
      <c r="H420"/>
      <c r="I420" s="22">
        <f>IFERROR(VLOOKUP(B420,MATRICULAS!A:B,2,0),0)*1</f>
        <v>0</v>
      </c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</row>
    <row r="421" spans="1:47" x14ac:dyDescent="0.25">
      <c r="A421"/>
      <c r="B421"/>
      <c r="C421"/>
      <c r="D421"/>
      <c r="E421"/>
      <c r="F421"/>
      <c r="G421"/>
      <c r="H421"/>
      <c r="I421" s="22">
        <f>IFERROR(VLOOKUP(B421,MATRICULAS!A:B,2,0),0)*1</f>
        <v>0</v>
      </c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</row>
    <row r="422" spans="1:47" x14ac:dyDescent="0.25">
      <c r="A422"/>
      <c r="B422"/>
      <c r="C422"/>
      <c r="D422"/>
      <c r="E422"/>
      <c r="F422"/>
      <c r="G422"/>
      <c r="H422"/>
      <c r="I422" s="22">
        <f>IFERROR(VLOOKUP(B422,MATRICULAS!A:B,2,0),0)*1</f>
        <v>0</v>
      </c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</row>
    <row r="423" spans="1:47" x14ac:dyDescent="0.25">
      <c r="A423"/>
      <c r="B423"/>
      <c r="C423"/>
      <c r="D423"/>
      <c r="E423"/>
      <c r="F423"/>
      <c r="G423"/>
      <c r="H423"/>
      <c r="I423" s="22">
        <f>IFERROR(VLOOKUP(B423,MATRICULAS!A:B,2,0),0)*1</f>
        <v>0</v>
      </c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</row>
    <row r="424" spans="1:47" x14ac:dyDescent="0.25">
      <c r="A424"/>
      <c r="B424"/>
      <c r="C424"/>
      <c r="D424"/>
      <c r="E424"/>
      <c r="F424"/>
      <c r="G424"/>
      <c r="H424"/>
      <c r="I424" s="22">
        <f>IFERROR(VLOOKUP(B424,MATRICULAS!A:B,2,0),0)*1</f>
        <v>0</v>
      </c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</row>
    <row r="425" spans="1:47" x14ac:dyDescent="0.25">
      <c r="A425"/>
      <c r="B425"/>
      <c r="C425"/>
      <c r="D425"/>
      <c r="E425"/>
      <c r="F425"/>
      <c r="G425"/>
      <c r="H425"/>
      <c r="I425" s="22">
        <f>IFERROR(VLOOKUP(B425,MATRICULAS!A:B,2,0),0)*1</f>
        <v>0</v>
      </c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</row>
    <row r="426" spans="1:47" x14ac:dyDescent="0.25">
      <c r="A426"/>
      <c r="B426"/>
      <c r="C426"/>
      <c r="D426"/>
      <c r="E426"/>
      <c r="F426"/>
      <c r="G426"/>
      <c r="H426"/>
      <c r="I426" s="22">
        <f>IFERROR(VLOOKUP(B426,MATRICULAS!A:B,2,0),0)*1</f>
        <v>0</v>
      </c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</row>
    <row r="427" spans="1:47" x14ac:dyDescent="0.25">
      <c r="A427"/>
      <c r="B427"/>
      <c r="C427"/>
      <c r="D427"/>
      <c r="E427"/>
      <c r="F427"/>
      <c r="G427"/>
      <c r="H427"/>
      <c r="I427" s="22">
        <f>IFERROR(VLOOKUP(B427,MATRICULAS!A:B,2,0),0)*1</f>
        <v>0</v>
      </c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</row>
    <row r="428" spans="1:47" x14ac:dyDescent="0.25">
      <c r="A428"/>
      <c r="B428"/>
      <c r="C428"/>
      <c r="D428"/>
      <c r="E428"/>
      <c r="F428"/>
      <c r="G428"/>
      <c r="H428"/>
      <c r="I428" s="22">
        <f>IFERROR(VLOOKUP(B428,MATRICULAS!A:B,2,0),0)*1</f>
        <v>0</v>
      </c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</row>
    <row r="429" spans="1:47" x14ac:dyDescent="0.25">
      <c r="A429"/>
      <c r="B429"/>
      <c r="C429"/>
      <c r="D429"/>
      <c r="E429"/>
      <c r="F429"/>
      <c r="G429"/>
      <c r="H429"/>
      <c r="I429" s="22">
        <f>IFERROR(VLOOKUP(B429,MATRICULAS!A:B,2,0),0)*1</f>
        <v>0</v>
      </c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</row>
    <row r="430" spans="1:47" x14ac:dyDescent="0.25">
      <c r="A430"/>
      <c r="B430"/>
      <c r="C430"/>
      <c r="D430"/>
      <c r="E430"/>
      <c r="F430"/>
      <c r="G430"/>
      <c r="H430"/>
      <c r="I430" s="22">
        <f>IFERROR(VLOOKUP(B430,MATRICULAS!A:B,2,0),0)*1</f>
        <v>0</v>
      </c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</row>
    <row r="431" spans="1:47" x14ac:dyDescent="0.25">
      <c r="A431"/>
      <c r="B431"/>
      <c r="C431"/>
      <c r="D431"/>
      <c r="E431"/>
      <c r="F431"/>
      <c r="G431"/>
      <c r="H431"/>
      <c r="I431" s="22">
        <f>IFERROR(VLOOKUP(B431,MATRICULAS!A:B,2,0),0)*1</f>
        <v>0</v>
      </c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</row>
    <row r="432" spans="1:47" x14ac:dyDescent="0.25">
      <c r="A432"/>
      <c r="B432"/>
      <c r="C432"/>
      <c r="D432"/>
      <c r="E432"/>
      <c r="F432"/>
      <c r="G432"/>
      <c r="H432"/>
      <c r="I432" s="22">
        <f>IFERROR(VLOOKUP(B432,MATRICULAS!A:B,2,0),0)*1</f>
        <v>0</v>
      </c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</row>
    <row r="433" spans="1:47" x14ac:dyDescent="0.25">
      <c r="A433"/>
      <c r="B433"/>
      <c r="C433"/>
      <c r="D433"/>
      <c r="E433"/>
      <c r="F433"/>
      <c r="G433"/>
      <c r="H433"/>
      <c r="I433" s="22">
        <f>IFERROR(VLOOKUP(B433,MATRICULAS!A:B,2,0),0)*1</f>
        <v>0</v>
      </c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</row>
    <row r="434" spans="1:47" x14ac:dyDescent="0.25">
      <c r="A434"/>
      <c r="B434"/>
      <c r="C434"/>
      <c r="D434"/>
      <c r="E434"/>
      <c r="F434"/>
      <c r="G434"/>
      <c r="H434"/>
      <c r="I434" s="22">
        <f>IFERROR(VLOOKUP(B434,MATRICULAS!A:B,2,0),0)*1</f>
        <v>0</v>
      </c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</row>
    <row r="435" spans="1:47" x14ac:dyDescent="0.25">
      <c r="A435"/>
      <c r="B435"/>
      <c r="C435"/>
      <c r="D435"/>
      <c r="E435"/>
      <c r="F435"/>
      <c r="G435"/>
      <c r="H435"/>
      <c r="I435" s="22">
        <f>IFERROR(VLOOKUP(B435,MATRICULAS!A:B,2,0),0)*1</f>
        <v>0</v>
      </c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</row>
    <row r="436" spans="1:47" x14ac:dyDescent="0.25">
      <c r="A436"/>
      <c r="B436"/>
      <c r="C436"/>
      <c r="D436"/>
      <c r="E436"/>
      <c r="F436"/>
      <c r="G436"/>
      <c r="H436"/>
      <c r="I436" s="22">
        <f>IFERROR(VLOOKUP(B436,MATRICULAS!A:B,2,0),0)*1</f>
        <v>0</v>
      </c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</row>
    <row r="437" spans="1:47" x14ac:dyDescent="0.25">
      <c r="A437"/>
      <c r="B437"/>
      <c r="C437"/>
      <c r="D437"/>
      <c r="E437"/>
      <c r="F437"/>
      <c r="G437"/>
      <c r="H437"/>
      <c r="I437" s="22">
        <f>IFERROR(VLOOKUP(B437,MATRICULAS!A:B,2,0),0)*1</f>
        <v>0</v>
      </c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</row>
    <row r="438" spans="1:47" x14ac:dyDescent="0.25">
      <c r="A438"/>
      <c r="B438"/>
      <c r="C438"/>
      <c r="D438"/>
      <c r="E438"/>
      <c r="F438"/>
      <c r="G438"/>
      <c r="H438"/>
      <c r="I438" s="22">
        <f>IFERROR(VLOOKUP(B438,MATRICULAS!A:B,2,0),0)*1</f>
        <v>0</v>
      </c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</row>
    <row r="439" spans="1:47" x14ac:dyDescent="0.25">
      <c r="A439"/>
      <c r="B439"/>
      <c r="C439"/>
      <c r="D439"/>
      <c r="E439"/>
      <c r="F439"/>
      <c r="G439"/>
      <c r="H439"/>
      <c r="I439" s="22">
        <f>IFERROR(VLOOKUP(B439,MATRICULAS!A:B,2,0),0)*1</f>
        <v>0</v>
      </c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</row>
    <row r="440" spans="1:47" x14ac:dyDescent="0.25">
      <c r="A440"/>
      <c r="B440"/>
      <c r="C440"/>
      <c r="D440"/>
      <c r="E440"/>
      <c r="F440"/>
      <c r="G440"/>
      <c r="H440"/>
      <c r="I440" s="22">
        <f>IFERROR(VLOOKUP(B440,MATRICULAS!A:B,2,0),0)*1</f>
        <v>0</v>
      </c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</row>
    <row r="441" spans="1:47" x14ac:dyDescent="0.25">
      <c r="A441"/>
      <c r="B441"/>
      <c r="C441"/>
      <c r="D441"/>
      <c r="E441"/>
      <c r="F441"/>
      <c r="G441"/>
      <c r="H441"/>
      <c r="I441" s="22">
        <f>IFERROR(VLOOKUP(B441,MATRICULAS!A:B,2,0),0)*1</f>
        <v>0</v>
      </c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</row>
    <row r="442" spans="1:47" x14ac:dyDescent="0.25">
      <c r="A442"/>
      <c r="B442"/>
      <c r="C442"/>
      <c r="D442"/>
      <c r="E442"/>
      <c r="F442"/>
      <c r="G442"/>
      <c r="H442"/>
      <c r="I442" s="22">
        <f>IFERROR(VLOOKUP(B442,MATRICULAS!A:B,2,0),0)*1</f>
        <v>0</v>
      </c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</row>
    <row r="443" spans="1:47" x14ac:dyDescent="0.25">
      <c r="A443"/>
      <c r="B443"/>
      <c r="C443"/>
      <c r="D443"/>
      <c r="E443"/>
      <c r="F443"/>
      <c r="G443"/>
      <c r="H443"/>
      <c r="I443" s="22">
        <f>IFERROR(VLOOKUP(B443,MATRICULAS!A:B,2,0),0)*1</f>
        <v>0</v>
      </c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</row>
    <row r="444" spans="1:47" x14ac:dyDescent="0.25">
      <c r="A444"/>
      <c r="B444"/>
      <c r="C444"/>
      <c r="D444"/>
      <c r="E444"/>
      <c r="F444"/>
      <c r="G444"/>
      <c r="H444"/>
      <c r="I444" s="22">
        <f>IFERROR(VLOOKUP(B444,MATRICULAS!A:B,2,0),0)*1</f>
        <v>0</v>
      </c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</row>
    <row r="445" spans="1:47" x14ac:dyDescent="0.25">
      <c r="A445"/>
      <c r="B445"/>
      <c r="C445"/>
      <c r="D445"/>
      <c r="E445"/>
      <c r="F445"/>
      <c r="G445"/>
      <c r="H445"/>
      <c r="I445" s="22">
        <f>IFERROR(VLOOKUP(B445,MATRICULAS!A:B,2,0),0)*1</f>
        <v>0</v>
      </c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</row>
    <row r="446" spans="1:47" x14ac:dyDescent="0.25">
      <c r="A446"/>
      <c r="B446"/>
      <c r="C446"/>
      <c r="D446"/>
      <c r="E446"/>
      <c r="F446"/>
      <c r="G446"/>
      <c r="H446"/>
      <c r="I446" s="22">
        <f>IFERROR(VLOOKUP(B446,MATRICULAS!A:B,2,0),0)*1</f>
        <v>0</v>
      </c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</row>
    <row r="447" spans="1:47" x14ac:dyDescent="0.25">
      <c r="A447"/>
      <c r="B447"/>
      <c r="C447"/>
      <c r="D447"/>
      <c r="E447"/>
      <c r="F447"/>
      <c r="G447"/>
      <c r="H447"/>
      <c r="I447" s="22">
        <f>IFERROR(VLOOKUP(B447,MATRICULAS!A:B,2,0),0)*1</f>
        <v>0</v>
      </c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</row>
    <row r="448" spans="1:47" x14ac:dyDescent="0.25">
      <c r="A448"/>
      <c r="B448"/>
      <c r="C448"/>
      <c r="D448"/>
      <c r="E448"/>
      <c r="F448"/>
      <c r="G448"/>
      <c r="H448"/>
      <c r="I448" s="22">
        <f>IFERROR(VLOOKUP(B448,MATRICULAS!A:B,2,0),0)*1</f>
        <v>0</v>
      </c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</row>
    <row r="449" spans="1:47" x14ac:dyDescent="0.25">
      <c r="A449"/>
      <c r="B449"/>
      <c r="C449"/>
      <c r="D449"/>
      <c r="E449"/>
      <c r="F449"/>
      <c r="G449"/>
      <c r="H449"/>
      <c r="I449" s="22">
        <f>IFERROR(VLOOKUP(B449,MATRICULAS!A:B,2,0),0)*1</f>
        <v>0</v>
      </c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</row>
    <row r="450" spans="1:47" x14ac:dyDescent="0.25">
      <c r="A450"/>
      <c r="B450"/>
      <c r="C450"/>
      <c r="D450"/>
      <c r="E450"/>
      <c r="F450"/>
      <c r="G450"/>
      <c r="H450"/>
      <c r="I450" s="22">
        <f>IFERROR(VLOOKUP(B450,MATRICULAS!A:B,2,0),0)*1</f>
        <v>0</v>
      </c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</row>
    <row r="451" spans="1:47" x14ac:dyDescent="0.25">
      <c r="A451"/>
      <c r="B451"/>
      <c r="C451"/>
      <c r="D451"/>
      <c r="E451"/>
      <c r="F451"/>
      <c r="G451"/>
      <c r="H451"/>
      <c r="I451" s="22">
        <f>IFERROR(VLOOKUP(B451,MATRICULAS!A:B,2,0),0)*1</f>
        <v>0</v>
      </c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</row>
    <row r="452" spans="1:47" x14ac:dyDescent="0.25">
      <c r="A452"/>
      <c r="B452"/>
      <c r="C452"/>
      <c r="D452"/>
      <c r="E452"/>
      <c r="F452"/>
      <c r="G452"/>
      <c r="H452"/>
      <c r="I452" s="22">
        <f>IFERROR(VLOOKUP(B452,MATRICULAS!A:B,2,0),0)*1</f>
        <v>0</v>
      </c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</row>
    <row r="453" spans="1:47" x14ac:dyDescent="0.25">
      <c r="A453"/>
      <c r="B453"/>
      <c r="C453"/>
      <c r="D453"/>
      <c r="E453"/>
      <c r="F453"/>
      <c r="G453"/>
      <c r="H453"/>
      <c r="I453" s="22">
        <f>IFERROR(VLOOKUP(B453,MATRICULAS!A:B,2,0),0)*1</f>
        <v>0</v>
      </c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</row>
    <row r="454" spans="1:47" x14ac:dyDescent="0.25">
      <c r="A454"/>
      <c r="B454"/>
      <c r="C454"/>
      <c r="D454"/>
      <c r="E454"/>
      <c r="F454"/>
      <c r="G454"/>
      <c r="H454"/>
      <c r="I454" s="22">
        <f>IFERROR(VLOOKUP(B454,MATRICULAS!A:B,2,0),0)*1</f>
        <v>0</v>
      </c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</row>
    <row r="455" spans="1:47" x14ac:dyDescent="0.25">
      <c r="A455"/>
      <c r="B455"/>
      <c r="C455"/>
      <c r="D455"/>
      <c r="E455"/>
      <c r="F455"/>
      <c r="G455"/>
      <c r="H455"/>
      <c r="I455" s="22">
        <f>IFERROR(VLOOKUP(B455,MATRICULAS!A:B,2,0),0)*1</f>
        <v>0</v>
      </c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</row>
    <row r="456" spans="1:47" x14ac:dyDescent="0.25">
      <c r="A456"/>
      <c r="B456"/>
      <c r="C456"/>
      <c r="D456"/>
      <c r="E456"/>
      <c r="F456"/>
      <c r="G456"/>
      <c r="H456"/>
      <c r="I456" s="22">
        <f>IFERROR(VLOOKUP(B456,MATRICULAS!A:B,2,0),0)*1</f>
        <v>0</v>
      </c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</row>
    <row r="457" spans="1:47" x14ac:dyDescent="0.25">
      <c r="A457"/>
      <c r="B457"/>
      <c r="C457"/>
      <c r="D457"/>
      <c r="E457"/>
      <c r="F457"/>
      <c r="G457"/>
      <c r="H457"/>
      <c r="I457" s="22">
        <f>IFERROR(VLOOKUP(B457,MATRICULAS!A:B,2,0),0)*1</f>
        <v>0</v>
      </c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</row>
    <row r="458" spans="1:47" x14ac:dyDescent="0.25">
      <c r="A458"/>
      <c r="B458"/>
      <c r="C458"/>
      <c r="D458"/>
      <c r="E458"/>
      <c r="F458"/>
      <c r="G458"/>
      <c r="H458"/>
      <c r="I458" s="22">
        <f>IFERROR(VLOOKUP(B458,MATRICULAS!A:B,2,0),0)*1</f>
        <v>0</v>
      </c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</row>
    <row r="459" spans="1:47" x14ac:dyDescent="0.25">
      <c r="A459"/>
      <c r="B459"/>
      <c r="C459"/>
      <c r="D459"/>
      <c r="E459"/>
      <c r="F459"/>
      <c r="G459"/>
      <c r="H459"/>
      <c r="I459" s="22">
        <f>IFERROR(VLOOKUP(B459,MATRICULAS!A:B,2,0),0)*1</f>
        <v>0</v>
      </c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</row>
    <row r="460" spans="1:47" x14ac:dyDescent="0.25">
      <c r="A460"/>
      <c r="B460"/>
      <c r="C460"/>
      <c r="D460"/>
      <c r="E460"/>
      <c r="F460"/>
      <c r="G460"/>
      <c r="H460"/>
      <c r="I460" s="22">
        <f>IFERROR(VLOOKUP(B460,MATRICULAS!A:B,2,0),0)*1</f>
        <v>0</v>
      </c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</row>
    <row r="461" spans="1:47" x14ac:dyDescent="0.25">
      <c r="A461"/>
      <c r="B461"/>
      <c r="C461"/>
      <c r="D461"/>
      <c r="E461"/>
      <c r="F461"/>
      <c r="G461"/>
      <c r="H461"/>
      <c r="I461" s="22">
        <f>IFERROR(VLOOKUP(B461,MATRICULAS!A:B,2,0),0)*1</f>
        <v>0</v>
      </c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</row>
    <row r="462" spans="1:47" x14ac:dyDescent="0.25">
      <c r="A462"/>
      <c r="B462"/>
      <c r="C462"/>
      <c r="D462"/>
      <c r="E462"/>
      <c r="F462"/>
      <c r="G462"/>
      <c r="H462"/>
      <c r="I462" s="22">
        <f>IFERROR(VLOOKUP(B462,MATRICULAS!A:B,2,0),0)*1</f>
        <v>0</v>
      </c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</row>
    <row r="463" spans="1:47" x14ac:dyDescent="0.25">
      <c r="A463"/>
      <c r="B463"/>
      <c r="C463"/>
      <c r="D463"/>
      <c r="E463"/>
      <c r="F463"/>
      <c r="G463"/>
      <c r="H463"/>
      <c r="I463" s="22">
        <f>IFERROR(VLOOKUP(B463,MATRICULAS!A:B,2,0),0)*1</f>
        <v>0</v>
      </c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</row>
    <row r="464" spans="1:47" x14ac:dyDescent="0.25">
      <c r="A464"/>
      <c r="B464"/>
      <c r="C464"/>
      <c r="D464"/>
      <c r="E464"/>
      <c r="F464"/>
      <c r="G464"/>
      <c r="H464"/>
      <c r="I464" s="22">
        <f>IFERROR(VLOOKUP(B464,MATRICULAS!A:B,2,0),0)*1</f>
        <v>0</v>
      </c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</row>
    <row r="465" spans="1:47" x14ac:dyDescent="0.25">
      <c r="A465"/>
      <c r="B465"/>
      <c r="C465"/>
      <c r="D465"/>
      <c r="E465"/>
      <c r="F465"/>
      <c r="G465"/>
      <c r="H465"/>
      <c r="I465" s="22">
        <f>IFERROR(VLOOKUP(B465,MATRICULAS!A:B,2,0),0)*1</f>
        <v>0</v>
      </c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</row>
    <row r="466" spans="1:47" x14ac:dyDescent="0.25">
      <c r="A466"/>
      <c r="B466"/>
      <c r="C466"/>
      <c r="D466"/>
      <c r="E466"/>
      <c r="F466"/>
      <c r="G466"/>
      <c r="H466"/>
      <c r="I466" s="22">
        <f>IFERROR(VLOOKUP(B466,MATRICULAS!A:B,2,0),0)*1</f>
        <v>0</v>
      </c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</row>
    <row r="467" spans="1:47" x14ac:dyDescent="0.25">
      <c r="A467"/>
      <c r="B467"/>
      <c r="C467"/>
      <c r="D467"/>
      <c r="E467"/>
      <c r="F467"/>
      <c r="G467"/>
      <c r="H467"/>
      <c r="I467" s="22">
        <f>IFERROR(VLOOKUP(B467,MATRICULAS!A:B,2,0),0)*1</f>
        <v>0</v>
      </c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</row>
    <row r="468" spans="1:47" x14ac:dyDescent="0.25">
      <c r="A468"/>
      <c r="B468"/>
      <c r="C468"/>
      <c r="D468"/>
      <c r="E468"/>
      <c r="F468"/>
      <c r="G468"/>
      <c r="H468"/>
      <c r="I468" s="22">
        <f>IFERROR(VLOOKUP(B468,MATRICULAS!A:B,2,0),0)*1</f>
        <v>0</v>
      </c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</row>
    <row r="469" spans="1:47" x14ac:dyDescent="0.25">
      <c r="A469"/>
      <c r="B469"/>
      <c r="C469"/>
      <c r="D469"/>
      <c r="E469"/>
      <c r="F469"/>
      <c r="G469"/>
      <c r="H469"/>
      <c r="I469" s="22">
        <f>IFERROR(VLOOKUP(B469,MATRICULAS!A:B,2,0),0)*1</f>
        <v>0</v>
      </c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</row>
    <row r="470" spans="1:47" x14ac:dyDescent="0.25">
      <c r="A470"/>
      <c r="B470"/>
      <c r="C470"/>
      <c r="D470"/>
      <c r="E470"/>
      <c r="F470"/>
      <c r="G470"/>
      <c r="H470"/>
      <c r="I470" s="22">
        <f>IFERROR(VLOOKUP(B470,MATRICULAS!A:B,2,0),0)*1</f>
        <v>0</v>
      </c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</row>
    <row r="471" spans="1:47" x14ac:dyDescent="0.25">
      <c r="A471"/>
      <c r="B471"/>
      <c r="C471"/>
      <c r="D471"/>
      <c r="E471"/>
      <c r="F471"/>
      <c r="G471"/>
      <c r="H471"/>
      <c r="I471" s="22">
        <f>IFERROR(VLOOKUP(B471,MATRICULAS!A:B,2,0),0)*1</f>
        <v>0</v>
      </c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</row>
    <row r="472" spans="1:47" x14ac:dyDescent="0.25">
      <c r="A472"/>
      <c r="B472"/>
      <c r="C472"/>
      <c r="D472"/>
      <c r="E472"/>
      <c r="F472"/>
      <c r="G472"/>
      <c r="H472"/>
      <c r="I472" s="22">
        <f>IFERROR(VLOOKUP(B472,MATRICULAS!A:B,2,0),0)*1</f>
        <v>0</v>
      </c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</row>
    <row r="473" spans="1:47" x14ac:dyDescent="0.25">
      <c r="A473"/>
      <c r="B473"/>
      <c r="C473"/>
      <c r="D473"/>
      <c r="E473"/>
      <c r="F473"/>
      <c r="G473"/>
      <c r="H473"/>
      <c r="I473" s="22">
        <f>IFERROR(VLOOKUP(B473,MATRICULAS!A:B,2,0),0)*1</f>
        <v>0</v>
      </c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</row>
    <row r="474" spans="1:47" x14ac:dyDescent="0.25">
      <c r="A474"/>
      <c r="B474"/>
      <c r="C474"/>
      <c r="D474"/>
      <c r="E474"/>
      <c r="F474"/>
      <c r="G474"/>
      <c r="H474"/>
      <c r="I474" s="22">
        <f>IFERROR(VLOOKUP(B474,MATRICULAS!A:B,2,0),0)*1</f>
        <v>0</v>
      </c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</row>
    <row r="475" spans="1:47" x14ac:dyDescent="0.25">
      <c r="A475"/>
      <c r="B475"/>
      <c r="C475"/>
      <c r="D475"/>
      <c r="E475"/>
      <c r="F475"/>
      <c r="G475"/>
      <c r="H475"/>
      <c r="I475" s="22">
        <f>IFERROR(VLOOKUP(B475,MATRICULAS!A:B,2,0),0)*1</f>
        <v>0</v>
      </c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</row>
    <row r="476" spans="1:47" x14ac:dyDescent="0.25">
      <c r="A476"/>
      <c r="B476"/>
      <c r="C476"/>
      <c r="D476"/>
      <c r="E476"/>
      <c r="F476"/>
      <c r="G476"/>
      <c r="H476"/>
      <c r="I476" s="22">
        <f>IFERROR(VLOOKUP(B476,MATRICULAS!A:B,2,0),0)*1</f>
        <v>0</v>
      </c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</row>
    <row r="477" spans="1:47" x14ac:dyDescent="0.25">
      <c r="A477"/>
      <c r="B477"/>
      <c r="C477"/>
      <c r="D477"/>
      <c r="E477"/>
      <c r="F477"/>
      <c r="G477"/>
      <c r="H477"/>
      <c r="I477" s="22">
        <f>IFERROR(VLOOKUP(B477,MATRICULAS!A:B,2,0),0)*1</f>
        <v>0</v>
      </c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</row>
    <row r="478" spans="1:47" x14ac:dyDescent="0.25">
      <c r="A478"/>
      <c r="B478"/>
      <c r="C478"/>
      <c r="D478"/>
      <c r="E478"/>
      <c r="F478"/>
      <c r="G478"/>
      <c r="H478"/>
      <c r="I478" s="22">
        <f>IFERROR(VLOOKUP(B478,MATRICULAS!A:B,2,0),0)*1</f>
        <v>0</v>
      </c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</row>
    <row r="479" spans="1:47" x14ac:dyDescent="0.25">
      <c r="A479"/>
      <c r="B479"/>
      <c r="C479"/>
      <c r="D479"/>
      <c r="E479"/>
      <c r="F479"/>
      <c r="G479"/>
      <c r="H479"/>
      <c r="I479" s="22">
        <f>IFERROR(VLOOKUP(B479,MATRICULAS!A:B,2,0),0)*1</f>
        <v>0</v>
      </c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</row>
    <row r="480" spans="1:47" x14ac:dyDescent="0.25">
      <c r="A480"/>
      <c r="B480"/>
      <c r="C480"/>
      <c r="D480"/>
      <c r="E480"/>
      <c r="F480"/>
      <c r="G480"/>
      <c r="H480"/>
      <c r="I480" s="22">
        <f>IFERROR(VLOOKUP(B480,MATRICULAS!A:B,2,0),0)*1</f>
        <v>0</v>
      </c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</row>
    <row r="481" spans="1:48" x14ac:dyDescent="0.25">
      <c r="A481"/>
      <c r="B481"/>
      <c r="C481"/>
      <c r="D481"/>
      <c r="E481"/>
      <c r="F481"/>
      <c r="G481"/>
      <c r="H481"/>
      <c r="I481" s="22">
        <f>IFERROR(VLOOKUP(B481,MATRICULAS!A:B,2,0),0)*1</f>
        <v>0</v>
      </c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</row>
    <row r="482" spans="1:48" x14ac:dyDescent="0.25">
      <c r="A482"/>
      <c r="B482"/>
      <c r="C482"/>
      <c r="D482"/>
      <c r="E482"/>
      <c r="F482"/>
      <c r="G482"/>
      <c r="H482"/>
      <c r="I482" s="22">
        <f>IFERROR(VLOOKUP(B482,MATRICULAS!A:B,2,0),0)*1</f>
        <v>0</v>
      </c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</row>
    <row r="483" spans="1:48" x14ac:dyDescent="0.25">
      <c r="A483"/>
      <c r="B483"/>
      <c r="C483"/>
      <c r="D483"/>
      <c r="E483"/>
      <c r="F483"/>
      <c r="G483"/>
      <c r="H483"/>
      <c r="I483" s="22">
        <f>IFERROR(VLOOKUP(B483,MATRICULAS!A:B,2,0),0)*1</f>
        <v>0</v>
      </c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</row>
    <row r="484" spans="1:48" x14ac:dyDescent="0.25">
      <c r="A484"/>
      <c r="B484"/>
      <c r="C484"/>
      <c r="D484"/>
      <c r="E484"/>
      <c r="F484"/>
      <c r="G484"/>
      <c r="H484"/>
      <c r="I484" s="22">
        <f>IFERROR(VLOOKUP(B484,MATRICULAS!A:B,2,0),0)*1</f>
        <v>0</v>
      </c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</row>
    <row r="485" spans="1:48" x14ac:dyDescent="0.25">
      <c r="A485"/>
      <c r="B485"/>
      <c r="C485"/>
      <c r="D485"/>
      <c r="E485"/>
      <c r="F485"/>
      <c r="G485"/>
      <c r="H485"/>
      <c r="I485" s="22">
        <f>IFERROR(VLOOKUP(B485,MATRICULAS!A:B,2,0),0)*1</f>
        <v>0</v>
      </c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</row>
    <row r="486" spans="1:48" x14ac:dyDescent="0.25">
      <c r="A486"/>
      <c r="B486"/>
      <c r="C486"/>
      <c r="D486"/>
      <c r="E486"/>
      <c r="F486"/>
      <c r="G486"/>
      <c r="H486"/>
      <c r="I486" s="22">
        <f>IFERROR(VLOOKUP(B486,MATRICULAS!A:B,2,0),0)*1</f>
        <v>0</v>
      </c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</row>
    <row r="487" spans="1:48" x14ac:dyDescent="0.25">
      <c r="A487"/>
      <c r="B487"/>
      <c r="C487"/>
      <c r="D487"/>
      <c r="E487"/>
      <c r="F487"/>
      <c r="G487"/>
      <c r="H487"/>
      <c r="I487" s="22">
        <f>IFERROR(VLOOKUP(B487,MATRICULAS!A:B,2,0),0)*1</f>
        <v>0</v>
      </c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</row>
    <row r="488" spans="1:48" x14ac:dyDescent="0.25">
      <c r="A488"/>
      <c r="B488"/>
      <c r="C488"/>
      <c r="D488"/>
      <c r="E488"/>
      <c r="F488"/>
      <c r="G488"/>
      <c r="H488"/>
      <c r="I488" s="22">
        <f>IFERROR(VLOOKUP(B488,MATRICULAS!A:B,2,0),0)*1</f>
        <v>0</v>
      </c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</row>
    <row r="489" spans="1:48" x14ac:dyDescent="0.25">
      <c r="A489"/>
      <c r="B489"/>
      <c r="C489"/>
      <c r="D489"/>
      <c r="E489"/>
      <c r="F489"/>
      <c r="G489"/>
      <c r="H489"/>
      <c r="I489" s="22">
        <f>IFERROR(VLOOKUP(B489,MATRICULAS!A:B,2,0),0)*1</f>
        <v>0</v>
      </c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</row>
    <row r="490" spans="1:48" x14ac:dyDescent="0.25">
      <c r="A490"/>
      <c r="B490"/>
      <c r="C490"/>
      <c r="D490"/>
      <c r="E490"/>
      <c r="F490"/>
      <c r="G490"/>
      <c r="H490"/>
      <c r="I490" s="22">
        <f>IFERROR(VLOOKUP(B490,MATRICULAS!A:B,2,0),0)*1</f>
        <v>0</v>
      </c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</row>
    <row r="491" spans="1:48" x14ac:dyDescent="0.25">
      <c r="A491"/>
      <c r="B491"/>
      <c r="C491"/>
      <c r="D491"/>
      <c r="E491"/>
      <c r="F491"/>
      <c r="G491"/>
      <c r="H491"/>
      <c r="I491" s="22">
        <f>IFERROR(VLOOKUP(B491,MATRICULAS!A:B,2,0),0)*1</f>
        <v>0</v>
      </c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</row>
    <row r="492" spans="1:48" x14ac:dyDescent="0.25">
      <c r="A492"/>
      <c r="B492"/>
      <c r="C492"/>
      <c r="D492"/>
      <c r="E492"/>
      <c r="F492"/>
      <c r="G492"/>
      <c r="H492"/>
      <c r="I492" s="22">
        <f>IFERROR(VLOOKUP(B492,MATRICULAS!A:B,2,0),0)*1</f>
        <v>0</v>
      </c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</row>
    <row r="493" spans="1:48" x14ac:dyDescent="0.25">
      <c r="A493"/>
      <c r="B493"/>
      <c r="C493"/>
      <c r="D493"/>
      <c r="E493"/>
      <c r="F493"/>
      <c r="G493"/>
      <c r="H493"/>
      <c r="I493" s="22">
        <f>IFERROR(VLOOKUP(B493,MATRICULAS!A:B,2,0),0)*1</f>
        <v>0</v>
      </c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</row>
    <row r="494" spans="1:48" x14ac:dyDescent="0.25">
      <c r="A494"/>
      <c r="B494"/>
      <c r="C494"/>
      <c r="D494"/>
      <c r="E494"/>
      <c r="F494"/>
      <c r="G494"/>
      <c r="H494"/>
      <c r="I494" s="22">
        <f>IFERROR(VLOOKUP(B494,MATRICULAS!A:B,2,0),0)*1</f>
        <v>0</v>
      </c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</row>
    <row r="495" spans="1:48" x14ac:dyDescent="0.25">
      <c r="A495"/>
      <c r="B495"/>
      <c r="C495"/>
      <c r="D495"/>
      <c r="E495"/>
      <c r="F495"/>
      <c r="G495"/>
      <c r="H495"/>
      <c r="I495" s="22">
        <f>IFERROR(VLOOKUP(B495,MATRICULAS!A:B,2,0),0)*1</f>
        <v>0</v>
      </c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</row>
    <row r="496" spans="1:48" x14ac:dyDescent="0.25">
      <c r="A496"/>
      <c r="B496"/>
      <c r="C496"/>
      <c r="D496"/>
      <c r="E496"/>
      <c r="F496"/>
      <c r="G496"/>
      <c r="H496"/>
      <c r="I496" s="22">
        <f>IFERROR(VLOOKUP(B496,MATRICULAS!A:B,2,0),0)*1</f>
        <v>0</v>
      </c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</row>
    <row r="497" spans="1:47" x14ac:dyDescent="0.25">
      <c r="A497"/>
      <c r="B497"/>
      <c r="C497"/>
      <c r="D497"/>
      <c r="E497"/>
      <c r="F497"/>
      <c r="G497"/>
      <c r="H497"/>
      <c r="I497" s="22">
        <f>IFERROR(VLOOKUP(B497,MATRICULAS!A:B,2,0),0)*1</f>
        <v>0</v>
      </c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</row>
    <row r="498" spans="1:47" x14ac:dyDescent="0.25">
      <c r="A498"/>
      <c r="B498"/>
      <c r="C498"/>
      <c r="D498"/>
      <c r="E498"/>
      <c r="F498"/>
      <c r="G498"/>
      <c r="H498"/>
      <c r="I498" s="22">
        <f>IFERROR(VLOOKUP(B498,MATRICULAS!A:B,2,0),0)*1</f>
        <v>0</v>
      </c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</row>
    <row r="499" spans="1:47" x14ac:dyDescent="0.25">
      <c r="A499"/>
      <c r="B499"/>
      <c r="C499"/>
      <c r="D499"/>
      <c r="E499"/>
      <c r="F499"/>
      <c r="G499"/>
      <c r="H499"/>
      <c r="I499" s="22">
        <f>IFERROR(VLOOKUP(B499,MATRICULAS!A:B,2,0),0)*1</f>
        <v>0</v>
      </c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</row>
    <row r="500" spans="1:47" x14ac:dyDescent="0.25">
      <c r="A500"/>
      <c r="B500"/>
      <c r="C500"/>
      <c r="D500"/>
      <c r="E500"/>
      <c r="F500"/>
      <c r="G500"/>
      <c r="H500"/>
      <c r="I500" s="22">
        <f>IFERROR(VLOOKUP(B500,MATRICULAS!A:B,2,0),0)*1</f>
        <v>0</v>
      </c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</row>
    <row r="501" spans="1:47" x14ac:dyDescent="0.25">
      <c r="A501"/>
      <c r="B501"/>
      <c r="C501"/>
      <c r="D501"/>
      <c r="E501"/>
      <c r="F501"/>
      <c r="G501"/>
      <c r="H501"/>
      <c r="I501" s="22">
        <f>IFERROR(VLOOKUP(B501,MATRICULAS!A:B,2,0),0)*1</f>
        <v>0</v>
      </c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</row>
  </sheetData>
  <autoFilter ref="A1:AV501" xr:uid="{00000000-0001-0000-0000-000000000000}">
    <sortState xmlns:xlrd2="http://schemas.microsoft.com/office/spreadsheetml/2017/richdata2" ref="A2:AV501">
      <sortCondition ref="A1:A501"/>
    </sortState>
  </autoFilter>
  <conditionalFormatting sqref="B1:B415 B502:B1048576">
    <cfRule type="duplicateValues" dxfId="3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0232-AF68-4FDE-A445-C7E54BABB639}">
  <dimension ref="A1:AA36"/>
  <sheetViews>
    <sheetView showGridLines="0" tabSelected="1" zoomScale="85" zoomScaleNormal="85" workbookViewId="0">
      <selection activeCell="R26" sqref="R26"/>
    </sheetView>
  </sheetViews>
  <sheetFormatPr baseColWidth="10" defaultColWidth="17.140625" defaultRowHeight="15" x14ac:dyDescent="0.25"/>
  <cols>
    <col min="1" max="1" width="12.7109375" style="3" bestFit="1" customWidth="1"/>
    <col min="2" max="2" width="25.140625" style="3" bestFit="1" customWidth="1"/>
    <col min="3" max="6" width="8.5703125" style="3" bestFit="1" customWidth="1"/>
    <col min="7" max="14" width="9.5703125" style="3" bestFit="1" customWidth="1"/>
    <col min="15" max="20" width="9.5703125" bestFit="1" customWidth="1"/>
    <col min="21" max="21" width="12.5703125" bestFit="1" customWidth="1"/>
    <col min="22" max="23" width="9.5703125" bestFit="1" customWidth="1"/>
    <col min="24" max="24" width="12.5703125" bestFit="1" customWidth="1"/>
    <col min="25" max="25" width="9.42578125" bestFit="1" customWidth="1"/>
    <col min="26" max="26" width="12.5703125" bestFit="1" customWidth="1"/>
    <col min="27" max="27" width="9.42578125" bestFit="1" customWidth="1"/>
    <col min="28" max="28" width="12.5703125" bestFit="1" customWidth="1"/>
    <col min="29" max="34" width="9.140625" bestFit="1" customWidth="1"/>
    <col min="35" max="52" width="10.28515625" bestFit="1" customWidth="1"/>
    <col min="53" max="53" width="12.5703125" bestFit="1" customWidth="1"/>
  </cols>
  <sheetData>
    <row r="1" spans="1:27" ht="24.75" customHeight="1" x14ac:dyDescent="0.25">
      <c r="A1" s="14"/>
      <c r="B1" s="33" t="s">
        <v>0</v>
      </c>
      <c r="C1" s="33"/>
      <c r="D1" s="33"/>
      <c r="E1" s="33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27" x14ac:dyDescent="0.25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3"/>
      <c r="Q2" s="13"/>
    </row>
    <row r="3" spans="1:27" x14ac:dyDescent="0.2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  <c r="P3" s="13"/>
      <c r="Q3" s="13"/>
    </row>
    <row r="4" spans="1:27" x14ac:dyDescent="0.25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3"/>
      <c r="Q4" s="13"/>
    </row>
    <row r="5" spans="1:27" x14ac:dyDescent="0.2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3"/>
      <c r="Q5" s="13"/>
    </row>
    <row r="6" spans="1:27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3"/>
      <c r="Q6" s="13"/>
    </row>
    <row r="7" spans="1:27" x14ac:dyDescent="0.25">
      <c r="B7" s="3" t="s">
        <v>144</v>
      </c>
      <c r="C7" s="3" t="str">
        <f>TEXT(C9,"dddd")</f>
        <v>martes</v>
      </c>
      <c r="D7" s="3" t="str">
        <f t="shared" ref="D7:W7" si="0">TEXT(D9,"dddd")</f>
        <v>miércoles</v>
      </c>
      <c r="E7" s="3" t="str">
        <f t="shared" si="0"/>
        <v>jueves</v>
      </c>
      <c r="F7" s="3" t="str">
        <f t="shared" si="0"/>
        <v>viernes</v>
      </c>
      <c r="G7" s="3" t="str">
        <f t="shared" si="0"/>
        <v>lunes</v>
      </c>
      <c r="H7" s="3" t="str">
        <f t="shared" si="0"/>
        <v>martes</v>
      </c>
      <c r="I7" s="3" t="str">
        <f t="shared" si="0"/>
        <v>miércoles</v>
      </c>
      <c r="J7" s="3" t="str">
        <f t="shared" si="0"/>
        <v>jueves</v>
      </c>
      <c r="K7" s="3" t="str">
        <f t="shared" si="0"/>
        <v>viernes</v>
      </c>
      <c r="L7" s="3" t="str">
        <f t="shared" si="0"/>
        <v>lunes</v>
      </c>
      <c r="M7" s="3" t="str">
        <f t="shared" si="0"/>
        <v>martes</v>
      </c>
      <c r="N7" s="3" t="str">
        <f t="shared" si="0"/>
        <v>miércoles</v>
      </c>
      <c r="O7" s="3" t="str">
        <f t="shared" si="0"/>
        <v>jueves</v>
      </c>
      <c r="P7" s="3" t="str">
        <f t="shared" si="0"/>
        <v>viernes</v>
      </c>
      <c r="Q7" s="3" t="str">
        <f t="shared" si="0"/>
        <v>martes</v>
      </c>
      <c r="R7" s="3" t="str">
        <f t="shared" si="0"/>
        <v>miércoles</v>
      </c>
      <c r="S7" s="3" t="str">
        <f t="shared" si="0"/>
        <v>jueves</v>
      </c>
      <c r="T7" s="3" t="str">
        <f t="shared" si="0"/>
        <v>viernes</v>
      </c>
      <c r="U7" s="3" t="str">
        <f t="shared" si="0"/>
        <v>Total general</v>
      </c>
      <c r="V7" s="3" t="str">
        <f t="shared" si="0"/>
        <v>sábado</v>
      </c>
      <c r="W7" s="3" t="str">
        <f t="shared" si="0"/>
        <v>sábado</v>
      </c>
      <c r="X7" s="3"/>
      <c r="Y7" s="3"/>
      <c r="Z7" s="3"/>
      <c r="AA7" s="3"/>
    </row>
    <row r="8" spans="1:27" x14ac:dyDescent="0.25">
      <c r="A8" s="4" t="s">
        <v>4</v>
      </c>
      <c r="B8" s="4" t="s">
        <v>5</v>
      </c>
      <c r="O8" s="3"/>
      <c r="P8" s="3"/>
      <c r="Q8" s="3"/>
      <c r="R8" s="3"/>
      <c r="S8" s="3"/>
      <c r="T8" s="3"/>
      <c r="U8" s="3"/>
    </row>
    <row r="9" spans="1:27" x14ac:dyDescent="0.25">
      <c r="A9" s="4" t="s">
        <v>6</v>
      </c>
      <c r="B9" s="7">
        <v>46146</v>
      </c>
      <c r="C9" s="7">
        <v>46147</v>
      </c>
      <c r="D9" s="7">
        <v>46148</v>
      </c>
      <c r="E9" s="7">
        <v>46149</v>
      </c>
      <c r="F9" s="7">
        <v>46150</v>
      </c>
      <c r="G9" s="7">
        <v>46153</v>
      </c>
      <c r="H9" s="7">
        <v>46154</v>
      </c>
      <c r="I9" s="7">
        <v>46155</v>
      </c>
      <c r="J9" s="7">
        <v>46156</v>
      </c>
      <c r="K9" s="7">
        <v>46157</v>
      </c>
      <c r="L9" s="7">
        <v>46160</v>
      </c>
      <c r="M9" s="7">
        <v>46161</v>
      </c>
      <c r="N9" s="7">
        <v>46162</v>
      </c>
      <c r="O9" s="7">
        <v>46163</v>
      </c>
      <c r="P9" s="7">
        <v>46164</v>
      </c>
      <c r="Q9" s="7">
        <v>46168</v>
      </c>
      <c r="R9" s="7">
        <v>46169</v>
      </c>
      <c r="S9" s="7">
        <v>46170</v>
      </c>
      <c r="T9" s="7">
        <v>46171</v>
      </c>
      <c r="U9" s="3" t="s">
        <v>1</v>
      </c>
    </row>
    <row r="10" spans="1:27" x14ac:dyDescent="0.25">
      <c r="A10" s="10">
        <v>9</v>
      </c>
      <c r="B10" s="34">
        <v>3</v>
      </c>
      <c r="C10" s="34"/>
      <c r="D10" s="34">
        <v>2</v>
      </c>
      <c r="E10" s="34">
        <v>3</v>
      </c>
      <c r="F10" s="34">
        <v>1</v>
      </c>
      <c r="G10" s="34">
        <v>2</v>
      </c>
      <c r="H10" s="34">
        <v>2</v>
      </c>
      <c r="I10" s="34"/>
      <c r="J10" s="34">
        <v>1</v>
      </c>
      <c r="K10" s="34"/>
      <c r="L10" s="34">
        <v>2</v>
      </c>
      <c r="M10" s="34"/>
      <c r="N10" s="34">
        <v>2</v>
      </c>
      <c r="O10" s="34">
        <v>1</v>
      </c>
      <c r="P10" s="34">
        <v>6</v>
      </c>
      <c r="Q10" s="34">
        <v>2</v>
      </c>
      <c r="R10" s="34">
        <v>2</v>
      </c>
      <c r="S10" s="34">
        <v>3</v>
      </c>
      <c r="T10" s="34">
        <v>1</v>
      </c>
      <c r="U10" s="34">
        <v>33</v>
      </c>
    </row>
    <row r="11" spans="1:27" x14ac:dyDescent="0.25">
      <c r="A11" s="10">
        <v>10</v>
      </c>
      <c r="B11" s="34">
        <v>5</v>
      </c>
      <c r="C11" s="34">
        <v>2</v>
      </c>
      <c r="D11" s="34">
        <v>3</v>
      </c>
      <c r="E11" s="34">
        <v>4</v>
      </c>
      <c r="F11" s="34">
        <v>3</v>
      </c>
      <c r="G11" s="34">
        <v>5</v>
      </c>
      <c r="H11" s="34"/>
      <c r="I11" s="34">
        <v>3</v>
      </c>
      <c r="J11" s="34">
        <v>3</v>
      </c>
      <c r="K11" s="34">
        <v>2</v>
      </c>
      <c r="L11" s="34">
        <v>4</v>
      </c>
      <c r="M11" s="34"/>
      <c r="N11" s="34">
        <v>1</v>
      </c>
      <c r="O11" s="34">
        <v>5</v>
      </c>
      <c r="P11" s="34">
        <v>2</v>
      </c>
      <c r="Q11" s="34">
        <v>4</v>
      </c>
      <c r="R11" s="34">
        <v>3</v>
      </c>
      <c r="S11" s="34">
        <v>5</v>
      </c>
      <c r="T11" s="34"/>
      <c r="U11" s="34">
        <v>54</v>
      </c>
    </row>
    <row r="12" spans="1:27" x14ac:dyDescent="0.25">
      <c r="A12" s="10">
        <v>11</v>
      </c>
      <c r="B12" s="34">
        <v>4</v>
      </c>
      <c r="C12" s="34">
        <v>3</v>
      </c>
      <c r="D12" s="34">
        <v>1</v>
      </c>
      <c r="E12" s="34">
        <v>2</v>
      </c>
      <c r="F12" s="34">
        <v>1</v>
      </c>
      <c r="G12" s="34">
        <v>1</v>
      </c>
      <c r="H12" s="34">
        <v>4</v>
      </c>
      <c r="I12" s="34">
        <v>2</v>
      </c>
      <c r="J12" s="34"/>
      <c r="K12" s="34">
        <v>3</v>
      </c>
      <c r="L12" s="34">
        <v>5</v>
      </c>
      <c r="M12" s="34">
        <v>2</v>
      </c>
      <c r="N12" s="34">
        <v>2</v>
      </c>
      <c r="O12" s="34">
        <v>3</v>
      </c>
      <c r="P12" s="34">
        <v>3</v>
      </c>
      <c r="Q12" s="34">
        <v>6</v>
      </c>
      <c r="R12" s="34">
        <v>3</v>
      </c>
      <c r="S12" s="34">
        <v>1</v>
      </c>
      <c r="T12" s="34">
        <v>1</v>
      </c>
      <c r="U12" s="34">
        <v>47</v>
      </c>
    </row>
    <row r="13" spans="1:27" x14ac:dyDescent="0.25">
      <c r="A13" s="10">
        <v>12</v>
      </c>
      <c r="B13" s="34">
        <v>2</v>
      </c>
      <c r="C13" s="34">
        <v>1</v>
      </c>
      <c r="D13" s="34">
        <v>5</v>
      </c>
      <c r="E13" s="34">
        <v>2</v>
      </c>
      <c r="F13" s="34">
        <v>3</v>
      </c>
      <c r="G13" s="34">
        <v>2</v>
      </c>
      <c r="H13" s="34">
        <v>4</v>
      </c>
      <c r="I13" s="34"/>
      <c r="J13" s="34"/>
      <c r="K13" s="34">
        <v>3</v>
      </c>
      <c r="L13" s="34">
        <v>6</v>
      </c>
      <c r="M13" s="34">
        <v>3</v>
      </c>
      <c r="N13" s="34"/>
      <c r="O13" s="34"/>
      <c r="P13" s="34">
        <v>1</v>
      </c>
      <c r="Q13" s="34">
        <v>2</v>
      </c>
      <c r="R13" s="34"/>
      <c r="S13" s="34">
        <v>3</v>
      </c>
      <c r="T13" s="34">
        <v>1</v>
      </c>
      <c r="U13" s="34">
        <v>38</v>
      </c>
    </row>
    <row r="14" spans="1:27" x14ac:dyDescent="0.25">
      <c r="A14" s="10">
        <v>13</v>
      </c>
      <c r="B14" s="34">
        <v>1</v>
      </c>
      <c r="C14" s="34">
        <v>1</v>
      </c>
      <c r="D14" s="34">
        <v>2</v>
      </c>
      <c r="E14" s="34"/>
      <c r="F14" s="34">
        <v>4</v>
      </c>
      <c r="G14" s="34">
        <v>2</v>
      </c>
      <c r="H14" s="34">
        <v>2</v>
      </c>
      <c r="I14" s="34"/>
      <c r="J14" s="34">
        <v>3</v>
      </c>
      <c r="K14" s="34">
        <v>2</v>
      </c>
      <c r="L14" s="34">
        <v>2</v>
      </c>
      <c r="M14" s="34">
        <v>3</v>
      </c>
      <c r="N14" s="34">
        <v>5</v>
      </c>
      <c r="O14" s="34">
        <v>1</v>
      </c>
      <c r="P14" s="34">
        <v>2</v>
      </c>
      <c r="Q14" s="34">
        <v>2</v>
      </c>
      <c r="R14" s="34">
        <v>2</v>
      </c>
      <c r="S14" s="34">
        <v>3</v>
      </c>
      <c r="T14" s="34">
        <v>2</v>
      </c>
      <c r="U14" s="34">
        <v>39</v>
      </c>
    </row>
    <row r="15" spans="1:27" x14ac:dyDescent="0.25">
      <c r="A15" s="10">
        <v>14</v>
      </c>
      <c r="B15" s="34">
        <v>4</v>
      </c>
      <c r="C15" s="34">
        <v>2</v>
      </c>
      <c r="D15" s="34">
        <v>2</v>
      </c>
      <c r="E15" s="34">
        <v>1</v>
      </c>
      <c r="F15" s="34">
        <v>2</v>
      </c>
      <c r="G15" s="34">
        <v>2</v>
      </c>
      <c r="H15" s="34">
        <v>1</v>
      </c>
      <c r="I15" s="34"/>
      <c r="J15" s="34">
        <v>2</v>
      </c>
      <c r="K15" s="34"/>
      <c r="L15" s="34">
        <v>1</v>
      </c>
      <c r="M15" s="34">
        <v>2</v>
      </c>
      <c r="N15" s="34"/>
      <c r="O15" s="34">
        <v>3</v>
      </c>
      <c r="P15" s="34">
        <v>2</v>
      </c>
      <c r="Q15" s="34">
        <v>2</v>
      </c>
      <c r="R15" s="34">
        <v>1</v>
      </c>
      <c r="S15" s="34">
        <v>2</v>
      </c>
      <c r="T15" s="34"/>
      <c r="U15" s="34">
        <v>29</v>
      </c>
    </row>
    <row r="16" spans="1:27" x14ac:dyDescent="0.25">
      <c r="A16" s="10">
        <v>15</v>
      </c>
      <c r="B16" s="34">
        <v>1</v>
      </c>
      <c r="C16" s="34">
        <v>3</v>
      </c>
      <c r="D16" s="34"/>
      <c r="E16" s="34">
        <v>2</v>
      </c>
      <c r="F16" s="34">
        <v>2</v>
      </c>
      <c r="G16" s="34">
        <v>2</v>
      </c>
      <c r="H16" s="34">
        <v>4</v>
      </c>
      <c r="I16" s="34">
        <v>2</v>
      </c>
      <c r="J16" s="34"/>
      <c r="K16" s="34">
        <v>1</v>
      </c>
      <c r="L16" s="34">
        <v>2</v>
      </c>
      <c r="M16" s="34">
        <v>4</v>
      </c>
      <c r="N16" s="34">
        <v>1</v>
      </c>
      <c r="O16" s="34"/>
      <c r="P16" s="34">
        <v>1</v>
      </c>
      <c r="Q16" s="34">
        <v>1</v>
      </c>
      <c r="R16" s="34">
        <v>2</v>
      </c>
      <c r="S16" s="34">
        <v>1</v>
      </c>
      <c r="T16" s="34">
        <v>1</v>
      </c>
      <c r="U16" s="34">
        <v>30</v>
      </c>
    </row>
    <row r="17" spans="1:21" x14ac:dyDescent="0.25">
      <c r="A17" s="10">
        <v>16</v>
      </c>
      <c r="B17" s="34">
        <v>4</v>
      </c>
      <c r="C17" s="34">
        <v>3</v>
      </c>
      <c r="D17" s="34">
        <v>5</v>
      </c>
      <c r="E17" s="34"/>
      <c r="F17" s="34">
        <v>1</v>
      </c>
      <c r="G17" s="34">
        <v>4</v>
      </c>
      <c r="H17" s="34">
        <v>2</v>
      </c>
      <c r="I17" s="34">
        <v>1</v>
      </c>
      <c r="J17" s="34">
        <v>3</v>
      </c>
      <c r="K17" s="34">
        <v>3</v>
      </c>
      <c r="L17" s="34">
        <v>1</v>
      </c>
      <c r="M17" s="34">
        <v>2</v>
      </c>
      <c r="N17" s="34">
        <v>1</v>
      </c>
      <c r="O17" s="34">
        <v>1</v>
      </c>
      <c r="P17" s="34"/>
      <c r="Q17" s="34">
        <v>1</v>
      </c>
      <c r="R17" s="34">
        <v>2</v>
      </c>
      <c r="S17" s="34">
        <v>2</v>
      </c>
      <c r="T17" s="34">
        <v>3</v>
      </c>
      <c r="U17" s="34">
        <v>39</v>
      </c>
    </row>
    <row r="18" spans="1:21" x14ac:dyDescent="0.25">
      <c r="A18" s="10">
        <v>17</v>
      </c>
      <c r="B18" s="34">
        <v>1</v>
      </c>
      <c r="C18" s="34">
        <v>2</v>
      </c>
      <c r="D18" s="34">
        <v>2</v>
      </c>
      <c r="E18" s="34">
        <v>1</v>
      </c>
      <c r="F18" s="34">
        <v>1</v>
      </c>
      <c r="G18" s="34"/>
      <c r="H18" s="34">
        <v>1</v>
      </c>
      <c r="I18" s="34">
        <v>2</v>
      </c>
      <c r="J18" s="34"/>
      <c r="K18" s="34">
        <v>3</v>
      </c>
      <c r="L18" s="34">
        <v>3</v>
      </c>
      <c r="M18" s="34">
        <v>4</v>
      </c>
      <c r="N18" s="34">
        <v>1</v>
      </c>
      <c r="O18" s="34">
        <v>3</v>
      </c>
      <c r="P18" s="34">
        <v>1</v>
      </c>
      <c r="Q18" s="34">
        <v>4</v>
      </c>
      <c r="R18" s="34">
        <v>1</v>
      </c>
      <c r="S18" s="34">
        <v>3</v>
      </c>
      <c r="T18" s="34">
        <v>3</v>
      </c>
      <c r="U18" s="34">
        <v>36</v>
      </c>
    </row>
    <row r="19" spans="1:21" x14ac:dyDescent="0.25">
      <c r="A19" s="10">
        <v>18</v>
      </c>
      <c r="B19" s="34">
        <v>2</v>
      </c>
      <c r="C19" s="34">
        <v>4</v>
      </c>
      <c r="D19" s="34">
        <v>3</v>
      </c>
      <c r="E19" s="34">
        <v>1</v>
      </c>
      <c r="F19" s="34"/>
      <c r="G19" s="34"/>
      <c r="H19" s="34">
        <v>1</v>
      </c>
      <c r="I19" s="34">
        <v>3</v>
      </c>
      <c r="J19" s="34"/>
      <c r="K19" s="34"/>
      <c r="L19" s="34"/>
      <c r="M19" s="34">
        <v>3</v>
      </c>
      <c r="N19" s="34">
        <v>1</v>
      </c>
      <c r="O19" s="34">
        <v>4</v>
      </c>
      <c r="P19" s="34"/>
      <c r="Q19" s="34">
        <v>1</v>
      </c>
      <c r="R19" s="34">
        <v>1</v>
      </c>
      <c r="S19" s="34"/>
      <c r="T19" s="34"/>
      <c r="U19" s="34">
        <v>24</v>
      </c>
    </row>
    <row r="20" spans="1:21" x14ac:dyDescent="0.25">
      <c r="A20" s="10">
        <v>19</v>
      </c>
      <c r="B20" s="34">
        <v>2</v>
      </c>
      <c r="C20" s="34"/>
      <c r="D20" s="34">
        <v>1</v>
      </c>
      <c r="E20" s="34"/>
      <c r="F20" s="34"/>
      <c r="G20" s="34">
        <v>1</v>
      </c>
      <c r="H20" s="34">
        <v>3</v>
      </c>
      <c r="I20" s="34"/>
      <c r="J20" s="34">
        <v>1</v>
      </c>
      <c r="K20" s="34">
        <v>4</v>
      </c>
      <c r="L20" s="34">
        <v>2</v>
      </c>
      <c r="M20" s="34">
        <v>1</v>
      </c>
      <c r="N20" s="34">
        <v>2</v>
      </c>
      <c r="O20" s="34">
        <v>1</v>
      </c>
      <c r="P20" s="34"/>
      <c r="Q20" s="34"/>
      <c r="R20" s="34"/>
      <c r="S20" s="34"/>
      <c r="T20" s="34">
        <v>4</v>
      </c>
      <c r="U20" s="34">
        <v>22</v>
      </c>
    </row>
    <row r="21" spans="1:21" x14ac:dyDescent="0.25">
      <c r="A21" s="10">
        <v>20</v>
      </c>
      <c r="B21" s="34"/>
      <c r="C21" s="34">
        <v>2</v>
      </c>
      <c r="D21" s="34">
        <v>4</v>
      </c>
      <c r="E21" s="34">
        <v>3</v>
      </c>
      <c r="F21" s="34"/>
      <c r="G21" s="34">
        <v>3</v>
      </c>
      <c r="H21" s="34">
        <v>1</v>
      </c>
      <c r="I21" s="34">
        <v>1</v>
      </c>
      <c r="J21" s="34">
        <v>1</v>
      </c>
      <c r="K21" s="34"/>
      <c r="L21" s="34">
        <v>1</v>
      </c>
      <c r="M21" s="34"/>
      <c r="N21" s="34">
        <v>2</v>
      </c>
      <c r="O21" s="34">
        <v>1</v>
      </c>
      <c r="P21" s="34">
        <v>1</v>
      </c>
      <c r="Q21" s="34">
        <v>1</v>
      </c>
      <c r="R21" s="34">
        <v>1</v>
      </c>
      <c r="S21" s="34"/>
      <c r="T21" s="34">
        <v>1</v>
      </c>
      <c r="U21" s="34">
        <v>23</v>
      </c>
    </row>
    <row r="22" spans="1:21" x14ac:dyDescent="0.25">
      <c r="A22" s="3" t="s">
        <v>1</v>
      </c>
      <c r="B22" s="34">
        <v>29</v>
      </c>
      <c r="C22" s="34">
        <v>23</v>
      </c>
      <c r="D22" s="34">
        <v>30</v>
      </c>
      <c r="E22" s="34">
        <v>19</v>
      </c>
      <c r="F22" s="34">
        <v>18</v>
      </c>
      <c r="G22" s="34">
        <v>24</v>
      </c>
      <c r="H22" s="34">
        <v>25</v>
      </c>
      <c r="I22" s="34">
        <v>14</v>
      </c>
      <c r="J22" s="34">
        <v>14</v>
      </c>
      <c r="K22" s="34">
        <v>21</v>
      </c>
      <c r="L22" s="34">
        <v>29</v>
      </c>
      <c r="M22" s="34">
        <v>24</v>
      </c>
      <c r="N22" s="34">
        <v>18</v>
      </c>
      <c r="O22" s="34">
        <v>23</v>
      </c>
      <c r="P22" s="34">
        <v>19</v>
      </c>
      <c r="Q22" s="34">
        <v>26</v>
      </c>
      <c r="R22" s="34">
        <v>18</v>
      </c>
      <c r="S22" s="34">
        <v>23</v>
      </c>
      <c r="T22" s="34">
        <v>17</v>
      </c>
      <c r="U22" s="34">
        <v>414</v>
      </c>
    </row>
    <row r="23" spans="1:21" x14ac:dyDescent="0.25">
      <c r="A23" s="3" t="s">
        <v>7</v>
      </c>
      <c r="B23" s="3" t="s">
        <v>8</v>
      </c>
    </row>
    <row r="24" spans="1:21" x14ac:dyDescent="0.25">
      <c r="A24" s="10">
        <v>9</v>
      </c>
      <c r="B24" s="3">
        <f>+GETPIVOTDATA("fecha real",$A$8,"hora de contacta",9)</f>
        <v>33</v>
      </c>
    </row>
    <row r="25" spans="1:21" x14ac:dyDescent="0.25">
      <c r="A25" s="10">
        <v>10</v>
      </c>
      <c r="B25" s="3">
        <f>+GETPIVOTDATA("fecha real",$A$8,"hora de contacta",10)</f>
        <v>54</v>
      </c>
    </row>
    <row r="26" spans="1:21" x14ac:dyDescent="0.25">
      <c r="A26" s="10">
        <v>11</v>
      </c>
      <c r="B26" s="3">
        <f>+GETPIVOTDATA("fecha real",$A$8,"hora de contacta",11)</f>
        <v>47</v>
      </c>
    </row>
    <row r="27" spans="1:21" x14ac:dyDescent="0.25">
      <c r="A27" s="10">
        <v>12</v>
      </c>
      <c r="B27" s="3">
        <f>+GETPIVOTDATA("fecha real",$A$8,"hora de contacta",12)</f>
        <v>38</v>
      </c>
    </row>
    <row r="28" spans="1:21" x14ac:dyDescent="0.25">
      <c r="A28" s="10">
        <v>13</v>
      </c>
      <c r="B28" s="3">
        <f>+GETPIVOTDATA("fecha real",$A$8,"hora de contacta",13)</f>
        <v>39</v>
      </c>
    </row>
    <row r="29" spans="1:21" x14ac:dyDescent="0.25">
      <c r="A29" s="10">
        <v>14</v>
      </c>
      <c r="B29" s="3">
        <f>+GETPIVOTDATA("fecha real",$A$8,"hora de contacta",14)</f>
        <v>29</v>
      </c>
    </row>
    <row r="30" spans="1:21" x14ac:dyDescent="0.25">
      <c r="A30" s="10">
        <v>15</v>
      </c>
      <c r="B30" s="3">
        <f>+GETPIVOTDATA("fecha real",$A$8,"hora de contacta",15)</f>
        <v>30</v>
      </c>
    </row>
    <row r="31" spans="1:21" x14ac:dyDescent="0.25">
      <c r="A31" s="10">
        <v>16</v>
      </c>
      <c r="B31" s="3">
        <f>+GETPIVOTDATA("fecha real",$A$8,"hora de contacta",16)</f>
        <v>39</v>
      </c>
    </row>
    <row r="32" spans="1:21" x14ac:dyDescent="0.25">
      <c r="A32" s="10">
        <v>17</v>
      </c>
      <c r="B32" s="3">
        <f>+GETPIVOTDATA("fecha real",$A$8,"hora de contacta",17)</f>
        <v>36</v>
      </c>
    </row>
    <row r="33" spans="1:2" x14ac:dyDescent="0.25">
      <c r="A33" s="10">
        <v>18</v>
      </c>
      <c r="B33" s="3">
        <f>+GETPIVOTDATA("fecha real",$A$8,"hora de contacta",18)</f>
        <v>24</v>
      </c>
    </row>
    <row r="34" spans="1:2" x14ac:dyDescent="0.25">
      <c r="A34" s="10">
        <v>19</v>
      </c>
      <c r="B34" s="3">
        <f>+GETPIVOTDATA("fecha real",$A$8,"hora de contacta",19)</f>
        <v>22</v>
      </c>
    </row>
    <row r="35" spans="1:2" x14ac:dyDescent="0.25">
      <c r="A35" s="10">
        <v>20</v>
      </c>
      <c r="B35" s="3">
        <f>+GETPIVOTDATA("fecha real",$A$8,"hora de contacta",20)</f>
        <v>23</v>
      </c>
    </row>
    <row r="36" spans="1:2" x14ac:dyDescent="0.25">
      <c r="A36" s="3" t="s">
        <v>1</v>
      </c>
      <c r="B36" s="3">
        <f>+SUM(B24:B34)</f>
        <v>391</v>
      </c>
    </row>
  </sheetData>
  <mergeCells count="4">
    <mergeCell ref="N1:Q1"/>
    <mergeCell ref="B1:E1"/>
    <mergeCell ref="J1:M1"/>
    <mergeCell ref="F1:I1"/>
  </mergeCells>
  <phoneticPr fontId="3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3540-1C9B-4E13-833B-338293F8E9DB}">
  <dimension ref="A1:B8180"/>
  <sheetViews>
    <sheetView topLeftCell="A581" workbookViewId="0">
      <selection activeCell="A583" sqref="A583"/>
    </sheetView>
  </sheetViews>
  <sheetFormatPr baseColWidth="10" defaultRowHeight="15" x14ac:dyDescent="0.25"/>
  <cols>
    <col min="1" max="1" width="11.85546875" bestFit="1" customWidth="1"/>
    <col min="2" max="2" width="4" bestFit="1" customWidth="1"/>
  </cols>
  <sheetData>
    <row r="1" spans="1:2" x14ac:dyDescent="0.25">
      <c r="A1" s="25" t="s">
        <v>193</v>
      </c>
      <c r="B1" t="s">
        <v>194</v>
      </c>
    </row>
    <row r="2" spans="1:2" x14ac:dyDescent="0.25">
      <c r="A2" s="35">
        <v>43763632</v>
      </c>
      <c r="B2">
        <v>1</v>
      </c>
    </row>
    <row r="3" spans="1:2" x14ac:dyDescent="0.25">
      <c r="A3" s="36">
        <v>2235907995</v>
      </c>
      <c r="B3">
        <v>1</v>
      </c>
    </row>
    <row r="4" spans="1:2" x14ac:dyDescent="0.25">
      <c r="A4" s="35">
        <v>2964696700</v>
      </c>
      <c r="B4">
        <v>1</v>
      </c>
    </row>
    <row r="5" spans="1:2" x14ac:dyDescent="0.25">
      <c r="A5" s="36">
        <v>2995954223</v>
      </c>
      <c r="B5">
        <v>1</v>
      </c>
    </row>
    <row r="6" spans="1:2" x14ac:dyDescent="0.25">
      <c r="A6" s="35">
        <v>3704773824</v>
      </c>
      <c r="B6">
        <v>1</v>
      </c>
    </row>
    <row r="7" spans="1:2" x14ac:dyDescent="0.25">
      <c r="A7" s="36">
        <v>3624206505</v>
      </c>
      <c r="B7">
        <v>1</v>
      </c>
    </row>
    <row r="8" spans="1:2" x14ac:dyDescent="0.25">
      <c r="A8" s="35">
        <v>2614180707</v>
      </c>
      <c r="B8">
        <v>1</v>
      </c>
    </row>
    <row r="9" spans="1:2" x14ac:dyDescent="0.25">
      <c r="A9" s="36">
        <v>1163767740</v>
      </c>
      <c r="B9">
        <v>1</v>
      </c>
    </row>
    <row r="10" spans="1:2" x14ac:dyDescent="0.25">
      <c r="A10" s="35">
        <v>2994515454</v>
      </c>
      <c r="B10">
        <v>1</v>
      </c>
    </row>
    <row r="11" spans="1:2" x14ac:dyDescent="0.25">
      <c r="A11" s="36">
        <v>2645284787</v>
      </c>
      <c r="B11">
        <v>1</v>
      </c>
    </row>
    <row r="12" spans="1:2" x14ac:dyDescent="0.25">
      <c r="A12" s="35">
        <v>3735442634</v>
      </c>
      <c r="B12">
        <v>1</v>
      </c>
    </row>
    <row r="13" spans="1:2" x14ac:dyDescent="0.25">
      <c r="A13" s="36">
        <v>3875185276</v>
      </c>
      <c r="B13">
        <v>1</v>
      </c>
    </row>
    <row r="14" spans="1:2" x14ac:dyDescent="0.25">
      <c r="A14" s="35">
        <v>1140819132</v>
      </c>
      <c r="B14">
        <v>1</v>
      </c>
    </row>
    <row r="15" spans="1:2" x14ac:dyDescent="0.25">
      <c r="A15" s="36">
        <v>2995291222</v>
      </c>
      <c r="B15">
        <v>1</v>
      </c>
    </row>
    <row r="16" spans="1:2" x14ac:dyDescent="0.25">
      <c r="A16" s="35">
        <v>2995291222</v>
      </c>
      <c r="B16">
        <v>1</v>
      </c>
    </row>
    <row r="17" spans="1:2" x14ac:dyDescent="0.25">
      <c r="A17" s="36">
        <v>3454932375</v>
      </c>
      <c r="B17">
        <v>1</v>
      </c>
    </row>
    <row r="18" spans="1:2" x14ac:dyDescent="0.25">
      <c r="A18" s="35">
        <v>2974045725</v>
      </c>
      <c r="B18">
        <v>1</v>
      </c>
    </row>
    <row r="19" spans="1:2" x14ac:dyDescent="0.25">
      <c r="A19" s="36">
        <v>2915357426</v>
      </c>
      <c r="B19">
        <v>1</v>
      </c>
    </row>
    <row r="20" spans="1:2" x14ac:dyDescent="0.25">
      <c r="A20" s="35">
        <v>1121700443</v>
      </c>
      <c r="B20">
        <v>1</v>
      </c>
    </row>
    <row r="21" spans="1:2" x14ac:dyDescent="0.25">
      <c r="A21" s="36">
        <v>2983344359</v>
      </c>
      <c r="B21">
        <v>1</v>
      </c>
    </row>
    <row r="22" spans="1:2" x14ac:dyDescent="0.25">
      <c r="A22" s="35">
        <v>1140861116</v>
      </c>
      <c r="B22">
        <v>1</v>
      </c>
    </row>
    <row r="23" spans="1:2" x14ac:dyDescent="0.25">
      <c r="A23" s="36">
        <v>1166100741</v>
      </c>
      <c r="B23">
        <v>1</v>
      </c>
    </row>
    <row r="24" spans="1:2" x14ac:dyDescent="0.25">
      <c r="A24" s="35">
        <v>2901512633</v>
      </c>
      <c r="B24">
        <v>1</v>
      </c>
    </row>
    <row r="25" spans="1:2" x14ac:dyDescent="0.25">
      <c r="A25" s="36">
        <v>2974010105</v>
      </c>
      <c r="B25">
        <v>1</v>
      </c>
    </row>
    <row r="26" spans="1:2" x14ac:dyDescent="0.25">
      <c r="A26" s="35">
        <v>3413630035</v>
      </c>
      <c r="B26">
        <v>1</v>
      </c>
    </row>
    <row r="27" spans="1:2" x14ac:dyDescent="0.25">
      <c r="A27" s="36">
        <v>1165585449</v>
      </c>
      <c r="B27">
        <v>1</v>
      </c>
    </row>
    <row r="28" spans="1:2" x14ac:dyDescent="0.25">
      <c r="A28" s="35">
        <v>3465539587</v>
      </c>
      <c r="B28">
        <v>1</v>
      </c>
    </row>
    <row r="29" spans="1:2" x14ac:dyDescent="0.25">
      <c r="A29" s="36">
        <v>2984562240</v>
      </c>
      <c r="B29">
        <v>1</v>
      </c>
    </row>
    <row r="30" spans="1:2" x14ac:dyDescent="0.25">
      <c r="A30" s="35">
        <v>1138152549</v>
      </c>
      <c r="B30">
        <v>1</v>
      </c>
    </row>
    <row r="31" spans="1:2" x14ac:dyDescent="0.25">
      <c r="A31" s="36">
        <v>3455483628</v>
      </c>
      <c r="B31">
        <v>1</v>
      </c>
    </row>
    <row r="32" spans="1:2" x14ac:dyDescent="0.25">
      <c r="A32" s="35">
        <v>5491153389811</v>
      </c>
      <c r="B32">
        <v>1</v>
      </c>
    </row>
    <row r="33" spans="1:2" x14ac:dyDescent="0.25">
      <c r="A33" s="36">
        <v>3487652430</v>
      </c>
      <c r="B33">
        <v>1</v>
      </c>
    </row>
    <row r="34" spans="1:2" x14ac:dyDescent="0.25">
      <c r="A34" s="35">
        <v>3875873525</v>
      </c>
      <c r="B34">
        <v>1</v>
      </c>
    </row>
    <row r="35" spans="1:2" x14ac:dyDescent="0.25">
      <c r="A35" s="36">
        <v>3492214231</v>
      </c>
      <c r="B35">
        <v>1</v>
      </c>
    </row>
    <row r="36" spans="1:2" x14ac:dyDescent="0.25">
      <c r="A36" s="35">
        <v>1166837035</v>
      </c>
      <c r="B36">
        <v>1</v>
      </c>
    </row>
    <row r="37" spans="1:2" x14ac:dyDescent="0.25">
      <c r="A37" s="36">
        <v>2994025130</v>
      </c>
      <c r="B37">
        <v>1</v>
      </c>
    </row>
    <row r="38" spans="1:2" x14ac:dyDescent="0.25">
      <c r="A38" s="35">
        <v>2964458719</v>
      </c>
      <c r="B38">
        <v>1</v>
      </c>
    </row>
    <row r="39" spans="1:2" x14ac:dyDescent="0.25">
      <c r="A39" s="36">
        <v>3872104888</v>
      </c>
      <c r="B39">
        <v>1</v>
      </c>
    </row>
    <row r="40" spans="1:2" x14ac:dyDescent="0.25">
      <c r="A40" s="35">
        <v>1139419534</v>
      </c>
      <c r="B40">
        <v>1</v>
      </c>
    </row>
    <row r="41" spans="1:2" x14ac:dyDescent="0.25">
      <c r="A41" s="36">
        <v>3816408806</v>
      </c>
      <c r="B41">
        <v>1</v>
      </c>
    </row>
    <row r="42" spans="1:2" x14ac:dyDescent="0.25">
      <c r="A42" s="35">
        <v>2281403414</v>
      </c>
      <c r="B42">
        <v>1</v>
      </c>
    </row>
    <row r="43" spans="1:2" x14ac:dyDescent="0.25">
      <c r="A43" s="36">
        <v>3794761756</v>
      </c>
      <c r="B43">
        <v>1</v>
      </c>
    </row>
    <row r="44" spans="1:2" x14ac:dyDescent="0.25">
      <c r="A44" s="35">
        <v>2995480731</v>
      </c>
      <c r="B44">
        <v>1</v>
      </c>
    </row>
    <row r="45" spans="1:2" x14ac:dyDescent="0.25">
      <c r="A45" s="36">
        <v>3804925361</v>
      </c>
      <c r="B45">
        <v>1</v>
      </c>
    </row>
    <row r="46" spans="1:2" x14ac:dyDescent="0.25">
      <c r="A46" s="35">
        <v>1148365206</v>
      </c>
      <c r="B46">
        <v>1</v>
      </c>
    </row>
    <row r="47" spans="1:2" x14ac:dyDescent="0.25">
      <c r="A47" s="36">
        <v>3537447749</v>
      </c>
      <c r="B47">
        <v>1</v>
      </c>
    </row>
    <row r="48" spans="1:2" x14ac:dyDescent="0.25">
      <c r="A48" s="35">
        <v>3413464991</v>
      </c>
      <c r="B48">
        <v>1</v>
      </c>
    </row>
    <row r="49" spans="1:2" x14ac:dyDescent="0.25">
      <c r="A49" s="36">
        <v>3547664589</v>
      </c>
      <c r="B49">
        <v>1</v>
      </c>
    </row>
    <row r="50" spans="1:2" x14ac:dyDescent="0.25">
      <c r="A50" s="35">
        <v>3571314230</v>
      </c>
      <c r="B50">
        <v>1</v>
      </c>
    </row>
    <row r="51" spans="1:2" x14ac:dyDescent="0.25">
      <c r="A51" s="36">
        <v>1132713706</v>
      </c>
      <c r="B51">
        <v>1</v>
      </c>
    </row>
    <row r="52" spans="1:2" x14ac:dyDescent="0.25">
      <c r="A52" s="35">
        <v>2945586250</v>
      </c>
      <c r="B52">
        <v>1</v>
      </c>
    </row>
    <row r="53" spans="1:2" x14ac:dyDescent="0.25">
      <c r="A53" s="36">
        <v>1164500410</v>
      </c>
      <c r="B53">
        <v>1</v>
      </c>
    </row>
    <row r="54" spans="1:2" x14ac:dyDescent="0.25">
      <c r="A54" s="35">
        <v>3484371461</v>
      </c>
      <c r="B54">
        <v>1</v>
      </c>
    </row>
    <row r="55" spans="1:2" x14ac:dyDescent="0.25">
      <c r="A55" s="36">
        <v>3813482002</v>
      </c>
      <c r="B55">
        <v>1</v>
      </c>
    </row>
    <row r="56" spans="1:2" x14ac:dyDescent="0.25">
      <c r="A56" s="35">
        <v>1121788499</v>
      </c>
      <c r="B56">
        <v>1</v>
      </c>
    </row>
    <row r="57" spans="1:2" x14ac:dyDescent="0.25">
      <c r="A57" s="36">
        <v>3764263866</v>
      </c>
      <c r="B57">
        <v>1</v>
      </c>
    </row>
    <row r="58" spans="1:2" x14ac:dyDescent="0.25">
      <c r="A58" s="35">
        <v>3874402390</v>
      </c>
      <c r="B58">
        <v>1</v>
      </c>
    </row>
    <row r="59" spans="1:2" x14ac:dyDescent="0.25">
      <c r="A59" s="36">
        <v>2804393011</v>
      </c>
      <c r="B59">
        <v>1</v>
      </c>
    </row>
    <row r="60" spans="1:2" x14ac:dyDescent="0.25">
      <c r="A60" s="35">
        <v>3525610557</v>
      </c>
      <c r="B60">
        <v>1</v>
      </c>
    </row>
    <row r="61" spans="1:2" x14ac:dyDescent="0.25">
      <c r="A61" s="36">
        <v>2323316755</v>
      </c>
      <c r="B61">
        <v>1</v>
      </c>
    </row>
    <row r="62" spans="1:2" x14ac:dyDescent="0.25">
      <c r="A62" s="35">
        <v>2302601451</v>
      </c>
      <c r="B62">
        <v>1</v>
      </c>
    </row>
    <row r="63" spans="1:2" x14ac:dyDescent="0.25">
      <c r="A63" s="36">
        <v>1139010270</v>
      </c>
      <c r="B63">
        <v>1</v>
      </c>
    </row>
    <row r="64" spans="1:2" x14ac:dyDescent="0.25">
      <c r="A64" s="35">
        <v>2984180922</v>
      </c>
      <c r="B64">
        <v>1</v>
      </c>
    </row>
    <row r="65" spans="1:2" x14ac:dyDescent="0.25">
      <c r="A65" s="36">
        <v>3878210012</v>
      </c>
      <c r="B65">
        <v>1</v>
      </c>
    </row>
    <row r="66" spans="1:2" x14ac:dyDescent="0.25">
      <c r="A66" s="35">
        <v>2646252585</v>
      </c>
      <c r="B66">
        <v>1</v>
      </c>
    </row>
    <row r="67" spans="1:2" x14ac:dyDescent="0.25">
      <c r="A67" s="36">
        <v>1131484638</v>
      </c>
      <c r="B67">
        <v>1</v>
      </c>
    </row>
    <row r="68" spans="1:2" x14ac:dyDescent="0.25">
      <c r="A68" s="35">
        <v>2994589540</v>
      </c>
      <c r="B68">
        <v>1</v>
      </c>
    </row>
    <row r="69" spans="1:2" x14ac:dyDescent="0.25">
      <c r="A69" s="36">
        <v>1166650112</v>
      </c>
      <c r="B69">
        <v>1</v>
      </c>
    </row>
    <row r="70" spans="1:2" x14ac:dyDescent="0.25">
      <c r="A70" s="35">
        <v>2994208717</v>
      </c>
      <c r="B70">
        <v>1</v>
      </c>
    </row>
    <row r="71" spans="1:2" x14ac:dyDescent="0.25">
      <c r="A71" s="36">
        <v>1122806161</v>
      </c>
      <c r="B71">
        <v>1</v>
      </c>
    </row>
    <row r="72" spans="1:2" x14ac:dyDescent="0.25">
      <c r="A72" s="35">
        <v>1155286031</v>
      </c>
      <c r="B72">
        <v>1</v>
      </c>
    </row>
    <row r="73" spans="1:2" x14ac:dyDescent="0.25">
      <c r="A73" s="36">
        <v>1136310747</v>
      </c>
      <c r="B73">
        <v>1</v>
      </c>
    </row>
    <row r="74" spans="1:2" x14ac:dyDescent="0.25">
      <c r="A74" s="35">
        <v>3512561241</v>
      </c>
      <c r="B74">
        <v>1</v>
      </c>
    </row>
    <row r="75" spans="1:2" x14ac:dyDescent="0.25">
      <c r="A75" s="36">
        <v>3512736679</v>
      </c>
      <c r="B75">
        <v>1</v>
      </c>
    </row>
    <row r="76" spans="1:2" x14ac:dyDescent="0.25">
      <c r="A76" s="35">
        <v>3585407910</v>
      </c>
      <c r="B76">
        <v>1</v>
      </c>
    </row>
    <row r="77" spans="1:2" x14ac:dyDescent="0.25">
      <c r="A77" s="36">
        <v>3513285433</v>
      </c>
      <c r="B77">
        <v>1</v>
      </c>
    </row>
    <row r="78" spans="1:2" x14ac:dyDescent="0.25">
      <c r="A78" s="35">
        <v>3518116716</v>
      </c>
      <c r="B78">
        <v>1</v>
      </c>
    </row>
    <row r="79" spans="1:2" x14ac:dyDescent="0.25">
      <c r="A79" s="36">
        <v>35476427</v>
      </c>
      <c r="B79">
        <v>1</v>
      </c>
    </row>
    <row r="80" spans="1:2" x14ac:dyDescent="0.25">
      <c r="A80" s="35">
        <v>3516820450</v>
      </c>
      <c r="B80">
        <v>1</v>
      </c>
    </row>
    <row r="81" spans="1:2" x14ac:dyDescent="0.25">
      <c r="A81" s="36">
        <v>3878224590</v>
      </c>
      <c r="B81">
        <v>1</v>
      </c>
    </row>
    <row r="82" spans="1:2" x14ac:dyDescent="0.25">
      <c r="A82" s="35">
        <v>3517611288</v>
      </c>
      <c r="B82">
        <v>1</v>
      </c>
    </row>
    <row r="83" spans="1:2" x14ac:dyDescent="0.25">
      <c r="A83" s="36">
        <v>3525576353</v>
      </c>
      <c r="B83">
        <v>1</v>
      </c>
    </row>
    <row r="84" spans="1:2" x14ac:dyDescent="0.25">
      <c r="A84" s="35">
        <v>2994105196</v>
      </c>
      <c r="B84">
        <v>1</v>
      </c>
    </row>
    <row r="85" spans="1:2" x14ac:dyDescent="0.25">
      <c r="A85" s="36">
        <v>1123177887</v>
      </c>
      <c r="B85">
        <v>1</v>
      </c>
    </row>
    <row r="86" spans="1:2" x14ac:dyDescent="0.25">
      <c r="A86" s="35">
        <v>3725401536</v>
      </c>
      <c r="B86">
        <v>1</v>
      </c>
    </row>
    <row r="87" spans="1:2" x14ac:dyDescent="0.25">
      <c r="A87" s="36">
        <v>2615993435</v>
      </c>
      <c r="B87">
        <v>1</v>
      </c>
    </row>
    <row r="88" spans="1:2" x14ac:dyDescent="0.25">
      <c r="A88" s="35">
        <v>2613343727</v>
      </c>
      <c r="B88">
        <v>1</v>
      </c>
    </row>
    <row r="89" spans="1:2" x14ac:dyDescent="0.25">
      <c r="A89" s="36">
        <v>3513395794</v>
      </c>
      <c r="B89">
        <v>1</v>
      </c>
    </row>
    <row r="90" spans="1:2" x14ac:dyDescent="0.25">
      <c r="A90" s="35">
        <v>1154019921</v>
      </c>
      <c r="B90">
        <v>1</v>
      </c>
    </row>
    <row r="91" spans="1:2" x14ac:dyDescent="0.25">
      <c r="A91" s="36">
        <v>2964609843</v>
      </c>
      <c r="B91">
        <v>1</v>
      </c>
    </row>
    <row r="92" spans="1:2" x14ac:dyDescent="0.25">
      <c r="A92" s="35">
        <v>3804731655</v>
      </c>
      <c r="B92">
        <v>1</v>
      </c>
    </row>
    <row r="93" spans="1:2" x14ac:dyDescent="0.25">
      <c r="A93" s="36">
        <v>3455486118</v>
      </c>
      <c r="B93">
        <v>1</v>
      </c>
    </row>
    <row r="94" spans="1:2" x14ac:dyDescent="0.25">
      <c r="A94" s="35">
        <v>3875207474</v>
      </c>
      <c r="B94">
        <v>1</v>
      </c>
    </row>
    <row r="95" spans="1:2" x14ac:dyDescent="0.25">
      <c r="A95" s="36">
        <v>3813650603</v>
      </c>
      <c r="B95">
        <v>1</v>
      </c>
    </row>
    <row r="96" spans="1:2" x14ac:dyDescent="0.25">
      <c r="A96" s="35">
        <v>1166788728</v>
      </c>
      <c r="B96">
        <v>1</v>
      </c>
    </row>
    <row r="97" spans="1:2" x14ac:dyDescent="0.25">
      <c r="A97" s="36">
        <v>1155686837</v>
      </c>
      <c r="B97">
        <v>1</v>
      </c>
    </row>
    <row r="98" spans="1:2" x14ac:dyDescent="0.25">
      <c r="A98" s="35">
        <v>1170455157</v>
      </c>
      <c r="B98">
        <v>1</v>
      </c>
    </row>
    <row r="99" spans="1:2" x14ac:dyDescent="0.25">
      <c r="A99" s="36">
        <v>1159311419</v>
      </c>
      <c r="B99">
        <v>1</v>
      </c>
    </row>
    <row r="100" spans="1:2" x14ac:dyDescent="0.25">
      <c r="A100" s="35">
        <v>2996137196</v>
      </c>
      <c r="B100">
        <v>1</v>
      </c>
    </row>
    <row r="101" spans="1:2" x14ac:dyDescent="0.25">
      <c r="A101" s="36">
        <v>3816822810</v>
      </c>
      <c r="B101">
        <v>1</v>
      </c>
    </row>
    <row r="102" spans="1:2" x14ac:dyDescent="0.25">
      <c r="A102" s="35">
        <v>3834653248</v>
      </c>
      <c r="B102">
        <v>1</v>
      </c>
    </row>
    <row r="103" spans="1:2" x14ac:dyDescent="0.25">
      <c r="A103" s="36">
        <v>1170623563</v>
      </c>
      <c r="B103">
        <v>1</v>
      </c>
    </row>
    <row r="104" spans="1:2" x14ac:dyDescent="0.25">
      <c r="A104" s="35">
        <v>2944307042</v>
      </c>
      <c r="B104">
        <v>1</v>
      </c>
    </row>
    <row r="105" spans="1:2" x14ac:dyDescent="0.25">
      <c r="A105" s="36">
        <v>2995339994</v>
      </c>
      <c r="B105">
        <v>1</v>
      </c>
    </row>
    <row r="106" spans="1:2" x14ac:dyDescent="0.25">
      <c r="A106" s="35">
        <v>3512600393</v>
      </c>
      <c r="B106">
        <v>1</v>
      </c>
    </row>
    <row r="107" spans="1:2" x14ac:dyDescent="0.25">
      <c r="A107" s="36">
        <v>2942537933</v>
      </c>
      <c r="B107">
        <v>1</v>
      </c>
    </row>
    <row r="108" spans="1:2" x14ac:dyDescent="0.25">
      <c r="A108" s="35">
        <v>1155927961</v>
      </c>
      <c r="B108">
        <v>1</v>
      </c>
    </row>
    <row r="109" spans="1:2" x14ac:dyDescent="0.25">
      <c r="A109" s="36">
        <v>2215376643</v>
      </c>
      <c r="B109">
        <v>1</v>
      </c>
    </row>
    <row r="110" spans="1:2" x14ac:dyDescent="0.25">
      <c r="A110" s="35">
        <v>2934463984</v>
      </c>
      <c r="B110">
        <v>1</v>
      </c>
    </row>
    <row r="111" spans="1:2" x14ac:dyDescent="0.25">
      <c r="A111" s="36">
        <v>3885174916</v>
      </c>
      <c r="B111">
        <v>1</v>
      </c>
    </row>
    <row r="112" spans="1:2" x14ac:dyDescent="0.25">
      <c r="A112" s="35">
        <v>2996264545</v>
      </c>
      <c r="B112">
        <v>1</v>
      </c>
    </row>
    <row r="113" spans="1:2" x14ac:dyDescent="0.25">
      <c r="A113" s="36">
        <v>2804867102</v>
      </c>
      <c r="B113">
        <v>1</v>
      </c>
    </row>
    <row r="114" spans="1:2" x14ac:dyDescent="0.25">
      <c r="A114" s="35">
        <v>1161326337</v>
      </c>
      <c r="B114">
        <v>1</v>
      </c>
    </row>
    <row r="115" spans="1:2" x14ac:dyDescent="0.25">
      <c r="A115" s="36">
        <v>1125737593</v>
      </c>
      <c r="B115">
        <v>1</v>
      </c>
    </row>
    <row r="116" spans="1:2" x14ac:dyDescent="0.25">
      <c r="A116" s="35">
        <v>1124787283</v>
      </c>
      <c r="B116">
        <v>1</v>
      </c>
    </row>
    <row r="117" spans="1:2" x14ac:dyDescent="0.25">
      <c r="A117" s="36">
        <v>2964498013</v>
      </c>
      <c r="B117">
        <v>1</v>
      </c>
    </row>
    <row r="118" spans="1:2" x14ac:dyDescent="0.25">
      <c r="A118" s="35">
        <v>3875051055</v>
      </c>
      <c r="B118">
        <v>1</v>
      </c>
    </row>
    <row r="119" spans="1:2" x14ac:dyDescent="0.25">
      <c r="A119" s="36">
        <v>1136351100</v>
      </c>
      <c r="B119">
        <v>1</v>
      </c>
    </row>
    <row r="120" spans="1:2" x14ac:dyDescent="0.25">
      <c r="A120" s="35">
        <v>3329676359</v>
      </c>
      <c r="B120">
        <v>1</v>
      </c>
    </row>
    <row r="121" spans="1:2" x14ac:dyDescent="0.25">
      <c r="A121" s="36">
        <v>3546449163</v>
      </c>
      <c r="B121">
        <v>1</v>
      </c>
    </row>
    <row r="122" spans="1:2" x14ac:dyDescent="0.25">
      <c r="A122" s="35">
        <v>1152213023</v>
      </c>
      <c r="B122">
        <v>1</v>
      </c>
    </row>
    <row r="123" spans="1:2" x14ac:dyDescent="0.25">
      <c r="A123" s="36">
        <v>1173634317</v>
      </c>
      <c r="B123">
        <v>1</v>
      </c>
    </row>
    <row r="124" spans="1:2" x14ac:dyDescent="0.25">
      <c r="A124" s="35">
        <v>3804259363</v>
      </c>
      <c r="B124">
        <v>1</v>
      </c>
    </row>
    <row r="125" spans="1:2" x14ac:dyDescent="0.25">
      <c r="A125" s="36">
        <v>2984405761</v>
      </c>
      <c r="B125">
        <v>1</v>
      </c>
    </row>
    <row r="126" spans="1:2" x14ac:dyDescent="0.25">
      <c r="A126" s="35">
        <v>1151021246</v>
      </c>
      <c r="B126">
        <v>1</v>
      </c>
    </row>
    <row r="127" spans="1:2" x14ac:dyDescent="0.25">
      <c r="A127" s="36">
        <v>3815249406</v>
      </c>
      <c r="B127">
        <v>1</v>
      </c>
    </row>
    <row r="128" spans="1:2" x14ac:dyDescent="0.25">
      <c r="A128" s="35">
        <v>1154828190</v>
      </c>
      <c r="B128">
        <v>1</v>
      </c>
    </row>
    <row r="129" spans="1:2" x14ac:dyDescent="0.25">
      <c r="A129" s="36">
        <v>1121680764</v>
      </c>
      <c r="B129">
        <v>1</v>
      </c>
    </row>
    <row r="130" spans="1:2" x14ac:dyDescent="0.25">
      <c r="A130" s="35">
        <v>1136714372</v>
      </c>
      <c r="B130">
        <v>1</v>
      </c>
    </row>
    <row r="131" spans="1:2" x14ac:dyDescent="0.25">
      <c r="A131" s="36">
        <v>2478518567</v>
      </c>
      <c r="B131">
        <v>1</v>
      </c>
    </row>
    <row r="132" spans="1:2" x14ac:dyDescent="0.25">
      <c r="A132" s="35">
        <v>3496414172</v>
      </c>
      <c r="B132">
        <v>1</v>
      </c>
    </row>
    <row r="133" spans="1:2" x14ac:dyDescent="0.25">
      <c r="A133" s="36">
        <v>2804401373</v>
      </c>
      <c r="B133">
        <v>1</v>
      </c>
    </row>
    <row r="134" spans="1:2" x14ac:dyDescent="0.25">
      <c r="A134" s="35">
        <v>1164217242</v>
      </c>
      <c r="B134">
        <v>1</v>
      </c>
    </row>
    <row r="135" spans="1:2" x14ac:dyDescent="0.25">
      <c r="A135" s="36">
        <v>1124611410</v>
      </c>
      <c r="B135">
        <v>1</v>
      </c>
    </row>
    <row r="136" spans="1:2" x14ac:dyDescent="0.25">
      <c r="A136" s="35">
        <v>1123463353</v>
      </c>
      <c r="B136">
        <v>1</v>
      </c>
    </row>
    <row r="137" spans="1:2" x14ac:dyDescent="0.25">
      <c r="A137" s="36">
        <v>3883130749</v>
      </c>
      <c r="B137">
        <v>1</v>
      </c>
    </row>
    <row r="138" spans="1:2" x14ac:dyDescent="0.25">
      <c r="A138" s="35">
        <v>3835539975</v>
      </c>
      <c r="B138">
        <v>1</v>
      </c>
    </row>
    <row r="139" spans="1:2" x14ac:dyDescent="0.25">
      <c r="A139" s="36">
        <v>3512821619</v>
      </c>
      <c r="B139">
        <v>1</v>
      </c>
    </row>
    <row r="140" spans="1:2" x14ac:dyDescent="0.25">
      <c r="A140" s="35">
        <v>2615754975</v>
      </c>
      <c r="B140">
        <v>1</v>
      </c>
    </row>
    <row r="141" spans="1:2" x14ac:dyDescent="0.25">
      <c r="A141" s="36">
        <v>2644250473</v>
      </c>
      <c r="B141">
        <v>1</v>
      </c>
    </row>
    <row r="142" spans="1:2" x14ac:dyDescent="0.25">
      <c r="A142" s="35">
        <v>2964534273</v>
      </c>
      <c r="B142">
        <v>1</v>
      </c>
    </row>
    <row r="143" spans="1:2" x14ac:dyDescent="0.25">
      <c r="A143" s="36">
        <v>3456578598</v>
      </c>
      <c r="B143">
        <v>1</v>
      </c>
    </row>
    <row r="144" spans="1:2" x14ac:dyDescent="0.25">
      <c r="A144" s="35">
        <v>3877401728</v>
      </c>
      <c r="B144">
        <v>1</v>
      </c>
    </row>
    <row r="145" spans="1:2" x14ac:dyDescent="0.25">
      <c r="A145" s="36">
        <v>292578973</v>
      </c>
      <c r="B145">
        <v>1</v>
      </c>
    </row>
    <row r="146" spans="1:2" x14ac:dyDescent="0.25">
      <c r="A146" s="35">
        <v>112241588</v>
      </c>
      <c r="B146">
        <v>1</v>
      </c>
    </row>
    <row r="147" spans="1:2" x14ac:dyDescent="0.25">
      <c r="A147" s="36">
        <v>1159379335</v>
      </c>
      <c r="B147">
        <v>1</v>
      </c>
    </row>
    <row r="148" spans="1:2" x14ac:dyDescent="0.25">
      <c r="A148" s="35">
        <v>3773406449</v>
      </c>
      <c r="B148">
        <v>1</v>
      </c>
    </row>
    <row r="149" spans="1:2" x14ac:dyDescent="0.25">
      <c r="A149" s="36">
        <v>2942572551</v>
      </c>
      <c r="B149">
        <v>1</v>
      </c>
    </row>
    <row r="150" spans="1:2" x14ac:dyDescent="0.25">
      <c r="A150" s="35">
        <v>1131845475</v>
      </c>
      <c r="B150">
        <v>1</v>
      </c>
    </row>
    <row r="151" spans="1:2" x14ac:dyDescent="0.25">
      <c r="A151" s="36">
        <v>3664633690</v>
      </c>
      <c r="B151">
        <v>1</v>
      </c>
    </row>
    <row r="152" spans="1:2" x14ac:dyDescent="0.25">
      <c r="A152" s="35">
        <v>1164398047</v>
      </c>
      <c r="B152">
        <v>1</v>
      </c>
    </row>
    <row r="153" spans="1:2" x14ac:dyDescent="0.25">
      <c r="A153" s="36">
        <v>3512123705</v>
      </c>
      <c r="B153">
        <v>1</v>
      </c>
    </row>
    <row r="154" spans="1:2" x14ac:dyDescent="0.25">
      <c r="A154" s="35">
        <v>1137027593</v>
      </c>
      <c r="B154">
        <v>1</v>
      </c>
    </row>
    <row r="155" spans="1:2" x14ac:dyDescent="0.25">
      <c r="A155" s="36">
        <v>1144022357</v>
      </c>
      <c r="B155">
        <v>1</v>
      </c>
    </row>
    <row r="156" spans="1:2" x14ac:dyDescent="0.25">
      <c r="A156" s="35">
        <v>2995172138</v>
      </c>
      <c r="B156">
        <v>1</v>
      </c>
    </row>
    <row r="157" spans="1:2" x14ac:dyDescent="0.25">
      <c r="A157" s="36">
        <v>3825531216</v>
      </c>
      <c r="B157">
        <v>1</v>
      </c>
    </row>
    <row r="158" spans="1:2" x14ac:dyDescent="0.25">
      <c r="A158" s="35">
        <v>2317464203</v>
      </c>
      <c r="B158">
        <v>1</v>
      </c>
    </row>
    <row r="159" spans="1:2" x14ac:dyDescent="0.25">
      <c r="A159" s="36">
        <v>1149869198</v>
      </c>
      <c r="B159">
        <v>1</v>
      </c>
    </row>
    <row r="160" spans="1:2" x14ac:dyDescent="0.25">
      <c r="A160" s="35">
        <v>3388458530</v>
      </c>
      <c r="B160">
        <v>1</v>
      </c>
    </row>
    <row r="161" spans="1:2" x14ac:dyDescent="0.25">
      <c r="A161" s="36">
        <v>1185081039</v>
      </c>
      <c r="B161">
        <v>1</v>
      </c>
    </row>
    <row r="162" spans="1:2" x14ac:dyDescent="0.25">
      <c r="A162" s="35">
        <v>1137604699</v>
      </c>
      <c r="B162">
        <v>1</v>
      </c>
    </row>
    <row r="163" spans="1:2" x14ac:dyDescent="0.25">
      <c r="A163" s="36">
        <v>1138761240</v>
      </c>
      <c r="B163">
        <v>1</v>
      </c>
    </row>
    <row r="164" spans="1:2" x14ac:dyDescent="0.25">
      <c r="A164" s="35">
        <v>1126792986</v>
      </c>
      <c r="B164">
        <v>1</v>
      </c>
    </row>
    <row r="165" spans="1:2" x14ac:dyDescent="0.25">
      <c r="A165" s="36">
        <v>2241416864</v>
      </c>
      <c r="B165">
        <v>1</v>
      </c>
    </row>
    <row r="166" spans="1:2" x14ac:dyDescent="0.25">
      <c r="A166" s="35">
        <v>3446375098</v>
      </c>
      <c r="B166">
        <v>1</v>
      </c>
    </row>
    <row r="167" spans="1:2" x14ac:dyDescent="0.25">
      <c r="A167" s="36">
        <v>2245516509</v>
      </c>
      <c r="B167">
        <v>1</v>
      </c>
    </row>
    <row r="168" spans="1:2" x14ac:dyDescent="0.25">
      <c r="A168" s="35">
        <v>116756526</v>
      </c>
      <c r="B168">
        <v>1</v>
      </c>
    </row>
    <row r="169" spans="1:2" x14ac:dyDescent="0.25">
      <c r="A169" s="36">
        <v>2995779100</v>
      </c>
      <c r="B169">
        <v>1</v>
      </c>
    </row>
    <row r="170" spans="1:2" x14ac:dyDescent="0.25">
      <c r="A170" s="35">
        <v>1158976676</v>
      </c>
      <c r="B170">
        <v>1</v>
      </c>
    </row>
    <row r="171" spans="1:2" x14ac:dyDescent="0.25">
      <c r="A171" s="36">
        <v>3442663564</v>
      </c>
      <c r="B171">
        <v>1</v>
      </c>
    </row>
    <row r="172" spans="1:2" x14ac:dyDescent="0.25">
      <c r="A172" s="35">
        <v>1151813566</v>
      </c>
      <c r="B172">
        <v>1</v>
      </c>
    </row>
    <row r="173" spans="1:2" x14ac:dyDescent="0.25">
      <c r="A173" s="36">
        <v>2984508106</v>
      </c>
      <c r="B173">
        <v>1</v>
      </c>
    </row>
    <row r="174" spans="1:2" x14ac:dyDescent="0.25">
      <c r="A174" s="35">
        <v>2932477185</v>
      </c>
      <c r="B174">
        <v>1</v>
      </c>
    </row>
    <row r="175" spans="1:2" x14ac:dyDescent="0.25">
      <c r="A175" s="36">
        <v>3815182216</v>
      </c>
      <c r="B175">
        <v>1</v>
      </c>
    </row>
    <row r="176" spans="1:2" x14ac:dyDescent="0.25">
      <c r="A176" s="35">
        <v>2995972432</v>
      </c>
      <c r="B176">
        <v>1</v>
      </c>
    </row>
    <row r="177" spans="1:2" x14ac:dyDescent="0.25">
      <c r="A177" s="36">
        <v>1124790959</v>
      </c>
      <c r="B177">
        <v>1</v>
      </c>
    </row>
    <row r="178" spans="1:2" x14ac:dyDescent="0.25">
      <c r="A178" s="35">
        <v>1121631291</v>
      </c>
      <c r="B178">
        <v>1</v>
      </c>
    </row>
    <row r="179" spans="1:2" x14ac:dyDescent="0.25">
      <c r="A179" s="36">
        <v>1127663304</v>
      </c>
      <c r="B179">
        <v>1</v>
      </c>
    </row>
    <row r="180" spans="1:2" x14ac:dyDescent="0.25">
      <c r="A180" s="35">
        <v>2644986168</v>
      </c>
      <c r="B180">
        <v>1</v>
      </c>
    </row>
    <row r="181" spans="1:2" x14ac:dyDescent="0.25">
      <c r="A181" s="36">
        <v>1169603185</v>
      </c>
      <c r="B181">
        <v>1</v>
      </c>
    </row>
    <row r="182" spans="1:2" x14ac:dyDescent="0.25">
      <c r="A182" s="35">
        <v>2324312069</v>
      </c>
      <c r="B182">
        <v>1</v>
      </c>
    </row>
    <row r="183" spans="1:2" x14ac:dyDescent="0.25">
      <c r="A183" s="36">
        <v>1171177278</v>
      </c>
      <c r="B183">
        <v>1</v>
      </c>
    </row>
    <row r="184" spans="1:2" x14ac:dyDescent="0.25">
      <c r="A184" s="35">
        <v>1133993987</v>
      </c>
      <c r="B184">
        <v>1</v>
      </c>
    </row>
    <row r="185" spans="1:2" x14ac:dyDescent="0.25">
      <c r="A185" s="36">
        <v>2996720278</v>
      </c>
      <c r="B185">
        <v>1</v>
      </c>
    </row>
    <row r="186" spans="1:2" x14ac:dyDescent="0.25">
      <c r="A186" s="35">
        <v>1132797338</v>
      </c>
      <c r="B186">
        <v>1</v>
      </c>
    </row>
    <row r="187" spans="1:2" x14ac:dyDescent="0.25">
      <c r="A187" s="36">
        <v>1164887220</v>
      </c>
      <c r="B187">
        <v>1</v>
      </c>
    </row>
    <row r="188" spans="1:2" x14ac:dyDescent="0.25">
      <c r="A188" s="35">
        <v>1162947104</v>
      </c>
      <c r="B188">
        <v>1</v>
      </c>
    </row>
    <row r="189" spans="1:2" x14ac:dyDescent="0.25">
      <c r="A189" s="36">
        <v>1126860690</v>
      </c>
      <c r="B189">
        <v>1</v>
      </c>
    </row>
    <row r="190" spans="1:2" x14ac:dyDescent="0.25">
      <c r="A190" s="35">
        <v>1162311873</v>
      </c>
      <c r="B190">
        <v>1</v>
      </c>
    </row>
    <row r="191" spans="1:2" x14ac:dyDescent="0.25">
      <c r="A191" s="36">
        <v>1159064635</v>
      </c>
      <c r="B191">
        <v>1</v>
      </c>
    </row>
    <row r="192" spans="1:2" x14ac:dyDescent="0.25">
      <c r="A192" s="35">
        <v>3424343078</v>
      </c>
      <c r="B192">
        <v>1</v>
      </c>
    </row>
    <row r="193" spans="1:2" x14ac:dyDescent="0.25">
      <c r="A193" s="36">
        <v>1127405918</v>
      </c>
      <c r="B193">
        <v>1</v>
      </c>
    </row>
    <row r="194" spans="1:2" x14ac:dyDescent="0.25">
      <c r="A194" s="35">
        <v>2644855728</v>
      </c>
      <c r="B194">
        <v>1</v>
      </c>
    </row>
    <row r="195" spans="1:2" x14ac:dyDescent="0.25">
      <c r="A195" s="36">
        <v>1126404225</v>
      </c>
      <c r="B195">
        <v>1</v>
      </c>
    </row>
    <row r="196" spans="1:2" x14ac:dyDescent="0.25">
      <c r="A196" s="35">
        <v>3834329734</v>
      </c>
      <c r="B196">
        <v>1</v>
      </c>
    </row>
    <row r="197" spans="1:2" x14ac:dyDescent="0.25">
      <c r="A197" s="36">
        <v>1137663243</v>
      </c>
      <c r="B197">
        <v>1</v>
      </c>
    </row>
    <row r="198" spans="1:2" x14ac:dyDescent="0.25">
      <c r="A198" s="35">
        <v>3624712952</v>
      </c>
      <c r="B198">
        <v>1</v>
      </c>
    </row>
    <row r="199" spans="1:2" x14ac:dyDescent="0.25">
      <c r="A199" s="36">
        <v>3549455924</v>
      </c>
      <c r="B199">
        <v>1</v>
      </c>
    </row>
    <row r="200" spans="1:2" x14ac:dyDescent="0.25">
      <c r="A200" s="35">
        <v>3813565794</v>
      </c>
      <c r="B200">
        <v>1</v>
      </c>
    </row>
    <row r="201" spans="1:2" x14ac:dyDescent="0.25">
      <c r="A201" s="36">
        <v>1127388106</v>
      </c>
      <c r="B201">
        <v>1</v>
      </c>
    </row>
    <row r="202" spans="1:2" x14ac:dyDescent="0.25">
      <c r="A202" s="35">
        <v>3874143640</v>
      </c>
      <c r="B202">
        <v>1</v>
      </c>
    </row>
    <row r="203" spans="1:2" x14ac:dyDescent="0.25">
      <c r="A203" s="36">
        <v>3526216566</v>
      </c>
      <c r="B203">
        <v>1</v>
      </c>
    </row>
    <row r="204" spans="1:2" x14ac:dyDescent="0.25">
      <c r="A204" s="35">
        <v>3856882048</v>
      </c>
      <c r="B204">
        <v>1</v>
      </c>
    </row>
    <row r="205" spans="1:2" x14ac:dyDescent="0.25">
      <c r="A205" s="36">
        <v>1161342839</v>
      </c>
      <c r="B205">
        <v>1</v>
      </c>
    </row>
    <row r="206" spans="1:2" x14ac:dyDescent="0.25">
      <c r="A206" s="35">
        <v>2664001361</v>
      </c>
      <c r="B206">
        <v>1</v>
      </c>
    </row>
    <row r="207" spans="1:2" x14ac:dyDescent="0.25">
      <c r="A207" s="36">
        <v>2645085492</v>
      </c>
      <c r="B207">
        <v>1</v>
      </c>
    </row>
    <row r="208" spans="1:2" x14ac:dyDescent="0.25">
      <c r="A208" s="35">
        <v>1122730223</v>
      </c>
      <c r="B208">
        <v>1</v>
      </c>
    </row>
    <row r="209" spans="1:2" x14ac:dyDescent="0.25">
      <c r="A209" s="36">
        <v>3364620056</v>
      </c>
      <c r="B209">
        <v>1</v>
      </c>
    </row>
    <row r="210" spans="1:2" x14ac:dyDescent="0.25">
      <c r="A210" s="35">
        <v>3885405946</v>
      </c>
      <c r="B210">
        <v>1</v>
      </c>
    </row>
    <row r="211" spans="1:2" x14ac:dyDescent="0.25">
      <c r="A211" s="36">
        <v>2994194178</v>
      </c>
      <c r="B211">
        <v>1</v>
      </c>
    </row>
    <row r="212" spans="1:2" x14ac:dyDescent="0.25">
      <c r="A212" s="35">
        <v>3624854650</v>
      </c>
      <c r="B212">
        <v>1</v>
      </c>
    </row>
    <row r="213" spans="1:2" x14ac:dyDescent="0.25">
      <c r="A213" s="36">
        <v>2975004775</v>
      </c>
      <c r="B213">
        <v>1</v>
      </c>
    </row>
    <row r="214" spans="1:2" x14ac:dyDescent="0.25">
      <c r="A214" s="35">
        <v>2995040752</v>
      </c>
      <c r="B214">
        <v>1</v>
      </c>
    </row>
    <row r="215" spans="1:2" x14ac:dyDescent="0.25">
      <c r="A215" s="36">
        <v>1151152703</v>
      </c>
      <c r="B215">
        <v>1</v>
      </c>
    </row>
    <row r="216" spans="1:2" x14ac:dyDescent="0.25">
      <c r="A216" s="35">
        <v>2994196907</v>
      </c>
      <c r="B216">
        <v>1</v>
      </c>
    </row>
    <row r="217" spans="1:2" x14ac:dyDescent="0.25">
      <c r="A217" s="36">
        <v>2966215397</v>
      </c>
      <c r="B217">
        <v>1</v>
      </c>
    </row>
    <row r="218" spans="1:2" x14ac:dyDescent="0.25">
      <c r="A218" s="35">
        <v>3624568210</v>
      </c>
      <c r="B218">
        <v>1</v>
      </c>
    </row>
    <row r="219" spans="1:2" x14ac:dyDescent="0.25">
      <c r="A219" s="36">
        <v>3863518926</v>
      </c>
      <c r="B219">
        <v>1</v>
      </c>
    </row>
    <row r="220" spans="1:2" x14ac:dyDescent="0.25">
      <c r="A220" s="35">
        <v>1122893620</v>
      </c>
      <c r="B220">
        <v>1</v>
      </c>
    </row>
    <row r="221" spans="1:2" x14ac:dyDescent="0.25">
      <c r="A221" s="36">
        <v>3815531558</v>
      </c>
      <c r="B221">
        <v>1</v>
      </c>
    </row>
    <row r="222" spans="1:2" x14ac:dyDescent="0.25">
      <c r="A222" s="35">
        <v>1159723737</v>
      </c>
      <c r="B222">
        <v>1</v>
      </c>
    </row>
    <row r="223" spans="1:2" x14ac:dyDescent="0.25">
      <c r="A223" s="36">
        <v>2102432396</v>
      </c>
      <c r="B223">
        <v>1</v>
      </c>
    </row>
    <row r="224" spans="1:2" x14ac:dyDescent="0.25">
      <c r="A224" s="35">
        <v>1141498738</v>
      </c>
      <c r="B224">
        <v>1</v>
      </c>
    </row>
    <row r="225" spans="1:2" x14ac:dyDescent="0.25">
      <c r="A225" s="36">
        <v>1159561329</v>
      </c>
      <c r="B225">
        <v>1</v>
      </c>
    </row>
    <row r="226" spans="1:2" x14ac:dyDescent="0.25">
      <c r="A226" s="35">
        <v>1169597528</v>
      </c>
      <c r="B226">
        <v>1</v>
      </c>
    </row>
    <row r="227" spans="1:2" x14ac:dyDescent="0.25">
      <c r="A227" s="36">
        <v>2494640966</v>
      </c>
      <c r="B227">
        <v>1</v>
      </c>
    </row>
    <row r="228" spans="1:2" x14ac:dyDescent="0.25">
      <c r="A228" s="35">
        <v>1536841607</v>
      </c>
      <c r="B228">
        <v>1</v>
      </c>
    </row>
    <row r="229" spans="1:2" x14ac:dyDescent="0.25">
      <c r="A229" s="36">
        <v>2915326147</v>
      </c>
      <c r="B229">
        <v>1</v>
      </c>
    </row>
    <row r="230" spans="1:2" x14ac:dyDescent="0.25">
      <c r="A230" s="35">
        <v>1150045183</v>
      </c>
      <c r="B230">
        <v>1</v>
      </c>
    </row>
    <row r="231" spans="1:2" x14ac:dyDescent="0.25">
      <c r="A231" s="36">
        <v>2645191477</v>
      </c>
      <c r="B231">
        <v>1</v>
      </c>
    </row>
    <row r="232" spans="1:2" x14ac:dyDescent="0.25">
      <c r="A232" s="35">
        <v>3814723556</v>
      </c>
      <c r="B232">
        <v>1</v>
      </c>
    </row>
    <row r="233" spans="1:2" x14ac:dyDescent="0.25">
      <c r="A233" s="36">
        <v>1131626810</v>
      </c>
      <c r="B233">
        <v>1</v>
      </c>
    </row>
    <row r="234" spans="1:2" x14ac:dyDescent="0.25">
      <c r="A234" s="35">
        <v>3804555408</v>
      </c>
      <c r="B234">
        <v>1</v>
      </c>
    </row>
    <row r="235" spans="1:2" x14ac:dyDescent="0.25">
      <c r="A235" s="36">
        <v>2616637270</v>
      </c>
      <c r="B235">
        <v>1</v>
      </c>
    </row>
    <row r="236" spans="1:2" x14ac:dyDescent="0.25">
      <c r="A236" s="35">
        <v>2323361089</v>
      </c>
      <c r="B236">
        <v>1</v>
      </c>
    </row>
    <row r="237" spans="1:2" x14ac:dyDescent="0.25">
      <c r="A237" s="36">
        <v>3874637530</v>
      </c>
      <c r="B237">
        <v>1</v>
      </c>
    </row>
    <row r="238" spans="1:2" x14ac:dyDescent="0.25">
      <c r="A238" s="35">
        <v>2976241593</v>
      </c>
      <c r="B238">
        <v>1</v>
      </c>
    </row>
    <row r="239" spans="1:2" x14ac:dyDescent="0.25">
      <c r="A239" s="36">
        <v>1165190111</v>
      </c>
      <c r="B239">
        <v>1</v>
      </c>
    </row>
    <row r="240" spans="1:2" x14ac:dyDescent="0.25">
      <c r="A240" s="35">
        <v>1180244955</v>
      </c>
      <c r="B240">
        <v>1</v>
      </c>
    </row>
    <row r="241" spans="1:2" x14ac:dyDescent="0.25">
      <c r="A241" s="36">
        <v>3826477522</v>
      </c>
      <c r="B241">
        <v>1</v>
      </c>
    </row>
    <row r="242" spans="1:2" x14ac:dyDescent="0.25">
      <c r="A242" s="35">
        <v>3757513222</v>
      </c>
      <c r="B242">
        <v>1</v>
      </c>
    </row>
    <row r="243" spans="1:2" x14ac:dyDescent="0.25">
      <c r="A243" s="36">
        <v>3813499007</v>
      </c>
      <c r="B243">
        <v>1</v>
      </c>
    </row>
    <row r="244" spans="1:2" x14ac:dyDescent="0.25">
      <c r="A244" s="35">
        <v>2644830342</v>
      </c>
      <c r="B244">
        <v>1</v>
      </c>
    </row>
    <row r="245" spans="1:2" x14ac:dyDescent="0.25">
      <c r="A245" s="36">
        <v>3875717099</v>
      </c>
      <c r="B245">
        <v>1</v>
      </c>
    </row>
    <row r="246" spans="1:2" x14ac:dyDescent="0.25">
      <c r="A246" s="35">
        <v>1125651934</v>
      </c>
      <c r="B246">
        <v>1</v>
      </c>
    </row>
    <row r="247" spans="1:2" x14ac:dyDescent="0.25">
      <c r="A247" s="36">
        <v>2604394027</v>
      </c>
      <c r="B247">
        <v>1</v>
      </c>
    </row>
    <row r="248" spans="1:2" x14ac:dyDescent="0.25">
      <c r="A248" s="35">
        <v>1133029985</v>
      </c>
      <c r="B248">
        <v>1</v>
      </c>
    </row>
    <row r="249" spans="1:2" x14ac:dyDescent="0.25">
      <c r="A249" s="36">
        <v>2804029362</v>
      </c>
      <c r="B249">
        <v>1</v>
      </c>
    </row>
    <row r="250" spans="1:2" x14ac:dyDescent="0.25">
      <c r="A250" s="35">
        <v>1139534668</v>
      </c>
      <c r="B250">
        <v>1</v>
      </c>
    </row>
    <row r="251" spans="1:2" x14ac:dyDescent="0.25">
      <c r="A251" s="36">
        <v>1158794444</v>
      </c>
      <c r="B251">
        <v>1</v>
      </c>
    </row>
    <row r="252" spans="1:2" x14ac:dyDescent="0.25">
      <c r="A252" s="35">
        <v>1141573814</v>
      </c>
      <c r="B252">
        <v>1</v>
      </c>
    </row>
    <row r="253" spans="1:2" x14ac:dyDescent="0.25">
      <c r="A253" s="36">
        <v>1156932753</v>
      </c>
      <c r="B253">
        <v>1</v>
      </c>
    </row>
    <row r="254" spans="1:2" x14ac:dyDescent="0.25">
      <c r="A254" s="35">
        <v>3874078035</v>
      </c>
      <c r="B254">
        <v>1</v>
      </c>
    </row>
    <row r="255" spans="1:2" x14ac:dyDescent="0.25">
      <c r="A255" s="36">
        <v>2984205833</v>
      </c>
      <c r="B255">
        <v>1</v>
      </c>
    </row>
    <row r="256" spans="1:2" x14ac:dyDescent="0.25">
      <c r="A256" s="35">
        <v>3816372195</v>
      </c>
      <c r="B256">
        <v>1</v>
      </c>
    </row>
    <row r="257" spans="1:2" x14ac:dyDescent="0.25">
      <c r="A257" s="36">
        <v>3758545966</v>
      </c>
      <c r="B257">
        <v>1</v>
      </c>
    </row>
    <row r="258" spans="1:2" x14ac:dyDescent="0.25">
      <c r="A258" s="35">
        <v>2995306581</v>
      </c>
      <c r="B258">
        <v>1</v>
      </c>
    </row>
    <row r="259" spans="1:2" x14ac:dyDescent="0.25">
      <c r="A259" s="36">
        <v>3516152765</v>
      </c>
      <c r="B259">
        <v>1</v>
      </c>
    </row>
    <row r="260" spans="1:2" x14ac:dyDescent="0.25">
      <c r="A260" s="35">
        <v>1124005928</v>
      </c>
      <c r="B260">
        <v>1</v>
      </c>
    </row>
    <row r="261" spans="1:2" x14ac:dyDescent="0.25">
      <c r="A261" s="36">
        <v>1159005436</v>
      </c>
      <c r="B261">
        <v>1</v>
      </c>
    </row>
    <row r="262" spans="1:2" x14ac:dyDescent="0.25">
      <c r="A262" s="35">
        <v>2942469989</v>
      </c>
      <c r="B262">
        <v>1</v>
      </c>
    </row>
    <row r="263" spans="1:2" x14ac:dyDescent="0.25">
      <c r="A263" s="36">
        <v>1124932161</v>
      </c>
      <c r="B263">
        <v>1</v>
      </c>
    </row>
    <row r="264" spans="1:2" x14ac:dyDescent="0.25">
      <c r="A264" s="35">
        <v>1140708653</v>
      </c>
      <c r="B264">
        <v>1</v>
      </c>
    </row>
    <row r="265" spans="1:2" x14ac:dyDescent="0.25">
      <c r="A265" s="36">
        <v>1167480767</v>
      </c>
      <c r="B265">
        <v>1</v>
      </c>
    </row>
    <row r="266" spans="1:2" x14ac:dyDescent="0.25">
      <c r="A266" s="35">
        <v>2995211318</v>
      </c>
      <c r="B266">
        <v>1</v>
      </c>
    </row>
    <row r="267" spans="1:2" x14ac:dyDescent="0.25">
      <c r="A267" s="36">
        <v>2994690161</v>
      </c>
      <c r="B267">
        <v>1</v>
      </c>
    </row>
    <row r="268" spans="1:2" x14ac:dyDescent="0.25">
      <c r="A268" s="35">
        <v>3886066568</v>
      </c>
      <c r="B268">
        <v>1</v>
      </c>
    </row>
    <row r="269" spans="1:2" x14ac:dyDescent="0.25">
      <c r="A269" s="36">
        <v>2994590182</v>
      </c>
      <c r="B269">
        <v>1</v>
      </c>
    </row>
    <row r="270" spans="1:2" x14ac:dyDescent="0.25">
      <c r="A270" s="35">
        <v>3834828448</v>
      </c>
      <c r="B270">
        <v>1</v>
      </c>
    </row>
    <row r="271" spans="1:2" x14ac:dyDescent="0.25">
      <c r="A271" s="36">
        <v>1125680229</v>
      </c>
      <c r="B271">
        <v>1</v>
      </c>
    </row>
    <row r="272" spans="1:2" x14ac:dyDescent="0.25">
      <c r="A272" s="35">
        <v>3812071084</v>
      </c>
      <c r="B272">
        <v>1</v>
      </c>
    </row>
    <row r="273" spans="1:2" x14ac:dyDescent="0.25">
      <c r="A273" s="36">
        <v>2657202537</v>
      </c>
      <c r="B273">
        <v>1</v>
      </c>
    </row>
    <row r="274" spans="1:2" x14ac:dyDescent="0.25">
      <c r="A274" s="35">
        <v>1149283306</v>
      </c>
      <c r="B274">
        <v>1</v>
      </c>
    </row>
    <row r="275" spans="1:2" x14ac:dyDescent="0.25">
      <c r="A275" s="36">
        <v>1123015981</v>
      </c>
      <c r="B275">
        <v>1</v>
      </c>
    </row>
    <row r="276" spans="1:2" x14ac:dyDescent="0.25">
      <c r="A276" s="35">
        <v>3834243111</v>
      </c>
      <c r="B276">
        <v>1</v>
      </c>
    </row>
    <row r="277" spans="1:2" x14ac:dyDescent="0.25">
      <c r="A277" s="36">
        <v>3874128167</v>
      </c>
      <c r="B277">
        <v>1</v>
      </c>
    </row>
    <row r="278" spans="1:2" x14ac:dyDescent="0.25">
      <c r="A278" s="35">
        <v>3804566440</v>
      </c>
      <c r="B278">
        <v>1</v>
      </c>
    </row>
    <row r="279" spans="1:2" x14ac:dyDescent="0.25">
      <c r="A279" s="36">
        <v>1127198490</v>
      </c>
      <c r="B279">
        <v>1</v>
      </c>
    </row>
    <row r="280" spans="1:2" x14ac:dyDescent="0.25">
      <c r="A280" s="35">
        <v>1123160078</v>
      </c>
      <c r="B280">
        <v>1</v>
      </c>
    </row>
    <row r="281" spans="1:2" x14ac:dyDescent="0.25">
      <c r="A281" s="36">
        <v>3487685127</v>
      </c>
      <c r="B281">
        <v>1</v>
      </c>
    </row>
    <row r="282" spans="1:2" x14ac:dyDescent="0.25">
      <c r="A282" s="35">
        <v>2944967125</v>
      </c>
      <c r="B282">
        <v>1</v>
      </c>
    </row>
    <row r="283" spans="1:2" x14ac:dyDescent="0.25">
      <c r="A283" s="36">
        <v>1157604312</v>
      </c>
      <c r="B283">
        <v>1</v>
      </c>
    </row>
    <row r="284" spans="1:2" x14ac:dyDescent="0.25">
      <c r="A284" s="35">
        <v>2665014189</v>
      </c>
      <c r="B284">
        <v>1</v>
      </c>
    </row>
    <row r="285" spans="1:2" x14ac:dyDescent="0.25">
      <c r="A285" s="36">
        <v>3764151152</v>
      </c>
      <c r="B285">
        <v>1</v>
      </c>
    </row>
    <row r="286" spans="1:2" x14ac:dyDescent="0.25">
      <c r="A286" s="35">
        <v>3765381411</v>
      </c>
      <c r="B286">
        <v>1</v>
      </c>
    </row>
    <row r="287" spans="1:2" x14ac:dyDescent="0.25">
      <c r="A287" s="36">
        <v>3465663722</v>
      </c>
      <c r="B287">
        <v>1</v>
      </c>
    </row>
    <row r="288" spans="1:2" x14ac:dyDescent="0.25">
      <c r="A288" s="35">
        <v>3835446305</v>
      </c>
      <c r="B288">
        <v>1</v>
      </c>
    </row>
    <row r="289" spans="1:2" x14ac:dyDescent="0.25">
      <c r="A289" s="36">
        <v>38798754665</v>
      </c>
      <c r="B289">
        <v>1</v>
      </c>
    </row>
    <row r="290" spans="1:2" x14ac:dyDescent="0.25">
      <c r="A290" s="35">
        <v>1140790095</v>
      </c>
      <c r="B290">
        <v>1</v>
      </c>
    </row>
    <row r="291" spans="1:2" x14ac:dyDescent="0.25">
      <c r="A291" s="36">
        <v>2964354221</v>
      </c>
      <c r="B291">
        <v>1</v>
      </c>
    </row>
    <row r="292" spans="1:2" x14ac:dyDescent="0.25">
      <c r="A292" s="35">
        <v>3435084754</v>
      </c>
      <c r="B292">
        <v>1</v>
      </c>
    </row>
    <row r="293" spans="1:2" x14ac:dyDescent="0.25">
      <c r="A293" s="36">
        <v>3878351576</v>
      </c>
      <c r="B293">
        <v>1</v>
      </c>
    </row>
    <row r="294" spans="1:2" x14ac:dyDescent="0.25">
      <c r="A294" s="35">
        <v>3834282580</v>
      </c>
      <c r="B294">
        <v>1</v>
      </c>
    </row>
    <row r="295" spans="1:2" x14ac:dyDescent="0.25">
      <c r="A295" s="36">
        <v>1164973445</v>
      </c>
      <c r="B295">
        <v>1</v>
      </c>
    </row>
    <row r="296" spans="1:2" x14ac:dyDescent="0.25">
      <c r="A296" s="35">
        <v>3812080879</v>
      </c>
      <c r="B296">
        <v>1</v>
      </c>
    </row>
    <row r="297" spans="1:2" x14ac:dyDescent="0.25">
      <c r="A297" s="36">
        <v>2984746235</v>
      </c>
      <c r="B297">
        <v>1</v>
      </c>
    </row>
    <row r="298" spans="1:2" x14ac:dyDescent="0.25">
      <c r="A298" s="35">
        <v>3812072702</v>
      </c>
      <c r="B298">
        <v>1</v>
      </c>
    </row>
    <row r="299" spans="1:2" x14ac:dyDescent="0.25">
      <c r="A299" s="36">
        <v>2984554827</v>
      </c>
      <c r="B299">
        <v>1</v>
      </c>
    </row>
    <row r="300" spans="1:2" x14ac:dyDescent="0.25">
      <c r="A300" s="35">
        <v>1169111605</v>
      </c>
      <c r="B300">
        <v>1</v>
      </c>
    </row>
    <row r="301" spans="1:2" x14ac:dyDescent="0.25">
      <c r="A301" s="36">
        <v>1158539772</v>
      </c>
      <c r="B301">
        <v>1</v>
      </c>
    </row>
    <row r="302" spans="1:2" x14ac:dyDescent="0.25">
      <c r="A302" s="35">
        <v>1150378440</v>
      </c>
      <c r="B302">
        <v>1</v>
      </c>
    </row>
    <row r="303" spans="1:2" x14ac:dyDescent="0.25">
      <c r="A303" s="36">
        <v>2996046390</v>
      </c>
      <c r="B303">
        <v>1</v>
      </c>
    </row>
    <row r="304" spans="1:2" x14ac:dyDescent="0.25">
      <c r="A304" s="35">
        <v>1150139809</v>
      </c>
      <c r="B304">
        <v>1</v>
      </c>
    </row>
    <row r="305" spans="1:2" x14ac:dyDescent="0.25">
      <c r="A305" s="36">
        <v>1134138167</v>
      </c>
      <c r="B305">
        <v>1</v>
      </c>
    </row>
    <row r="306" spans="1:2" x14ac:dyDescent="0.25">
      <c r="A306" s="35">
        <v>1168134564</v>
      </c>
      <c r="B306">
        <v>1</v>
      </c>
    </row>
    <row r="307" spans="1:2" x14ac:dyDescent="0.25">
      <c r="A307" s="36">
        <v>1158257665</v>
      </c>
      <c r="B307">
        <v>1</v>
      </c>
    </row>
    <row r="308" spans="1:2" x14ac:dyDescent="0.25">
      <c r="A308" s="35">
        <v>2645278676</v>
      </c>
      <c r="B308">
        <v>1</v>
      </c>
    </row>
    <row r="309" spans="1:2" x14ac:dyDescent="0.25">
      <c r="A309" s="36">
        <v>2214094632</v>
      </c>
      <c r="B309">
        <v>1</v>
      </c>
    </row>
    <row r="310" spans="1:2" x14ac:dyDescent="0.25">
      <c r="A310" s="35">
        <v>3874564497</v>
      </c>
      <c r="B310">
        <v>1</v>
      </c>
    </row>
    <row r="311" spans="1:2" x14ac:dyDescent="0.25">
      <c r="A311" s="36">
        <v>2984318539</v>
      </c>
      <c r="B311">
        <v>1</v>
      </c>
    </row>
    <row r="312" spans="1:2" x14ac:dyDescent="0.25">
      <c r="A312" s="35">
        <v>3487308116</v>
      </c>
      <c r="B312">
        <v>1</v>
      </c>
    </row>
    <row r="313" spans="1:2" x14ac:dyDescent="0.25">
      <c r="A313" s="36">
        <v>2254415473</v>
      </c>
      <c r="B313">
        <v>1</v>
      </c>
    </row>
    <row r="314" spans="1:2" x14ac:dyDescent="0.25">
      <c r="A314" s="35">
        <v>38754879965</v>
      </c>
      <c r="B314">
        <v>1</v>
      </c>
    </row>
    <row r="315" spans="1:2" x14ac:dyDescent="0.25">
      <c r="A315" s="36">
        <v>3482714333</v>
      </c>
      <c r="B315">
        <v>1</v>
      </c>
    </row>
    <row r="316" spans="1:2" x14ac:dyDescent="0.25">
      <c r="A316" s="35">
        <v>1121621003</v>
      </c>
      <c r="B316">
        <v>1</v>
      </c>
    </row>
    <row r="317" spans="1:2" x14ac:dyDescent="0.25">
      <c r="A317" s="36">
        <v>2302544620</v>
      </c>
      <c r="B317">
        <v>1</v>
      </c>
    </row>
    <row r="318" spans="1:2" x14ac:dyDescent="0.25">
      <c r="A318" s="35">
        <v>1122382241</v>
      </c>
      <c r="B318">
        <v>1</v>
      </c>
    </row>
    <row r="319" spans="1:2" x14ac:dyDescent="0.25">
      <c r="A319" s="36">
        <v>3877543949</v>
      </c>
      <c r="B319">
        <v>1</v>
      </c>
    </row>
    <row r="320" spans="1:2" x14ac:dyDescent="0.25">
      <c r="A320" s="35">
        <v>1130221313</v>
      </c>
      <c r="B320">
        <v>1</v>
      </c>
    </row>
    <row r="321" spans="1:2" x14ac:dyDescent="0.25">
      <c r="A321" s="36">
        <v>3855981674</v>
      </c>
      <c r="B321">
        <v>1</v>
      </c>
    </row>
    <row r="322" spans="1:2" x14ac:dyDescent="0.25">
      <c r="A322" s="35">
        <v>2614727670</v>
      </c>
      <c r="B322">
        <v>1</v>
      </c>
    </row>
    <row r="323" spans="1:2" x14ac:dyDescent="0.25">
      <c r="A323" s="36">
        <v>1151828218</v>
      </c>
      <c r="B323">
        <v>1</v>
      </c>
    </row>
    <row r="324" spans="1:2" x14ac:dyDescent="0.25">
      <c r="A324" s="35">
        <v>1155922159</v>
      </c>
      <c r="B324">
        <v>1</v>
      </c>
    </row>
    <row r="325" spans="1:2" x14ac:dyDescent="0.25">
      <c r="A325" s="36">
        <v>2920447431</v>
      </c>
      <c r="B325">
        <v>1</v>
      </c>
    </row>
    <row r="326" spans="1:2" x14ac:dyDescent="0.25">
      <c r="A326" s="35">
        <v>34544577113</v>
      </c>
      <c r="B326">
        <v>1</v>
      </c>
    </row>
    <row r="327" spans="1:2" x14ac:dyDescent="0.25">
      <c r="A327" s="36">
        <v>3442501601</v>
      </c>
      <c r="B327">
        <v>1</v>
      </c>
    </row>
    <row r="328" spans="1:2" x14ac:dyDescent="0.25">
      <c r="A328" s="35">
        <v>2954664952</v>
      </c>
      <c r="B328">
        <v>1</v>
      </c>
    </row>
    <row r="329" spans="1:2" x14ac:dyDescent="0.25">
      <c r="A329" s="36">
        <v>3513222715</v>
      </c>
      <c r="B329">
        <v>1</v>
      </c>
    </row>
    <row r="330" spans="1:2" x14ac:dyDescent="0.25">
      <c r="A330" s="35">
        <v>3775503381</v>
      </c>
      <c r="B330">
        <v>1</v>
      </c>
    </row>
    <row r="331" spans="1:2" x14ac:dyDescent="0.25">
      <c r="A331" s="36">
        <v>3741462129</v>
      </c>
      <c r="B331">
        <v>1</v>
      </c>
    </row>
    <row r="332" spans="1:2" x14ac:dyDescent="0.25">
      <c r="A332" s="35">
        <v>1127867530</v>
      </c>
      <c r="B332">
        <v>1</v>
      </c>
    </row>
    <row r="333" spans="1:2" x14ac:dyDescent="0.25">
      <c r="A333" s="36">
        <v>3512581185</v>
      </c>
      <c r="B333">
        <v>1</v>
      </c>
    </row>
    <row r="334" spans="1:2" x14ac:dyDescent="0.25">
      <c r="A334" s="35">
        <v>3492695614</v>
      </c>
      <c r="B334">
        <v>1</v>
      </c>
    </row>
    <row r="335" spans="1:2" x14ac:dyDescent="0.25">
      <c r="A335" s="36">
        <v>1131647021</v>
      </c>
      <c r="B335">
        <v>1</v>
      </c>
    </row>
    <row r="336" spans="1:2" x14ac:dyDescent="0.25">
      <c r="A336" s="35">
        <v>3454103942</v>
      </c>
      <c r="B336">
        <v>1</v>
      </c>
    </row>
    <row r="337" spans="1:2" x14ac:dyDescent="0.25">
      <c r="A337" s="36">
        <v>3834758526</v>
      </c>
      <c r="B337">
        <v>1</v>
      </c>
    </row>
    <row r="338" spans="1:2" x14ac:dyDescent="0.25">
      <c r="A338" s="35">
        <v>1123550525</v>
      </c>
      <c r="B338">
        <v>1</v>
      </c>
    </row>
    <row r="339" spans="1:2" x14ac:dyDescent="0.25">
      <c r="A339" s="36">
        <v>1154880567</v>
      </c>
      <c r="B339">
        <v>1</v>
      </c>
    </row>
    <row r="340" spans="1:2" x14ac:dyDescent="0.25">
      <c r="A340" s="35">
        <v>1158790512</v>
      </c>
      <c r="B340">
        <v>1</v>
      </c>
    </row>
    <row r="341" spans="1:2" x14ac:dyDescent="0.25">
      <c r="A341" s="36">
        <v>3412530101</v>
      </c>
      <c r="B341">
        <v>1</v>
      </c>
    </row>
    <row r="342" spans="1:2" x14ac:dyDescent="0.25">
      <c r="A342" s="35">
        <v>2236206341</v>
      </c>
      <c r="B342">
        <v>1</v>
      </c>
    </row>
    <row r="343" spans="1:2" x14ac:dyDescent="0.25">
      <c r="A343" s="36">
        <v>3424773245</v>
      </c>
      <c r="B343">
        <v>1</v>
      </c>
    </row>
    <row r="344" spans="1:2" x14ac:dyDescent="0.25">
      <c r="A344" s="35">
        <v>2235068612</v>
      </c>
      <c r="B344">
        <v>1</v>
      </c>
    </row>
    <row r="345" spans="1:2" x14ac:dyDescent="0.25">
      <c r="A345" s="36">
        <v>3482418268</v>
      </c>
      <c r="B345">
        <v>1</v>
      </c>
    </row>
    <row r="346" spans="1:2" x14ac:dyDescent="0.25">
      <c r="A346" s="35">
        <v>1162737729</v>
      </c>
      <c r="B346">
        <v>1</v>
      </c>
    </row>
    <row r="347" spans="1:2" x14ac:dyDescent="0.25">
      <c r="A347" s="36">
        <v>3855868485</v>
      </c>
      <c r="B347">
        <v>1</v>
      </c>
    </row>
    <row r="348" spans="1:2" x14ac:dyDescent="0.25">
      <c r="A348" s="35">
        <v>2613067914</v>
      </c>
      <c r="B348">
        <v>1</v>
      </c>
    </row>
    <row r="349" spans="1:2" x14ac:dyDescent="0.25">
      <c r="A349" s="36">
        <v>2645601386</v>
      </c>
      <c r="B349">
        <v>1</v>
      </c>
    </row>
    <row r="350" spans="1:2" x14ac:dyDescent="0.25">
      <c r="A350" s="35">
        <v>1175281017</v>
      </c>
      <c r="B350">
        <v>1</v>
      </c>
    </row>
    <row r="351" spans="1:2" x14ac:dyDescent="0.25">
      <c r="A351" s="36">
        <v>3734447908</v>
      </c>
      <c r="B351">
        <v>1</v>
      </c>
    </row>
    <row r="352" spans="1:2" x14ac:dyDescent="0.25">
      <c r="A352" s="35">
        <v>1144372544</v>
      </c>
      <c r="B352">
        <v>1</v>
      </c>
    </row>
    <row r="353" spans="1:2" x14ac:dyDescent="0.25">
      <c r="A353" s="36">
        <v>1123970452</v>
      </c>
      <c r="B353">
        <v>1</v>
      </c>
    </row>
    <row r="354" spans="1:2" x14ac:dyDescent="0.25">
      <c r="A354" s="35">
        <v>34642820864</v>
      </c>
      <c r="B354">
        <v>1</v>
      </c>
    </row>
    <row r="355" spans="1:2" x14ac:dyDescent="0.25">
      <c r="A355" s="36">
        <v>1135255532</v>
      </c>
      <c r="B355">
        <v>1</v>
      </c>
    </row>
    <row r="356" spans="1:2" x14ac:dyDescent="0.25">
      <c r="A356" s="35">
        <v>1126598016</v>
      </c>
      <c r="B356">
        <v>1</v>
      </c>
    </row>
    <row r="357" spans="1:2" x14ac:dyDescent="0.25">
      <c r="A357" s="36">
        <v>3454191359</v>
      </c>
      <c r="B357">
        <v>1</v>
      </c>
    </row>
    <row r="358" spans="1:2" x14ac:dyDescent="0.25">
      <c r="A358" s="35">
        <v>2964620077</v>
      </c>
      <c r="B358">
        <v>1</v>
      </c>
    </row>
    <row r="359" spans="1:2" x14ac:dyDescent="0.25">
      <c r="A359" s="36">
        <v>3872191820</v>
      </c>
      <c r="B359">
        <v>1</v>
      </c>
    </row>
    <row r="360" spans="1:2" x14ac:dyDescent="0.25">
      <c r="A360" s="35">
        <v>3489681554</v>
      </c>
      <c r="B360">
        <v>1</v>
      </c>
    </row>
    <row r="361" spans="1:2" x14ac:dyDescent="0.25">
      <c r="A361" s="36">
        <v>3885901598</v>
      </c>
      <c r="B361">
        <v>1</v>
      </c>
    </row>
    <row r="362" spans="1:2" x14ac:dyDescent="0.25">
      <c r="A362" s="35">
        <v>3877476254</v>
      </c>
      <c r="B362">
        <v>1</v>
      </c>
    </row>
    <row r="363" spans="1:2" x14ac:dyDescent="0.25">
      <c r="A363" s="36">
        <v>2215039019</v>
      </c>
      <c r="B363">
        <v>1</v>
      </c>
    </row>
    <row r="364" spans="1:2" x14ac:dyDescent="0.25">
      <c r="A364" s="35">
        <v>3875023774</v>
      </c>
      <c r="B364">
        <v>1</v>
      </c>
    </row>
    <row r="365" spans="1:2" x14ac:dyDescent="0.25">
      <c r="A365" s="36">
        <v>3442515595</v>
      </c>
      <c r="B365">
        <v>1</v>
      </c>
    </row>
    <row r="366" spans="1:2" x14ac:dyDescent="0.25">
      <c r="A366" s="35">
        <v>29961333334</v>
      </c>
      <c r="B366">
        <v>1</v>
      </c>
    </row>
    <row r="367" spans="1:2" x14ac:dyDescent="0.25">
      <c r="A367" s="36">
        <v>1158850225</v>
      </c>
      <c r="B367">
        <v>1</v>
      </c>
    </row>
    <row r="368" spans="1:2" x14ac:dyDescent="0.25">
      <c r="A368" s="35">
        <v>2494584599</v>
      </c>
      <c r="B368">
        <v>1</v>
      </c>
    </row>
    <row r="369" spans="1:2" x14ac:dyDescent="0.25">
      <c r="A369" s="36">
        <v>2942640248</v>
      </c>
      <c r="B369">
        <v>1</v>
      </c>
    </row>
    <row r="370" spans="1:2" x14ac:dyDescent="0.25">
      <c r="A370" s="35">
        <v>1171708442</v>
      </c>
      <c r="B370">
        <v>1</v>
      </c>
    </row>
    <row r="371" spans="1:2" x14ac:dyDescent="0.25">
      <c r="A371" s="36">
        <v>2645532597</v>
      </c>
      <c r="B371">
        <v>1</v>
      </c>
    </row>
    <row r="372" spans="1:2" x14ac:dyDescent="0.25">
      <c r="A372" s="35">
        <v>2395462605</v>
      </c>
      <c r="B372">
        <v>1</v>
      </c>
    </row>
    <row r="373" spans="1:2" x14ac:dyDescent="0.25">
      <c r="A373" s="36">
        <v>1130686115</v>
      </c>
      <c r="B373">
        <v>1</v>
      </c>
    </row>
    <row r="374" spans="1:2" x14ac:dyDescent="0.25">
      <c r="A374" s="35">
        <v>2942565808</v>
      </c>
      <c r="B374">
        <v>1</v>
      </c>
    </row>
    <row r="375" spans="1:2" x14ac:dyDescent="0.25">
      <c r="A375" s="36">
        <v>2613669973</v>
      </c>
      <c r="B375">
        <v>1</v>
      </c>
    </row>
    <row r="376" spans="1:2" x14ac:dyDescent="0.25">
      <c r="A376" s="35">
        <v>2324543391</v>
      </c>
      <c r="B376">
        <v>1</v>
      </c>
    </row>
    <row r="377" spans="1:2" x14ac:dyDescent="0.25">
      <c r="A377" s="36">
        <v>3877582854</v>
      </c>
      <c r="B377">
        <v>1</v>
      </c>
    </row>
    <row r="378" spans="1:2" x14ac:dyDescent="0.25">
      <c r="A378" s="35">
        <v>1157616719</v>
      </c>
      <c r="B378">
        <v>1</v>
      </c>
    </row>
    <row r="379" spans="1:2" x14ac:dyDescent="0.25">
      <c r="A379" s="36">
        <v>3856194591</v>
      </c>
      <c r="B379">
        <v>1</v>
      </c>
    </row>
    <row r="380" spans="1:2" x14ac:dyDescent="0.25">
      <c r="A380" s="35">
        <v>2615389878</v>
      </c>
      <c r="B380">
        <v>1</v>
      </c>
    </row>
    <row r="381" spans="1:2" x14ac:dyDescent="0.25">
      <c r="A381" s="36">
        <v>3764837323</v>
      </c>
      <c r="B381">
        <v>1</v>
      </c>
    </row>
    <row r="382" spans="1:2" x14ac:dyDescent="0.25">
      <c r="A382" s="35">
        <v>1137863120</v>
      </c>
      <c r="B382">
        <v>1</v>
      </c>
    </row>
    <row r="383" spans="1:2" x14ac:dyDescent="0.25">
      <c r="A383" s="36">
        <v>2645892969</v>
      </c>
      <c r="B383">
        <v>1</v>
      </c>
    </row>
    <row r="384" spans="1:2" x14ac:dyDescent="0.25">
      <c r="A384" s="35">
        <v>1138874648</v>
      </c>
      <c r="B384">
        <v>1</v>
      </c>
    </row>
    <row r="385" spans="1:2" x14ac:dyDescent="0.25">
      <c r="A385" s="36">
        <v>64344312</v>
      </c>
      <c r="B385">
        <v>1</v>
      </c>
    </row>
    <row r="386" spans="1:2" x14ac:dyDescent="0.25">
      <c r="A386" s="35">
        <v>2994123468</v>
      </c>
      <c r="B386">
        <v>1</v>
      </c>
    </row>
    <row r="387" spans="1:2" x14ac:dyDescent="0.25">
      <c r="A387" s="36">
        <v>1130930802</v>
      </c>
      <c r="B387">
        <v>1</v>
      </c>
    </row>
    <row r="388" spans="1:2" x14ac:dyDescent="0.25">
      <c r="A388" s="35">
        <v>34663131094</v>
      </c>
      <c r="B388">
        <v>1</v>
      </c>
    </row>
    <row r="389" spans="1:2" x14ac:dyDescent="0.25">
      <c r="A389" s="36">
        <v>3548418672</v>
      </c>
      <c r="B389">
        <v>1</v>
      </c>
    </row>
    <row r="390" spans="1:2" x14ac:dyDescent="0.25">
      <c r="A390" s="35">
        <v>3814176694</v>
      </c>
      <c r="B390">
        <v>1</v>
      </c>
    </row>
    <row r="391" spans="1:2" x14ac:dyDescent="0.25">
      <c r="A391" s="36">
        <v>2615675855</v>
      </c>
      <c r="B391">
        <v>1</v>
      </c>
    </row>
    <row r="392" spans="1:2" x14ac:dyDescent="0.25">
      <c r="A392" s="35">
        <v>1153297423</v>
      </c>
      <c r="B392">
        <v>1</v>
      </c>
    </row>
    <row r="393" spans="1:2" x14ac:dyDescent="0.25">
      <c r="A393" s="36">
        <v>2314536657</v>
      </c>
      <c r="B393">
        <v>1</v>
      </c>
    </row>
    <row r="394" spans="1:2" x14ac:dyDescent="0.25">
      <c r="A394" s="35">
        <v>2273410541</v>
      </c>
      <c r="B394">
        <v>1</v>
      </c>
    </row>
    <row r="395" spans="1:2" x14ac:dyDescent="0.25">
      <c r="A395" s="36">
        <v>3875128274</v>
      </c>
      <c r="B395">
        <v>1</v>
      </c>
    </row>
    <row r="396" spans="1:2" x14ac:dyDescent="0.25">
      <c r="A396" s="35">
        <v>1151394081</v>
      </c>
      <c r="B396">
        <v>1</v>
      </c>
    </row>
    <row r="397" spans="1:2" x14ac:dyDescent="0.25">
      <c r="A397" s="36">
        <v>1128831661</v>
      </c>
      <c r="B397">
        <v>1</v>
      </c>
    </row>
    <row r="398" spans="1:2" x14ac:dyDescent="0.25">
      <c r="A398" s="35">
        <v>3404652897</v>
      </c>
      <c r="B398">
        <v>1</v>
      </c>
    </row>
    <row r="399" spans="1:2" x14ac:dyDescent="0.25">
      <c r="A399" s="36">
        <v>1125245582</v>
      </c>
      <c r="B399">
        <v>1</v>
      </c>
    </row>
    <row r="400" spans="1:2" x14ac:dyDescent="0.25">
      <c r="A400" s="35">
        <v>3406649926</v>
      </c>
      <c r="B400">
        <v>1</v>
      </c>
    </row>
    <row r="401" spans="1:2" x14ac:dyDescent="0.25">
      <c r="A401" s="36">
        <v>3518021641</v>
      </c>
      <c r="B401">
        <v>1</v>
      </c>
    </row>
    <row r="402" spans="1:2" x14ac:dyDescent="0.25">
      <c r="A402" s="35">
        <v>1155741058</v>
      </c>
      <c r="B402">
        <v>1</v>
      </c>
    </row>
    <row r="403" spans="1:2" x14ac:dyDescent="0.25">
      <c r="A403" s="36">
        <v>2996004768</v>
      </c>
      <c r="B403">
        <v>1</v>
      </c>
    </row>
    <row r="404" spans="1:2" x14ac:dyDescent="0.25">
      <c r="A404" s="35">
        <v>3758403190</v>
      </c>
      <c r="B404">
        <v>1</v>
      </c>
    </row>
    <row r="405" spans="1:2" x14ac:dyDescent="0.25">
      <c r="A405" s="36">
        <v>3875337296</v>
      </c>
      <c r="B405">
        <v>1</v>
      </c>
    </row>
    <row r="406" spans="1:2" x14ac:dyDescent="0.25">
      <c r="A406" s="35">
        <v>3878349619</v>
      </c>
      <c r="B406">
        <v>1</v>
      </c>
    </row>
    <row r="407" spans="1:2" x14ac:dyDescent="0.25">
      <c r="A407" s="36">
        <v>116548517</v>
      </c>
      <c r="B407">
        <v>1</v>
      </c>
    </row>
    <row r="408" spans="1:2" x14ac:dyDescent="0.25">
      <c r="A408" s="35">
        <v>1150194008</v>
      </c>
      <c r="B408">
        <v>1</v>
      </c>
    </row>
    <row r="409" spans="1:2" x14ac:dyDescent="0.25">
      <c r="A409" s="36">
        <v>1136094525</v>
      </c>
      <c r="B409">
        <v>1</v>
      </c>
    </row>
    <row r="410" spans="1:2" x14ac:dyDescent="0.25">
      <c r="A410" s="35">
        <v>3764146459</v>
      </c>
      <c r="B410">
        <v>1</v>
      </c>
    </row>
    <row r="411" spans="1:2" x14ac:dyDescent="0.25">
      <c r="A411" s="36">
        <v>1132812401</v>
      </c>
      <c r="B411">
        <v>1</v>
      </c>
    </row>
    <row r="412" spans="1:2" x14ac:dyDescent="0.25">
      <c r="A412" s="35">
        <v>3876374838</v>
      </c>
      <c r="B412">
        <v>1</v>
      </c>
    </row>
    <row r="413" spans="1:2" x14ac:dyDescent="0.25">
      <c r="A413" s="36">
        <v>1161159350</v>
      </c>
      <c r="B413">
        <v>1</v>
      </c>
    </row>
    <row r="414" spans="1:2" x14ac:dyDescent="0.25">
      <c r="A414" s="35">
        <v>3782552162</v>
      </c>
      <c r="B414">
        <v>1</v>
      </c>
    </row>
    <row r="415" spans="1:2" x14ac:dyDescent="0.25">
      <c r="A415" s="36">
        <v>1166377436</v>
      </c>
      <c r="B415">
        <v>1</v>
      </c>
    </row>
    <row r="416" spans="1:2" x14ac:dyDescent="0.25">
      <c r="A416" s="35">
        <v>1151553975</v>
      </c>
      <c r="B416">
        <v>1</v>
      </c>
    </row>
    <row r="417" spans="1:2" x14ac:dyDescent="0.25">
      <c r="A417" s="36">
        <v>3412475020</v>
      </c>
      <c r="B417">
        <v>1</v>
      </c>
    </row>
    <row r="418" spans="1:2" x14ac:dyDescent="0.25">
      <c r="A418" s="35">
        <v>2634621763</v>
      </c>
      <c r="B418">
        <v>1</v>
      </c>
    </row>
    <row r="419" spans="1:2" x14ac:dyDescent="0.25">
      <c r="A419" s="36">
        <v>2995954223</v>
      </c>
      <c r="B419">
        <v>1</v>
      </c>
    </row>
    <row r="420" spans="1:2" x14ac:dyDescent="0.25">
      <c r="A420" s="35">
        <v>1170016458</v>
      </c>
      <c r="B420">
        <v>1</v>
      </c>
    </row>
    <row r="421" spans="1:2" x14ac:dyDescent="0.25">
      <c r="A421" s="36">
        <v>3751216946</v>
      </c>
      <c r="B421">
        <v>1</v>
      </c>
    </row>
    <row r="422" spans="1:2" x14ac:dyDescent="0.25">
      <c r="A422" s="35">
        <v>2474563572</v>
      </c>
      <c r="B422">
        <v>1</v>
      </c>
    </row>
    <row r="423" spans="1:2" x14ac:dyDescent="0.25">
      <c r="A423" s="36">
        <v>3874111953</v>
      </c>
      <c r="B423">
        <v>1</v>
      </c>
    </row>
    <row r="424" spans="1:2" x14ac:dyDescent="0.25">
      <c r="A424" s="35">
        <v>1124875783</v>
      </c>
      <c r="B424">
        <v>1</v>
      </c>
    </row>
    <row r="425" spans="1:2" x14ac:dyDescent="0.25">
      <c r="A425" s="36">
        <v>1169298839</v>
      </c>
      <c r="B425">
        <v>1</v>
      </c>
    </row>
    <row r="426" spans="1:2" x14ac:dyDescent="0.25">
      <c r="A426" s="35">
        <v>1138424895</v>
      </c>
      <c r="B426">
        <v>1</v>
      </c>
    </row>
    <row r="427" spans="1:2" x14ac:dyDescent="0.25">
      <c r="A427" s="36">
        <v>1170604919</v>
      </c>
      <c r="B427">
        <v>1</v>
      </c>
    </row>
    <row r="428" spans="1:2" x14ac:dyDescent="0.25">
      <c r="A428" s="35">
        <v>3705103527</v>
      </c>
      <c r="B428">
        <v>1</v>
      </c>
    </row>
    <row r="429" spans="1:2" x14ac:dyDescent="0.25">
      <c r="A429" s="36">
        <v>2932528721</v>
      </c>
      <c r="B429">
        <v>1</v>
      </c>
    </row>
    <row r="430" spans="1:2" x14ac:dyDescent="0.25">
      <c r="A430" s="35">
        <v>1134278784</v>
      </c>
      <c r="B430">
        <v>1</v>
      </c>
    </row>
    <row r="431" spans="1:2" x14ac:dyDescent="0.25">
      <c r="A431" s="36">
        <v>2645425810</v>
      </c>
      <c r="B431">
        <v>1</v>
      </c>
    </row>
    <row r="432" spans="1:2" x14ac:dyDescent="0.25">
      <c r="A432" s="35">
        <v>64647080</v>
      </c>
      <c r="B432">
        <v>1</v>
      </c>
    </row>
    <row r="433" spans="1:2" x14ac:dyDescent="0.25">
      <c r="A433" s="36">
        <v>2975449966</v>
      </c>
      <c r="B433">
        <v>1</v>
      </c>
    </row>
    <row r="434" spans="1:2" x14ac:dyDescent="0.25">
      <c r="A434" s="35">
        <v>2942600046</v>
      </c>
      <c r="B434">
        <v>1</v>
      </c>
    </row>
    <row r="435" spans="1:2" x14ac:dyDescent="0.25">
      <c r="A435" s="36">
        <v>3875099454</v>
      </c>
      <c r="B435">
        <v>1</v>
      </c>
    </row>
    <row r="436" spans="1:2" x14ac:dyDescent="0.25">
      <c r="A436" s="35">
        <v>1157966339</v>
      </c>
      <c r="B436">
        <v>1</v>
      </c>
    </row>
    <row r="437" spans="1:2" x14ac:dyDescent="0.25">
      <c r="A437" s="36">
        <v>2942453003</v>
      </c>
      <c r="B437">
        <v>1</v>
      </c>
    </row>
    <row r="438" spans="1:2" x14ac:dyDescent="0.25">
      <c r="A438" s="35">
        <v>1123491722</v>
      </c>
      <c r="B438">
        <v>1</v>
      </c>
    </row>
    <row r="439" spans="1:2" x14ac:dyDescent="0.25">
      <c r="A439" s="36">
        <v>2984120341</v>
      </c>
      <c r="B439">
        <v>1</v>
      </c>
    </row>
    <row r="440" spans="1:2" x14ac:dyDescent="0.25">
      <c r="A440" s="35">
        <v>2284572668</v>
      </c>
      <c r="B440">
        <v>1</v>
      </c>
    </row>
    <row r="441" spans="1:2" x14ac:dyDescent="0.25">
      <c r="A441" s="36">
        <v>1168138897</v>
      </c>
      <c r="B441">
        <v>1</v>
      </c>
    </row>
    <row r="442" spans="1:2" x14ac:dyDescent="0.25">
      <c r="A442" s="35">
        <v>1165902065</v>
      </c>
      <c r="B442">
        <v>1</v>
      </c>
    </row>
    <row r="443" spans="1:2" x14ac:dyDescent="0.25">
      <c r="A443" s="36">
        <v>3875469994</v>
      </c>
      <c r="B443">
        <v>1</v>
      </c>
    </row>
    <row r="444" spans="1:2" x14ac:dyDescent="0.25">
      <c r="A444" s="35">
        <v>2974746470</v>
      </c>
      <c r="B444">
        <v>1</v>
      </c>
    </row>
    <row r="445" spans="1:2" x14ac:dyDescent="0.25">
      <c r="A445" s="36">
        <v>2236214123</v>
      </c>
      <c r="B445">
        <v>1</v>
      </c>
    </row>
    <row r="446" spans="1:2" x14ac:dyDescent="0.25">
      <c r="A446" s="35">
        <v>1144467532</v>
      </c>
      <c r="B446">
        <v>1</v>
      </c>
    </row>
    <row r="447" spans="1:2" x14ac:dyDescent="0.25">
      <c r="A447" s="36">
        <v>1140850630</v>
      </c>
      <c r="B447">
        <v>1</v>
      </c>
    </row>
    <row r="448" spans="1:2" x14ac:dyDescent="0.25">
      <c r="A448" s="35">
        <v>3497403581</v>
      </c>
      <c r="B448">
        <v>1</v>
      </c>
    </row>
    <row r="449" spans="1:2" x14ac:dyDescent="0.25">
      <c r="A449" s="36">
        <v>2914436662</v>
      </c>
      <c r="B449">
        <v>1</v>
      </c>
    </row>
    <row r="450" spans="1:2" x14ac:dyDescent="0.25">
      <c r="A450" s="35">
        <v>3857409061</v>
      </c>
      <c r="B450">
        <v>1</v>
      </c>
    </row>
    <row r="451" spans="1:2" x14ac:dyDescent="0.25">
      <c r="A451" s="36">
        <v>1159593139</v>
      </c>
      <c r="B451">
        <v>1</v>
      </c>
    </row>
    <row r="452" spans="1:2" x14ac:dyDescent="0.25">
      <c r="A452" s="35">
        <v>1169819486</v>
      </c>
      <c r="B452">
        <v>1</v>
      </c>
    </row>
    <row r="453" spans="1:2" x14ac:dyDescent="0.25">
      <c r="A453" s="36">
        <v>2346532089</v>
      </c>
      <c r="B453">
        <v>1</v>
      </c>
    </row>
    <row r="454" spans="1:2" x14ac:dyDescent="0.25">
      <c r="A454" s="35">
        <v>1168469614</v>
      </c>
      <c r="B454">
        <v>1</v>
      </c>
    </row>
    <row r="455" spans="1:2" x14ac:dyDescent="0.25">
      <c r="A455" s="36">
        <v>2966717810</v>
      </c>
      <c r="B455">
        <v>1</v>
      </c>
    </row>
    <row r="456" spans="1:2" x14ac:dyDescent="0.25">
      <c r="A456" s="35">
        <v>3812064649</v>
      </c>
      <c r="B456">
        <v>1</v>
      </c>
    </row>
    <row r="457" spans="1:2" x14ac:dyDescent="0.25">
      <c r="A457" s="36">
        <v>3815414628</v>
      </c>
      <c r="B457">
        <v>1</v>
      </c>
    </row>
    <row r="458" spans="1:2" x14ac:dyDescent="0.25">
      <c r="A458" s="35">
        <v>2915017737</v>
      </c>
      <c r="B458">
        <v>1</v>
      </c>
    </row>
    <row r="459" spans="1:2" x14ac:dyDescent="0.25">
      <c r="A459" s="36">
        <v>1125402389</v>
      </c>
      <c r="B459">
        <v>1</v>
      </c>
    </row>
    <row r="460" spans="1:2" x14ac:dyDescent="0.25">
      <c r="A460" s="35">
        <v>3424799828</v>
      </c>
      <c r="B460">
        <v>1</v>
      </c>
    </row>
    <row r="461" spans="1:2" x14ac:dyDescent="0.25">
      <c r="A461" s="36">
        <v>1176362596</v>
      </c>
      <c r="B461">
        <v>1</v>
      </c>
    </row>
    <row r="462" spans="1:2" x14ac:dyDescent="0.25">
      <c r="A462" s="35">
        <v>2215626949</v>
      </c>
      <c r="B462">
        <v>1</v>
      </c>
    </row>
    <row r="463" spans="1:2" x14ac:dyDescent="0.25">
      <c r="A463" s="36">
        <v>1162188559</v>
      </c>
      <c r="B463">
        <v>1</v>
      </c>
    </row>
    <row r="464" spans="1:2" x14ac:dyDescent="0.25">
      <c r="A464" s="35">
        <v>5492617013831</v>
      </c>
      <c r="B464">
        <v>1</v>
      </c>
    </row>
    <row r="465" spans="1:2" x14ac:dyDescent="0.25">
      <c r="A465" s="36">
        <v>2804404466</v>
      </c>
      <c r="B465">
        <v>1</v>
      </c>
    </row>
    <row r="466" spans="1:2" x14ac:dyDescent="0.25">
      <c r="A466" s="35">
        <v>2974726190</v>
      </c>
      <c r="B466">
        <v>1</v>
      </c>
    </row>
    <row r="467" spans="1:2" x14ac:dyDescent="0.25">
      <c r="A467" s="36">
        <v>2246500147</v>
      </c>
      <c r="B467">
        <v>1</v>
      </c>
    </row>
    <row r="468" spans="1:2" x14ac:dyDescent="0.25">
      <c r="A468" s="35">
        <v>1161422978</v>
      </c>
      <c r="B468">
        <v>1</v>
      </c>
    </row>
    <row r="469" spans="1:2" x14ac:dyDescent="0.25">
      <c r="A469" s="36">
        <v>1165634041</v>
      </c>
      <c r="B469">
        <v>1</v>
      </c>
    </row>
    <row r="470" spans="1:2" x14ac:dyDescent="0.25">
      <c r="A470" s="35">
        <v>2984888078</v>
      </c>
      <c r="B470">
        <v>1</v>
      </c>
    </row>
    <row r="471" spans="1:2" x14ac:dyDescent="0.25">
      <c r="A471" s="36">
        <v>3812004325</v>
      </c>
      <c r="B471">
        <v>1</v>
      </c>
    </row>
    <row r="472" spans="1:2" x14ac:dyDescent="0.25">
      <c r="A472" s="35">
        <v>2604564244</v>
      </c>
      <c r="B472">
        <v>1</v>
      </c>
    </row>
    <row r="473" spans="1:2" x14ac:dyDescent="0.25">
      <c r="A473" s="36">
        <v>3814053905</v>
      </c>
      <c r="B473">
        <v>1</v>
      </c>
    </row>
    <row r="474" spans="1:2" x14ac:dyDescent="0.25">
      <c r="A474" s="35">
        <v>3487475052</v>
      </c>
      <c r="B474">
        <v>1</v>
      </c>
    </row>
    <row r="475" spans="1:2" x14ac:dyDescent="0.25">
      <c r="A475" s="36">
        <v>1132610066</v>
      </c>
      <c r="B475">
        <v>1</v>
      </c>
    </row>
    <row r="476" spans="1:2" x14ac:dyDescent="0.25">
      <c r="A476" s="35">
        <v>3388673302</v>
      </c>
      <c r="B476">
        <v>1</v>
      </c>
    </row>
    <row r="477" spans="1:2" x14ac:dyDescent="0.25">
      <c r="A477" s="36">
        <v>3884324438</v>
      </c>
      <c r="B477">
        <v>1</v>
      </c>
    </row>
    <row r="478" spans="1:2" x14ac:dyDescent="0.25">
      <c r="A478" s="35">
        <v>2236690085</v>
      </c>
      <c r="B478">
        <v>1</v>
      </c>
    </row>
    <row r="479" spans="1:2" x14ac:dyDescent="0.25">
      <c r="A479" s="36">
        <v>3875845804</v>
      </c>
      <c r="B479">
        <v>1</v>
      </c>
    </row>
    <row r="480" spans="1:2" x14ac:dyDescent="0.25">
      <c r="A480" s="35">
        <v>1139538715</v>
      </c>
      <c r="B480">
        <v>1</v>
      </c>
    </row>
    <row r="481" spans="1:2" x14ac:dyDescent="0.25">
      <c r="A481" s="36">
        <v>1151391094</v>
      </c>
      <c r="B481">
        <v>1</v>
      </c>
    </row>
    <row r="482" spans="1:2" x14ac:dyDescent="0.25">
      <c r="A482" s="35">
        <v>2622409341</v>
      </c>
      <c r="B482">
        <v>1</v>
      </c>
    </row>
    <row r="483" spans="1:2" x14ac:dyDescent="0.25">
      <c r="A483" s="36">
        <v>3815483784</v>
      </c>
      <c r="B483">
        <v>1</v>
      </c>
    </row>
    <row r="484" spans="1:2" x14ac:dyDescent="0.25">
      <c r="A484" s="35">
        <v>2942469903</v>
      </c>
      <c r="B484">
        <v>1</v>
      </c>
    </row>
    <row r="485" spans="1:2" x14ac:dyDescent="0.25">
      <c r="A485" s="36">
        <v>1132101845</v>
      </c>
      <c r="B485">
        <v>1</v>
      </c>
    </row>
    <row r="486" spans="1:2" x14ac:dyDescent="0.25">
      <c r="A486" s="35">
        <v>3874690288</v>
      </c>
      <c r="B486">
        <v>1</v>
      </c>
    </row>
    <row r="487" spans="1:2" x14ac:dyDescent="0.25">
      <c r="A487" s="36">
        <v>3462467307</v>
      </c>
      <c r="B487">
        <v>1</v>
      </c>
    </row>
    <row r="488" spans="1:2" x14ac:dyDescent="0.25">
      <c r="A488" s="35">
        <v>3875492293</v>
      </c>
      <c r="B488">
        <v>1</v>
      </c>
    </row>
    <row r="489" spans="1:2" x14ac:dyDescent="0.25">
      <c r="A489" s="36">
        <v>1171211111</v>
      </c>
      <c r="B489">
        <v>1</v>
      </c>
    </row>
    <row r="490" spans="1:2" x14ac:dyDescent="0.25">
      <c r="A490" s="35">
        <v>2944663347</v>
      </c>
      <c r="B490">
        <v>1</v>
      </c>
    </row>
    <row r="491" spans="1:2" x14ac:dyDescent="0.25">
      <c r="A491" s="36">
        <v>1161205903</v>
      </c>
      <c r="B491">
        <v>1</v>
      </c>
    </row>
    <row r="492" spans="1:2" x14ac:dyDescent="0.25">
      <c r="A492" s="35">
        <v>2966216936</v>
      </c>
      <c r="B492">
        <v>1</v>
      </c>
    </row>
    <row r="493" spans="1:2" x14ac:dyDescent="0.25">
      <c r="A493" s="36">
        <v>2954656920</v>
      </c>
      <c r="B493">
        <v>1</v>
      </c>
    </row>
    <row r="494" spans="1:2" x14ac:dyDescent="0.25">
      <c r="A494" s="35">
        <v>2342454195</v>
      </c>
      <c r="B494">
        <v>1</v>
      </c>
    </row>
    <row r="495" spans="1:2" x14ac:dyDescent="0.25">
      <c r="A495" s="36">
        <v>1131995578</v>
      </c>
      <c r="B495">
        <v>1</v>
      </c>
    </row>
    <row r="496" spans="1:2" x14ac:dyDescent="0.25">
      <c r="A496" s="35">
        <v>2615561477</v>
      </c>
      <c r="B496">
        <v>1</v>
      </c>
    </row>
    <row r="497" spans="1:2" x14ac:dyDescent="0.25">
      <c r="A497" s="36">
        <v>3516669509</v>
      </c>
      <c r="B497">
        <v>1</v>
      </c>
    </row>
    <row r="498" spans="1:2" x14ac:dyDescent="0.25">
      <c r="A498" s="35">
        <v>1161069749</v>
      </c>
      <c r="B498">
        <v>1</v>
      </c>
    </row>
    <row r="499" spans="1:2" x14ac:dyDescent="0.25">
      <c r="A499" s="36">
        <v>2954298421</v>
      </c>
      <c r="B499">
        <v>1</v>
      </c>
    </row>
    <row r="500" spans="1:2" x14ac:dyDescent="0.25">
      <c r="A500" s="35">
        <v>2346687164</v>
      </c>
      <c r="B500">
        <v>1</v>
      </c>
    </row>
    <row r="501" spans="1:2" x14ac:dyDescent="0.25">
      <c r="A501" s="36">
        <v>1121642418</v>
      </c>
      <c r="B501">
        <v>1</v>
      </c>
    </row>
    <row r="502" spans="1:2" x14ac:dyDescent="0.25">
      <c r="A502" s="35">
        <v>1136325830</v>
      </c>
      <c r="B502">
        <v>1</v>
      </c>
    </row>
    <row r="503" spans="1:2" x14ac:dyDescent="0.25">
      <c r="A503" s="36">
        <v>2995727480</v>
      </c>
      <c r="B503">
        <v>1</v>
      </c>
    </row>
    <row r="504" spans="1:2" x14ac:dyDescent="0.25">
      <c r="A504" s="35">
        <v>2645095503</v>
      </c>
      <c r="B504">
        <v>1</v>
      </c>
    </row>
    <row r="505" spans="1:2" x14ac:dyDescent="0.25">
      <c r="A505" s="36">
        <v>1168519805</v>
      </c>
      <c r="B505">
        <v>1</v>
      </c>
    </row>
    <row r="506" spans="1:2" x14ac:dyDescent="0.25">
      <c r="A506" s="35">
        <v>3878805230</v>
      </c>
      <c r="B506">
        <v>1</v>
      </c>
    </row>
    <row r="507" spans="1:2" x14ac:dyDescent="0.25">
      <c r="A507" s="36">
        <v>3571622204</v>
      </c>
      <c r="B507">
        <v>1</v>
      </c>
    </row>
    <row r="508" spans="1:2" x14ac:dyDescent="0.25">
      <c r="A508" s="35">
        <v>1168204857</v>
      </c>
      <c r="B508">
        <v>1</v>
      </c>
    </row>
    <row r="509" spans="1:2" x14ac:dyDescent="0.25">
      <c r="A509" s="36">
        <v>2644513613</v>
      </c>
      <c r="B509">
        <v>1</v>
      </c>
    </row>
    <row r="510" spans="1:2" x14ac:dyDescent="0.25">
      <c r="A510" s="35">
        <v>3437434673</v>
      </c>
      <c r="B510">
        <v>1</v>
      </c>
    </row>
    <row r="511" spans="1:2" x14ac:dyDescent="0.25">
      <c r="A511" s="36">
        <v>3834926418</v>
      </c>
      <c r="B511">
        <v>1</v>
      </c>
    </row>
    <row r="512" spans="1:2" x14ac:dyDescent="0.25">
      <c r="A512" s="35">
        <v>1158863972</v>
      </c>
      <c r="B512">
        <v>1</v>
      </c>
    </row>
    <row r="513" spans="1:2" x14ac:dyDescent="0.25">
      <c r="A513" s="36">
        <v>3865678885</v>
      </c>
      <c r="B513">
        <v>1</v>
      </c>
    </row>
    <row r="514" spans="1:2" x14ac:dyDescent="0.25">
      <c r="A514" s="35">
        <v>1161289776</v>
      </c>
      <c r="B514">
        <v>1</v>
      </c>
    </row>
    <row r="515" spans="1:2" x14ac:dyDescent="0.25">
      <c r="A515" s="36">
        <v>2974706867</v>
      </c>
      <c r="B515">
        <v>1</v>
      </c>
    </row>
    <row r="516" spans="1:2" x14ac:dyDescent="0.25">
      <c r="A516" s="35">
        <v>1160214295</v>
      </c>
      <c r="B516">
        <v>1</v>
      </c>
    </row>
    <row r="517" spans="1:2" x14ac:dyDescent="0.25">
      <c r="A517" s="36">
        <v>1139382112</v>
      </c>
      <c r="B517">
        <v>1</v>
      </c>
    </row>
    <row r="518" spans="1:2" x14ac:dyDescent="0.25">
      <c r="A518" s="35">
        <v>2995509772</v>
      </c>
      <c r="B518">
        <v>1</v>
      </c>
    </row>
    <row r="519" spans="1:2" x14ac:dyDescent="0.25">
      <c r="A519" s="36">
        <v>1128804665</v>
      </c>
      <c r="B519">
        <v>1</v>
      </c>
    </row>
    <row r="520" spans="1:2" x14ac:dyDescent="0.25">
      <c r="A520" s="35">
        <v>3751412486</v>
      </c>
      <c r="B520">
        <v>1</v>
      </c>
    </row>
    <row r="521" spans="1:2" x14ac:dyDescent="0.25">
      <c r="A521" s="36">
        <v>2644595686</v>
      </c>
      <c r="B521">
        <v>1</v>
      </c>
    </row>
    <row r="522" spans="1:2" x14ac:dyDescent="0.25">
      <c r="A522" s="35">
        <v>1167819102</v>
      </c>
      <c r="B522">
        <v>1</v>
      </c>
    </row>
    <row r="523" spans="1:2" x14ac:dyDescent="0.25">
      <c r="A523" s="36">
        <v>2901553580</v>
      </c>
      <c r="B523">
        <v>1</v>
      </c>
    </row>
    <row r="524" spans="1:2" x14ac:dyDescent="0.25">
      <c r="A524" s="35">
        <v>3886464906</v>
      </c>
      <c r="B524">
        <v>1</v>
      </c>
    </row>
    <row r="525" spans="1:2" x14ac:dyDescent="0.25">
      <c r="A525" s="36">
        <v>3765302144</v>
      </c>
      <c r="B525">
        <v>1</v>
      </c>
    </row>
    <row r="526" spans="1:2" x14ac:dyDescent="0.25">
      <c r="A526" s="35">
        <v>2994193181</v>
      </c>
      <c r="B526">
        <v>1</v>
      </c>
    </row>
    <row r="527" spans="1:2" x14ac:dyDescent="0.25">
      <c r="A527" s="36">
        <v>2302205689</v>
      </c>
      <c r="B527">
        <v>1</v>
      </c>
    </row>
    <row r="528" spans="1:2" x14ac:dyDescent="0.25">
      <c r="A528" s="35">
        <v>3489351496</v>
      </c>
      <c r="B528">
        <v>1</v>
      </c>
    </row>
    <row r="529" spans="1:2" x14ac:dyDescent="0.25">
      <c r="A529" s="36">
        <v>2975301517</v>
      </c>
      <c r="B529">
        <v>1</v>
      </c>
    </row>
    <row r="530" spans="1:2" x14ac:dyDescent="0.25">
      <c r="A530" s="35">
        <v>3756548066</v>
      </c>
      <c r="B530">
        <v>1</v>
      </c>
    </row>
    <row r="531" spans="1:2" x14ac:dyDescent="0.25">
      <c r="A531" s="36">
        <v>2901407074</v>
      </c>
      <c r="B531">
        <v>1</v>
      </c>
    </row>
    <row r="532" spans="1:2" x14ac:dyDescent="0.25">
      <c r="A532" s="35">
        <v>2975488971</v>
      </c>
      <c r="B532">
        <v>1</v>
      </c>
    </row>
    <row r="533" spans="1:2" x14ac:dyDescent="0.25">
      <c r="A533" s="36">
        <v>5493777288515</v>
      </c>
      <c r="B533">
        <v>1</v>
      </c>
    </row>
    <row r="534" spans="1:2" x14ac:dyDescent="0.25">
      <c r="A534" s="35">
        <v>3491511193</v>
      </c>
      <c r="B534">
        <v>1</v>
      </c>
    </row>
    <row r="535" spans="1:2" x14ac:dyDescent="0.25">
      <c r="A535" s="36">
        <v>5491167314430</v>
      </c>
      <c r="B535">
        <v>1</v>
      </c>
    </row>
    <row r="536" spans="1:2" x14ac:dyDescent="0.25">
      <c r="A536" s="35">
        <v>2944627803</v>
      </c>
      <c r="B536">
        <v>1</v>
      </c>
    </row>
    <row r="537" spans="1:2" x14ac:dyDescent="0.25">
      <c r="A537" s="36">
        <v>1165921589</v>
      </c>
      <c r="B537">
        <v>1</v>
      </c>
    </row>
    <row r="538" spans="1:2" x14ac:dyDescent="0.25">
      <c r="A538" s="35">
        <v>5493834986945</v>
      </c>
      <c r="B538">
        <v>1</v>
      </c>
    </row>
    <row r="539" spans="1:2" x14ac:dyDescent="0.25">
      <c r="A539" s="36">
        <v>2975150923</v>
      </c>
      <c r="B539">
        <v>1</v>
      </c>
    </row>
    <row r="540" spans="1:2" x14ac:dyDescent="0.25">
      <c r="A540" s="35">
        <v>2235421977</v>
      </c>
      <c r="B540">
        <v>1</v>
      </c>
    </row>
    <row r="541" spans="1:2" x14ac:dyDescent="0.25">
      <c r="A541" s="36">
        <v>2613740306</v>
      </c>
      <c r="B541">
        <v>1</v>
      </c>
    </row>
    <row r="542" spans="1:2" x14ac:dyDescent="0.25">
      <c r="A542" s="35">
        <v>1140445802</v>
      </c>
      <c r="B542">
        <v>1</v>
      </c>
    </row>
    <row r="543" spans="1:2" x14ac:dyDescent="0.25">
      <c r="A543" s="36">
        <v>1150391021</v>
      </c>
      <c r="B543">
        <v>1</v>
      </c>
    </row>
    <row r="544" spans="1:2" x14ac:dyDescent="0.25">
      <c r="A544" s="35">
        <v>5491133505048</v>
      </c>
      <c r="B544">
        <v>1</v>
      </c>
    </row>
    <row r="545" spans="1:2" x14ac:dyDescent="0.25">
      <c r="A545" s="36">
        <v>2281301012</v>
      </c>
      <c r="B545">
        <v>1</v>
      </c>
    </row>
    <row r="546" spans="1:2" x14ac:dyDescent="0.25">
      <c r="A546" s="35">
        <v>1160994952</v>
      </c>
      <c r="B546">
        <v>1</v>
      </c>
    </row>
    <row r="547" spans="1:2" x14ac:dyDescent="0.25">
      <c r="A547" s="36">
        <v>2364652889</v>
      </c>
      <c r="B547">
        <v>1</v>
      </c>
    </row>
    <row r="548" spans="1:2" x14ac:dyDescent="0.25">
      <c r="A548" s="35">
        <v>5491175044416</v>
      </c>
      <c r="B548">
        <v>1</v>
      </c>
    </row>
    <row r="549" spans="1:2" x14ac:dyDescent="0.25">
      <c r="A549" s="36">
        <v>3513008089</v>
      </c>
      <c r="B549">
        <v>1</v>
      </c>
    </row>
    <row r="550" spans="1:2" x14ac:dyDescent="0.25">
      <c r="A550" s="35">
        <v>1123626502</v>
      </c>
      <c r="B550">
        <v>1</v>
      </c>
    </row>
    <row r="551" spans="1:2" x14ac:dyDescent="0.25">
      <c r="A551" s="36">
        <v>3786617045</v>
      </c>
      <c r="B551">
        <v>1</v>
      </c>
    </row>
    <row r="552" spans="1:2" x14ac:dyDescent="0.25">
      <c r="A552" s="35">
        <v>3876522286</v>
      </c>
      <c r="B552">
        <v>1</v>
      </c>
    </row>
    <row r="553" spans="1:2" x14ac:dyDescent="0.25">
      <c r="A553" s="36">
        <v>3487662423</v>
      </c>
      <c r="B553">
        <v>1</v>
      </c>
    </row>
    <row r="554" spans="1:2" x14ac:dyDescent="0.25">
      <c r="A554" s="35">
        <v>1157348010</v>
      </c>
      <c r="B554">
        <v>1</v>
      </c>
    </row>
    <row r="555" spans="1:2" x14ac:dyDescent="0.25">
      <c r="A555" s="36">
        <v>3404439135</v>
      </c>
      <c r="B555">
        <v>1</v>
      </c>
    </row>
    <row r="556" spans="1:2" x14ac:dyDescent="0.25">
      <c r="A556" s="35">
        <v>1122962032</v>
      </c>
      <c r="B556">
        <v>1</v>
      </c>
    </row>
    <row r="557" spans="1:2" x14ac:dyDescent="0.25">
      <c r="A557" s="36">
        <v>1158362168</v>
      </c>
      <c r="B557">
        <v>1</v>
      </c>
    </row>
    <row r="558" spans="1:2" x14ac:dyDescent="0.25">
      <c r="A558" s="35">
        <v>2932410848</v>
      </c>
      <c r="B558">
        <v>1</v>
      </c>
    </row>
    <row r="559" spans="1:2" x14ac:dyDescent="0.25">
      <c r="A559" s="36">
        <v>1165860653</v>
      </c>
      <c r="B559">
        <v>1</v>
      </c>
    </row>
    <row r="560" spans="1:2" x14ac:dyDescent="0.25">
      <c r="A560" s="35">
        <v>1159070952</v>
      </c>
      <c r="B560">
        <v>1</v>
      </c>
    </row>
    <row r="561" spans="1:2" x14ac:dyDescent="0.25">
      <c r="A561" s="36">
        <v>1123119170</v>
      </c>
      <c r="B561">
        <v>1</v>
      </c>
    </row>
    <row r="562" spans="1:2" x14ac:dyDescent="0.25">
      <c r="A562" s="35">
        <v>3412804460</v>
      </c>
      <c r="B562">
        <v>1</v>
      </c>
    </row>
    <row r="563" spans="1:2" x14ac:dyDescent="0.25">
      <c r="A563" s="36">
        <v>1179008369</v>
      </c>
      <c r="B563">
        <v>1</v>
      </c>
    </row>
    <row r="564" spans="1:2" x14ac:dyDescent="0.25">
      <c r="A564" s="35">
        <v>1162602801</v>
      </c>
      <c r="B564">
        <v>1</v>
      </c>
    </row>
    <row r="565" spans="1:2" x14ac:dyDescent="0.25">
      <c r="A565" s="36">
        <v>1144785313</v>
      </c>
      <c r="B565">
        <v>1</v>
      </c>
    </row>
    <row r="566" spans="1:2" x14ac:dyDescent="0.25">
      <c r="A566" s="35">
        <v>35154935180</v>
      </c>
      <c r="B566">
        <v>1</v>
      </c>
    </row>
    <row r="567" spans="1:2" x14ac:dyDescent="0.25">
      <c r="A567" s="36">
        <v>2948433012</v>
      </c>
      <c r="B567">
        <v>1</v>
      </c>
    </row>
    <row r="568" spans="1:2" x14ac:dyDescent="0.25">
      <c r="A568" s="35">
        <v>1134208271</v>
      </c>
      <c r="B568">
        <v>1</v>
      </c>
    </row>
    <row r="569" spans="1:2" x14ac:dyDescent="0.25">
      <c r="A569" s="36">
        <v>3704399665</v>
      </c>
      <c r="B569">
        <v>1</v>
      </c>
    </row>
    <row r="570" spans="1:2" x14ac:dyDescent="0.25">
      <c r="A570" s="35">
        <v>38214088</v>
      </c>
      <c r="B570">
        <v>1</v>
      </c>
    </row>
    <row r="571" spans="1:2" x14ac:dyDescent="0.25">
      <c r="A571" s="36">
        <v>2257410531</v>
      </c>
      <c r="B571">
        <v>1</v>
      </c>
    </row>
    <row r="572" spans="1:2" x14ac:dyDescent="0.25">
      <c r="A572" s="35">
        <v>3874126155</v>
      </c>
      <c r="B572">
        <v>1</v>
      </c>
    </row>
    <row r="573" spans="1:2" x14ac:dyDescent="0.25">
      <c r="A573" s="36">
        <v>3412720732</v>
      </c>
      <c r="B573">
        <v>1</v>
      </c>
    </row>
    <row r="574" spans="1:2" x14ac:dyDescent="0.25">
      <c r="A574" s="35">
        <v>225255645251</v>
      </c>
      <c r="B574">
        <v>1</v>
      </c>
    </row>
    <row r="575" spans="1:2" x14ac:dyDescent="0.25">
      <c r="A575" s="36">
        <v>112153822876</v>
      </c>
      <c r="B575">
        <v>1</v>
      </c>
    </row>
    <row r="576" spans="1:2" x14ac:dyDescent="0.25">
      <c r="A576" s="35">
        <v>1154184627</v>
      </c>
      <c r="B576">
        <v>1</v>
      </c>
    </row>
    <row r="577" spans="1:2" x14ac:dyDescent="0.25">
      <c r="A577" s="36">
        <v>1150388247</v>
      </c>
      <c r="B577">
        <v>1</v>
      </c>
    </row>
    <row r="578" spans="1:2" x14ac:dyDescent="0.25">
      <c r="A578" s="35">
        <v>2995286266</v>
      </c>
      <c r="B578">
        <v>1</v>
      </c>
    </row>
    <row r="579" spans="1:2" x14ac:dyDescent="0.25">
      <c r="A579" s="36">
        <v>3885628395</v>
      </c>
      <c r="B579">
        <v>1</v>
      </c>
    </row>
    <row r="580" spans="1:2" x14ac:dyDescent="0.25">
      <c r="A580" s="35">
        <v>2915727467</v>
      </c>
      <c r="B580">
        <v>1</v>
      </c>
    </row>
    <row r="581" spans="1:2" x14ac:dyDescent="0.25">
      <c r="A581" s="36">
        <v>3484390048</v>
      </c>
      <c r="B581">
        <v>1</v>
      </c>
    </row>
    <row r="582" spans="1:2" x14ac:dyDescent="0.25">
      <c r="A582" s="35">
        <v>3874817866</v>
      </c>
      <c r="B582">
        <v>1</v>
      </c>
    </row>
    <row r="583" spans="1:2" x14ac:dyDescent="0.25">
      <c r="A583" s="36">
        <v>1126375756</v>
      </c>
      <c r="B583">
        <v>1</v>
      </c>
    </row>
    <row r="584" spans="1:2" x14ac:dyDescent="0.25">
      <c r="A584" s="35">
        <v>3816372195</v>
      </c>
      <c r="B584">
        <v>1</v>
      </c>
    </row>
    <row r="585" spans="1:2" x14ac:dyDescent="0.25">
      <c r="A585" s="36">
        <v>3476523861</v>
      </c>
      <c r="B585">
        <v>1</v>
      </c>
    </row>
    <row r="586" spans="1:2" x14ac:dyDescent="0.25">
      <c r="A586" s="35">
        <v>3487325240</v>
      </c>
      <c r="B586">
        <v>1</v>
      </c>
    </row>
    <row r="587" spans="1:2" x14ac:dyDescent="0.25">
      <c r="A587" s="36">
        <v>3815622281</v>
      </c>
      <c r="B587">
        <v>1</v>
      </c>
    </row>
    <row r="588" spans="1:2" x14ac:dyDescent="0.25">
      <c r="A588" s="35">
        <v>3512466266</v>
      </c>
      <c r="B588">
        <v>1</v>
      </c>
    </row>
    <row r="589" spans="1:2" x14ac:dyDescent="0.25">
      <c r="A589" s="36">
        <v>2914190263</v>
      </c>
      <c r="B589">
        <v>1</v>
      </c>
    </row>
    <row r="590" spans="1:2" x14ac:dyDescent="0.25">
      <c r="A590" s="35">
        <v>1156144228</v>
      </c>
      <c r="B590">
        <v>1</v>
      </c>
    </row>
    <row r="591" spans="1:2" x14ac:dyDescent="0.25">
      <c r="A591" s="36">
        <v>5492804636151</v>
      </c>
      <c r="B591">
        <v>1</v>
      </c>
    </row>
    <row r="592" spans="1:2" x14ac:dyDescent="0.25">
      <c r="A592" s="35">
        <v>5493489668443</v>
      </c>
      <c r="B592">
        <v>1</v>
      </c>
    </row>
    <row r="593" spans="1:2" x14ac:dyDescent="0.25">
      <c r="A593" s="36">
        <v>5491166489644</v>
      </c>
      <c r="B593">
        <v>1</v>
      </c>
    </row>
    <row r="594" spans="1:2" x14ac:dyDescent="0.25">
      <c r="A594" s="35">
        <v>3834419629</v>
      </c>
      <c r="B594">
        <v>1</v>
      </c>
    </row>
    <row r="595" spans="1:2" x14ac:dyDescent="0.25">
      <c r="A595" s="36">
        <v>3547630445</v>
      </c>
      <c r="B595">
        <v>1</v>
      </c>
    </row>
    <row r="596" spans="1:2" x14ac:dyDescent="0.25">
      <c r="A596" s="35">
        <v>2954236282</v>
      </c>
      <c r="B596">
        <v>1</v>
      </c>
    </row>
    <row r="597" spans="1:2" x14ac:dyDescent="0.25">
      <c r="A597" s="36">
        <v>3813045597</v>
      </c>
      <c r="B597">
        <v>1</v>
      </c>
    </row>
    <row r="598" spans="1:2" x14ac:dyDescent="0.25">
      <c r="A598" s="35">
        <v>3492610898</v>
      </c>
      <c r="B598">
        <v>1</v>
      </c>
    </row>
    <row r="599" spans="1:2" x14ac:dyDescent="0.25">
      <c r="A599" s="36">
        <v>3815989528</v>
      </c>
      <c r="B599">
        <v>1</v>
      </c>
    </row>
    <row r="600" spans="1:2" x14ac:dyDescent="0.25">
      <c r="A600" s="35">
        <v>1151176205</v>
      </c>
      <c r="B600">
        <v>1</v>
      </c>
    </row>
    <row r="601" spans="1:2" x14ac:dyDescent="0.25">
      <c r="A601" s="36">
        <v>2964657938</v>
      </c>
      <c r="B601">
        <v>1</v>
      </c>
    </row>
    <row r="602" spans="1:2" x14ac:dyDescent="0.25">
      <c r="A602" s="35">
        <v>3573403433</v>
      </c>
      <c r="B602">
        <v>1</v>
      </c>
    </row>
    <row r="603" spans="1:2" x14ac:dyDescent="0.25">
      <c r="A603" s="36">
        <v>1163535253</v>
      </c>
      <c r="B603">
        <v>1</v>
      </c>
    </row>
    <row r="604" spans="1:2" x14ac:dyDescent="0.25">
      <c r="A604" s="35">
        <v>2914298801</v>
      </c>
      <c r="B604">
        <v>1</v>
      </c>
    </row>
    <row r="605" spans="1:2" x14ac:dyDescent="0.25">
      <c r="A605" s="36">
        <v>2995725612</v>
      </c>
      <c r="B605">
        <v>1</v>
      </c>
    </row>
    <row r="606" spans="1:2" x14ac:dyDescent="0.25">
      <c r="A606" s="35">
        <v>1159528572</v>
      </c>
      <c r="B606">
        <v>1</v>
      </c>
    </row>
    <row r="607" spans="1:2" x14ac:dyDescent="0.25">
      <c r="A607" s="36">
        <v>2975395826</v>
      </c>
      <c r="B607">
        <v>1</v>
      </c>
    </row>
    <row r="608" spans="1:2" x14ac:dyDescent="0.25">
      <c r="A608" s="35">
        <v>23459888</v>
      </c>
      <c r="B608">
        <v>1</v>
      </c>
    </row>
    <row r="609" spans="1:2" x14ac:dyDescent="0.25">
      <c r="A609" s="36">
        <v>1132646935</v>
      </c>
      <c r="B609">
        <v>1</v>
      </c>
    </row>
    <row r="610" spans="1:2" x14ac:dyDescent="0.25">
      <c r="A610" s="35">
        <v>1159393081</v>
      </c>
      <c r="B610">
        <v>1</v>
      </c>
    </row>
    <row r="611" spans="1:2" x14ac:dyDescent="0.25">
      <c r="A611" s="36">
        <v>1121927169</v>
      </c>
      <c r="B611">
        <v>1</v>
      </c>
    </row>
    <row r="612" spans="1:2" x14ac:dyDescent="0.25">
      <c r="A612" s="35">
        <v>2974136597</v>
      </c>
      <c r="B612">
        <v>1</v>
      </c>
    </row>
    <row r="613" spans="1:2" x14ac:dyDescent="0.25">
      <c r="A613" s="36">
        <v>1156341480</v>
      </c>
      <c r="B613">
        <v>1</v>
      </c>
    </row>
    <row r="614" spans="1:2" x14ac:dyDescent="0.25">
      <c r="A614" s="35">
        <v>3515934669</v>
      </c>
      <c r="B614">
        <v>1</v>
      </c>
    </row>
    <row r="615" spans="1:2" x14ac:dyDescent="0.25">
      <c r="A615" s="36">
        <v>1144077520</v>
      </c>
      <c r="B615">
        <v>1</v>
      </c>
    </row>
    <row r="616" spans="1:2" x14ac:dyDescent="0.25">
      <c r="A616" s="35">
        <v>1162090861</v>
      </c>
      <c r="B616">
        <v>1</v>
      </c>
    </row>
    <row r="617" spans="1:2" x14ac:dyDescent="0.25">
      <c r="A617" s="36">
        <v>2974701238</v>
      </c>
      <c r="B617">
        <v>1</v>
      </c>
    </row>
    <row r="618" spans="1:2" x14ac:dyDescent="0.25">
      <c r="A618" s="26"/>
      <c r="B618">
        <v>1</v>
      </c>
    </row>
    <row r="619" spans="1:2" x14ac:dyDescent="0.25">
      <c r="A619" s="27"/>
      <c r="B619">
        <v>1</v>
      </c>
    </row>
    <row r="620" spans="1:2" x14ac:dyDescent="0.25">
      <c r="A620" s="26"/>
      <c r="B620">
        <v>1</v>
      </c>
    </row>
    <row r="621" spans="1:2" x14ac:dyDescent="0.25">
      <c r="A621" s="27"/>
      <c r="B621">
        <v>1</v>
      </c>
    </row>
    <row r="622" spans="1:2" x14ac:dyDescent="0.25">
      <c r="A622" s="26"/>
      <c r="B622">
        <v>1</v>
      </c>
    </row>
    <row r="623" spans="1:2" x14ac:dyDescent="0.25">
      <c r="A623" s="27"/>
      <c r="B623">
        <v>1</v>
      </c>
    </row>
    <row r="624" spans="1:2" x14ac:dyDescent="0.25">
      <c r="A624" s="26"/>
      <c r="B624">
        <v>1</v>
      </c>
    </row>
    <row r="625" spans="1:2" x14ac:dyDescent="0.25">
      <c r="A625" s="27"/>
      <c r="B625">
        <v>1</v>
      </c>
    </row>
    <row r="626" spans="1:2" x14ac:dyDescent="0.25">
      <c r="A626" s="26"/>
      <c r="B626">
        <v>1</v>
      </c>
    </row>
    <row r="627" spans="1:2" x14ac:dyDescent="0.25">
      <c r="A627" s="27"/>
      <c r="B627">
        <v>1</v>
      </c>
    </row>
    <row r="628" spans="1:2" x14ac:dyDescent="0.25">
      <c r="A628" s="26"/>
      <c r="B628">
        <v>1</v>
      </c>
    </row>
    <row r="629" spans="1:2" x14ac:dyDescent="0.25">
      <c r="A629" s="27"/>
      <c r="B629">
        <v>1</v>
      </c>
    </row>
    <row r="630" spans="1:2" x14ac:dyDescent="0.25">
      <c r="A630" s="26"/>
      <c r="B630">
        <v>1</v>
      </c>
    </row>
    <row r="631" spans="1:2" x14ac:dyDescent="0.25">
      <c r="A631" s="27"/>
      <c r="B631">
        <v>1</v>
      </c>
    </row>
    <row r="632" spans="1:2" x14ac:dyDescent="0.25">
      <c r="A632" s="26"/>
      <c r="B632">
        <v>1</v>
      </c>
    </row>
    <row r="633" spans="1:2" x14ac:dyDescent="0.25">
      <c r="A633" s="27"/>
      <c r="B633">
        <v>1</v>
      </c>
    </row>
    <row r="634" spans="1:2" x14ac:dyDescent="0.25">
      <c r="A634" s="26"/>
      <c r="B634">
        <v>1</v>
      </c>
    </row>
    <row r="635" spans="1:2" x14ac:dyDescent="0.25">
      <c r="A635" s="27"/>
      <c r="B635">
        <v>1</v>
      </c>
    </row>
    <row r="636" spans="1:2" x14ac:dyDescent="0.25">
      <c r="A636" s="26"/>
      <c r="B636">
        <v>1</v>
      </c>
    </row>
    <row r="637" spans="1:2" x14ac:dyDescent="0.25">
      <c r="A637" s="27"/>
      <c r="B637">
        <v>1</v>
      </c>
    </row>
    <row r="638" spans="1:2" x14ac:dyDescent="0.25">
      <c r="A638" s="26"/>
      <c r="B638">
        <v>1</v>
      </c>
    </row>
    <row r="639" spans="1:2" x14ac:dyDescent="0.25">
      <c r="A639" s="27"/>
      <c r="B639">
        <v>1</v>
      </c>
    </row>
    <row r="640" spans="1:2" x14ac:dyDescent="0.25">
      <c r="A640" s="26"/>
      <c r="B640">
        <v>1</v>
      </c>
    </row>
    <row r="641" spans="1:2" x14ac:dyDescent="0.25">
      <c r="A641" s="27"/>
      <c r="B641">
        <v>1</v>
      </c>
    </row>
    <row r="642" spans="1:2" x14ac:dyDescent="0.25">
      <c r="A642" s="26"/>
      <c r="B642">
        <v>1</v>
      </c>
    </row>
    <row r="643" spans="1:2" x14ac:dyDescent="0.25">
      <c r="A643" s="27"/>
      <c r="B643">
        <v>1</v>
      </c>
    </row>
    <row r="644" spans="1:2" x14ac:dyDescent="0.25">
      <c r="A644" s="26"/>
      <c r="B644">
        <v>1</v>
      </c>
    </row>
    <row r="645" spans="1:2" x14ac:dyDescent="0.25">
      <c r="A645" s="27"/>
      <c r="B645">
        <v>1</v>
      </c>
    </row>
    <row r="646" spans="1:2" x14ac:dyDescent="0.25">
      <c r="A646" s="26"/>
      <c r="B646">
        <v>1</v>
      </c>
    </row>
    <row r="647" spans="1:2" x14ac:dyDescent="0.25">
      <c r="A647" s="27"/>
      <c r="B647">
        <v>1</v>
      </c>
    </row>
    <row r="648" spans="1:2" x14ac:dyDescent="0.25">
      <c r="A648" s="26"/>
      <c r="B648">
        <v>1</v>
      </c>
    </row>
    <row r="649" spans="1:2" x14ac:dyDescent="0.25">
      <c r="A649" s="27"/>
      <c r="B649">
        <v>1</v>
      </c>
    </row>
    <row r="650" spans="1:2" x14ac:dyDescent="0.25">
      <c r="A650" s="26"/>
      <c r="B650">
        <v>1</v>
      </c>
    </row>
    <row r="651" spans="1:2" x14ac:dyDescent="0.25">
      <c r="A651" s="27"/>
      <c r="B651">
        <v>1</v>
      </c>
    </row>
    <row r="652" spans="1:2" x14ac:dyDescent="0.25">
      <c r="A652" s="26"/>
      <c r="B652">
        <v>1</v>
      </c>
    </row>
    <row r="653" spans="1:2" x14ac:dyDescent="0.25">
      <c r="A653" s="27"/>
      <c r="B653">
        <v>1</v>
      </c>
    </row>
    <row r="654" spans="1:2" x14ac:dyDescent="0.25">
      <c r="A654" s="26"/>
      <c r="B654">
        <v>1</v>
      </c>
    </row>
    <row r="655" spans="1:2" x14ac:dyDescent="0.25">
      <c r="A655" s="27"/>
      <c r="B655">
        <v>1</v>
      </c>
    </row>
    <row r="656" spans="1:2" x14ac:dyDescent="0.25">
      <c r="A656" s="26"/>
      <c r="B656">
        <v>1</v>
      </c>
    </row>
    <row r="657" spans="1:2" x14ac:dyDescent="0.25">
      <c r="A657" s="27"/>
      <c r="B657">
        <v>1</v>
      </c>
    </row>
    <row r="658" spans="1:2" x14ac:dyDescent="0.25">
      <c r="A658" s="26"/>
      <c r="B658">
        <v>1</v>
      </c>
    </row>
    <row r="659" spans="1:2" x14ac:dyDescent="0.25">
      <c r="A659" s="27"/>
      <c r="B659">
        <v>1</v>
      </c>
    </row>
    <row r="660" spans="1:2" x14ac:dyDescent="0.25">
      <c r="A660" s="26"/>
      <c r="B660">
        <v>1</v>
      </c>
    </row>
    <row r="661" spans="1:2" x14ac:dyDescent="0.25">
      <c r="A661" s="27"/>
      <c r="B661">
        <v>1</v>
      </c>
    </row>
    <row r="662" spans="1:2" x14ac:dyDescent="0.25">
      <c r="A662" s="26"/>
      <c r="B662">
        <v>1</v>
      </c>
    </row>
    <row r="663" spans="1:2" x14ac:dyDescent="0.25">
      <c r="A663" s="27"/>
      <c r="B663">
        <v>1</v>
      </c>
    </row>
    <row r="664" spans="1:2" x14ac:dyDescent="0.25">
      <c r="A664" s="26"/>
      <c r="B664">
        <v>1</v>
      </c>
    </row>
    <row r="665" spans="1:2" x14ac:dyDescent="0.25">
      <c r="A665" s="27"/>
      <c r="B665">
        <v>1</v>
      </c>
    </row>
    <row r="666" spans="1:2" x14ac:dyDescent="0.25">
      <c r="A666" s="26"/>
      <c r="B666">
        <v>1</v>
      </c>
    </row>
    <row r="667" spans="1:2" x14ac:dyDescent="0.25">
      <c r="A667" s="27"/>
      <c r="B667">
        <v>1</v>
      </c>
    </row>
    <row r="668" spans="1:2" x14ac:dyDescent="0.25">
      <c r="A668" s="26"/>
      <c r="B668">
        <v>1</v>
      </c>
    </row>
    <row r="669" spans="1:2" x14ac:dyDescent="0.25">
      <c r="A669" s="27"/>
      <c r="B669">
        <v>1</v>
      </c>
    </row>
    <row r="670" spans="1:2" x14ac:dyDescent="0.25">
      <c r="A670" s="26"/>
      <c r="B670">
        <v>1</v>
      </c>
    </row>
    <row r="671" spans="1:2" x14ac:dyDescent="0.25">
      <c r="A671" s="27"/>
      <c r="B671">
        <v>1</v>
      </c>
    </row>
    <row r="672" spans="1:2" x14ac:dyDescent="0.25">
      <c r="A672" s="26"/>
      <c r="B672">
        <v>1</v>
      </c>
    </row>
    <row r="673" spans="1:2" x14ac:dyDescent="0.25">
      <c r="A673" s="27"/>
      <c r="B673">
        <v>1</v>
      </c>
    </row>
    <row r="674" spans="1:2" x14ac:dyDescent="0.25">
      <c r="A674" s="26"/>
      <c r="B674">
        <v>1</v>
      </c>
    </row>
    <row r="675" spans="1:2" x14ac:dyDescent="0.25">
      <c r="A675" s="27"/>
      <c r="B675">
        <v>1</v>
      </c>
    </row>
    <row r="676" spans="1:2" x14ac:dyDescent="0.25">
      <c r="A676" s="26"/>
      <c r="B676">
        <v>1</v>
      </c>
    </row>
    <row r="677" spans="1:2" x14ac:dyDescent="0.25">
      <c r="A677" s="27"/>
      <c r="B677">
        <v>1</v>
      </c>
    </row>
    <row r="678" spans="1:2" x14ac:dyDescent="0.25">
      <c r="A678" s="26"/>
      <c r="B678">
        <v>1</v>
      </c>
    </row>
    <row r="679" spans="1:2" x14ac:dyDescent="0.25">
      <c r="A679" s="27"/>
      <c r="B679">
        <v>1</v>
      </c>
    </row>
    <row r="680" spans="1:2" x14ac:dyDescent="0.25">
      <c r="A680" s="26"/>
      <c r="B680">
        <v>1</v>
      </c>
    </row>
    <row r="681" spans="1:2" x14ac:dyDescent="0.25">
      <c r="A681" s="27"/>
      <c r="B681">
        <v>1</v>
      </c>
    </row>
    <row r="682" spans="1:2" x14ac:dyDescent="0.25">
      <c r="A682" s="26"/>
      <c r="B682">
        <v>1</v>
      </c>
    </row>
    <row r="683" spans="1:2" x14ac:dyDescent="0.25">
      <c r="A683" s="27"/>
      <c r="B683">
        <v>1</v>
      </c>
    </row>
    <row r="684" spans="1:2" x14ac:dyDescent="0.25">
      <c r="A684" s="26"/>
      <c r="B684">
        <v>1</v>
      </c>
    </row>
    <row r="685" spans="1:2" x14ac:dyDescent="0.25">
      <c r="A685" s="27"/>
      <c r="B685">
        <v>1</v>
      </c>
    </row>
    <row r="686" spans="1:2" x14ac:dyDescent="0.25">
      <c r="A686" s="26"/>
      <c r="B686">
        <v>1</v>
      </c>
    </row>
    <row r="687" spans="1:2" x14ac:dyDescent="0.25">
      <c r="A687" s="27"/>
      <c r="B687">
        <v>1</v>
      </c>
    </row>
    <row r="688" spans="1:2" x14ac:dyDescent="0.25">
      <c r="A688" s="26"/>
      <c r="B688">
        <v>1</v>
      </c>
    </row>
    <row r="689" spans="1:2" x14ac:dyDescent="0.25">
      <c r="A689" s="27"/>
      <c r="B689">
        <v>1</v>
      </c>
    </row>
    <row r="690" spans="1:2" x14ac:dyDescent="0.25">
      <c r="A690" s="26"/>
      <c r="B690">
        <v>1</v>
      </c>
    </row>
    <row r="691" spans="1:2" x14ac:dyDescent="0.25">
      <c r="A691" s="27"/>
      <c r="B691">
        <v>1</v>
      </c>
    </row>
    <row r="692" spans="1:2" x14ac:dyDescent="0.25">
      <c r="A692" s="26"/>
      <c r="B692">
        <v>1</v>
      </c>
    </row>
    <row r="693" spans="1:2" x14ac:dyDescent="0.25">
      <c r="A693" s="27"/>
      <c r="B693">
        <v>1</v>
      </c>
    </row>
    <row r="694" spans="1:2" x14ac:dyDescent="0.25">
      <c r="A694" s="26"/>
      <c r="B694">
        <v>1</v>
      </c>
    </row>
    <row r="695" spans="1:2" x14ac:dyDescent="0.25">
      <c r="A695" s="27"/>
      <c r="B695">
        <v>1</v>
      </c>
    </row>
    <row r="696" spans="1:2" x14ac:dyDescent="0.25">
      <c r="A696" s="26"/>
      <c r="B696">
        <v>1</v>
      </c>
    </row>
    <row r="697" spans="1:2" x14ac:dyDescent="0.25">
      <c r="A697" s="27"/>
      <c r="B697">
        <v>1</v>
      </c>
    </row>
    <row r="698" spans="1:2" x14ac:dyDescent="0.25">
      <c r="A698" s="26"/>
      <c r="B698">
        <v>1</v>
      </c>
    </row>
    <row r="699" spans="1:2" x14ac:dyDescent="0.25">
      <c r="A699" s="27"/>
      <c r="B699">
        <v>1</v>
      </c>
    </row>
    <row r="700" spans="1:2" x14ac:dyDescent="0.25">
      <c r="A700" s="26"/>
      <c r="B700">
        <v>1</v>
      </c>
    </row>
    <row r="701" spans="1:2" x14ac:dyDescent="0.25">
      <c r="A701" s="27"/>
      <c r="B701">
        <v>1</v>
      </c>
    </row>
    <row r="702" spans="1:2" x14ac:dyDescent="0.25">
      <c r="A702" s="26"/>
      <c r="B702">
        <v>1</v>
      </c>
    </row>
    <row r="703" spans="1:2" x14ac:dyDescent="0.25">
      <c r="A703" s="27"/>
      <c r="B703">
        <v>1</v>
      </c>
    </row>
    <row r="704" spans="1:2" x14ac:dyDescent="0.25">
      <c r="A704" s="26"/>
      <c r="B704">
        <v>1</v>
      </c>
    </row>
    <row r="705" spans="1:2" x14ac:dyDescent="0.25">
      <c r="A705" s="27"/>
      <c r="B705">
        <v>1</v>
      </c>
    </row>
    <row r="706" spans="1:2" x14ac:dyDescent="0.25">
      <c r="A706" s="26"/>
      <c r="B706">
        <v>1</v>
      </c>
    </row>
    <row r="707" spans="1:2" x14ac:dyDescent="0.25">
      <c r="A707" s="27"/>
      <c r="B707">
        <v>1</v>
      </c>
    </row>
    <row r="708" spans="1:2" x14ac:dyDescent="0.25">
      <c r="A708" s="26"/>
      <c r="B708">
        <v>1</v>
      </c>
    </row>
    <row r="709" spans="1:2" x14ac:dyDescent="0.25">
      <c r="A709" s="27"/>
      <c r="B709">
        <v>1</v>
      </c>
    </row>
    <row r="710" spans="1:2" x14ac:dyDescent="0.25">
      <c r="A710" s="26"/>
      <c r="B710">
        <v>1</v>
      </c>
    </row>
    <row r="711" spans="1:2" x14ac:dyDescent="0.25">
      <c r="A711" s="27"/>
      <c r="B711">
        <v>1</v>
      </c>
    </row>
    <row r="712" spans="1:2" x14ac:dyDescent="0.25">
      <c r="A712" s="26"/>
      <c r="B712">
        <v>1</v>
      </c>
    </row>
    <row r="713" spans="1:2" x14ac:dyDescent="0.25">
      <c r="A713" s="27"/>
      <c r="B713">
        <v>1</v>
      </c>
    </row>
    <row r="714" spans="1:2" x14ac:dyDescent="0.25">
      <c r="A714" s="26"/>
      <c r="B714">
        <v>1</v>
      </c>
    </row>
    <row r="715" spans="1:2" x14ac:dyDescent="0.25">
      <c r="A715" s="27"/>
      <c r="B715">
        <v>1</v>
      </c>
    </row>
    <row r="716" spans="1:2" x14ac:dyDescent="0.25">
      <c r="A716" s="26"/>
      <c r="B716">
        <v>1</v>
      </c>
    </row>
    <row r="717" spans="1:2" x14ac:dyDescent="0.25">
      <c r="A717" s="27"/>
      <c r="B717">
        <v>1</v>
      </c>
    </row>
    <row r="718" spans="1:2" x14ac:dyDescent="0.25">
      <c r="A718" s="26"/>
      <c r="B718">
        <v>1</v>
      </c>
    </row>
    <row r="719" spans="1:2" x14ac:dyDescent="0.25">
      <c r="A719" s="27"/>
      <c r="B719">
        <v>1</v>
      </c>
    </row>
    <row r="720" spans="1:2" x14ac:dyDescent="0.25">
      <c r="A720" s="26"/>
      <c r="B720">
        <v>1</v>
      </c>
    </row>
    <row r="721" spans="1:2" x14ac:dyDescent="0.25">
      <c r="A721" s="27"/>
      <c r="B721">
        <v>1</v>
      </c>
    </row>
    <row r="722" spans="1:2" x14ac:dyDescent="0.25">
      <c r="A722" s="26"/>
      <c r="B722">
        <v>1</v>
      </c>
    </row>
    <row r="723" spans="1:2" x14ac:dyDescent="0.25">
      <c r="A723" s="27"/>
      <c r="B723">
        <v>1</v>
      </c>
    </row>
    <row r="724" spans="1:2" x14ac:dyDescent="0.25">
      <c r="A724" s="26"/>
      <c r="B724">
        <v>1</v>
      </c>
    </row>
    <row r="725" spans="1:2" x14ac:dyDescent="0.25">
      <c r="A725" s="27"/>
      <c r="B725">
        <v>1</v>
      </c>
    </row>
    <row r="726" spans="1:2" x14ac:dyDescent="0.25">
      <c r="A726" s="26"/>
      <c r="B726">
        <v>1</v>
      </c>
    </row>
    <row r="727" spans="1:2" x14ac:dyDescent="0.25">
      <c r="A727" s="27"/>
      <c r="B727">
        <v>1</v>
      </c>
    </row>
    <row r="728" spans="1:2" x14ac:dyDescent="0.25">
      <c r="A728" s="26"/>
      <c r="B728">
        <v>1</v>
      </c>
    </row>
    <row r="729" spans="1:2" x14ac:dyDescent="0.25">
      <c r="A729" s="27"/>
      <c r="B729">
        <v>1</v>
      </c>
    </row>
    <row r="730" spans="1:2" x14ac:dyDescent="0.25">
      <c r="A730" s="26"/>
      <c r="B730">
        <v>1</v>
      </c>
    </row>
    <row r="731" spans="1:2" x14ac:dyDescent="0.25">
      <c r="A731" s="27"/>
      <c r="B731">
        <v>1</v>
      </c>
    </row>
    <row r="732" spans="1:2" x14ac:dyDescent="0.25">
      <c r="A732" s="26"/>
      <c r="B732">
        <v>1</v>
      </c>
    </row>
    <row r="733" spans="1:2" x14ac:dyDescent="0.25">
      <c r="A733" s="27"/>
      <c r="B733">
        <v>1</v>
      </c>
    </row>
    <row r="734" spans="1:2" x14ac:dyDescent="0.25">
      <c r="A734" s="26"/>
      <c r="B734">
        <v>1</v>
      </c>
    </row>
    <row r="735" spans="1:2" x14ac:dyDescent="0.25">
      <c r="A735" s="27"/>
      <c r="B735">
        <v>1</v>
      </c>
    </row>
    <row r="736" spans="1:2" x14ac:dyDescent="0.25">
      <c r="A736" s="26"/>
      <c r="B736">
        <v>1</v>
      </c>
    </row>
    <row r="737" spans="1:2" x14ac:dyDescent="0.25">
      <c r="A737" s="27"/>
      <c r="B737">
        <v>1</v>
      </c>
    </row>
    <row r="738" spans="1:2" x14ac:dyDescent="0.25">
      <c r="A738" s="26"/>
      <c r="B738">
        <v>1</v>
      </c>
    </row>
    <row r="739" spans="1:2" x14ac:dyDescent="0.25">
      <c r="A739" s="27"/>
      <c r="B739">
        <v>1</v>
      </c>
    </row>
    <row r="740" spans="1:2" x14ac:dyDescent="0.25">
      <c r="A740" s="26"/>
      <c r="B740">
        <v>1</v>
      </c>
    </row>
    <row r="741" spans="1:2" x14ac:dyDescent="0.25">
      <c r="A741" s="27"/>
      <c r="B741">
        <v>1</v>
      </c>
    </row>
    <row r="742" spans="1:2" x14ac:dyDescent="0.25">
      <c r="A742" s="26"/>
      <c r="B742">
        <v>1</v>
      </c>
    </row>
    <row r="743" spans="1:2" x14ac:dyDescent="0.25">
      <c r="A743" s="27"/>
      <c r="B743">
        <v>1</v>
      </c>
    </row>
    <row r="744" spans="1:2" x14ac:dyDescent="0.25">
      <c r="A744" s="26"/>
      <c r="B744">
        <v>1</v>
      </c>
    </row>
    <row r="745" spans="1:2" x14ac:dyDescent="0.25">
      <c r="A745" s="27"/>
      <c r="B745">
        <v>1</v>
      </c>
    </row>
    <row r="746" spans="1:2" x14ac:dyDescent="0.25">
      <c r="A746" s="26"/>
      <c r="B746">
        <v>1</v>
      </c>
    </row>
    <row r="747" spans="1:2" x14ac:dyDescent="0.25">
      <c r="A747" s="27"/>
      <c r="B747">
        <v>1</v>
      </c>
    </row>
    <row r="748" spans="1:2" x14ac:dyDescent="0.25">
      <c r="A748" s="26"/>
      <c r="B748">
        <v>1</v>
      </c>
    </row>
    <row r="749" spans="1:2" x14ac:dyDescent="0.25">
      <c r="A749" s="27"/>
      <c r="B749">
        <v>1</v>
      </c>
    </row>
    <row r="750" spans="1:2" x14ac:dyDescent="0.25">
      <c r="A750" s="26"/>
      <c r="B750">
        <v>1</v>
      </c>
    </row>
    <row r="751" spans="1:2" x14ac:dyDescent="0.25">
      <c r="A751" s="27"/>
      <c r="B751">
        <v>1</v>
      </c>
    </row>
    <row r="752" spans="1:2" x14ac:dyDescent="0.25">
      <c r="A752" s="26"/>
      <c r="B752">
        <v>1</v>
      </c>
    </row>
    <row r="753" spans="1:2" x14ac:dyDescent="0.25">
      <c r="A753" s="27"/>
      <c r="B753">
        <v>1</v>
      </c>
    </row>
    <row r="754" spans="1:2" x14ac:dyDescent="0.25">
      <c r="A754" s="26"/>
      <c r="B754">
        <v>1</v>
      </c>
    </row>
    <row r="755" spans="1:2" x14ac:dyDescent="0.25">
      <c r="A755" s="27"/>
      <c r="B755">
        <v>1</v>
      </c>
    </row>
    <row r="756" spans="1:2" x14ac:dyDescent="0.25">
      <c r="A756" s="26"/>
      <c r="B756">
        <v>1</v>
      </c>
    </row>
    <row r="757" spans="1:2" x14ac:dyDescent="0.25">
      <c r="A757" s="27"/>
      <c r="B757">
        <v>1</v>
      </c>
    </row>
    <row r="758" spans="1:2" x14ac:dyDescent="0.25">
      <c r="A758" s="26"/>
      <c r="B758">
        <v>1</v>
      </c>
    </row>
    <row r="759" spans="1:2" x14ac:dyDescent="0.25">
      <c r="A759" s="27"/>
      <c r="B759">
        <v>1</v>
      </c>
    </row>
    <row r="760" spans="1:2" x14ac:dyDescent="0.25">
      <c r="A760" s="26"/>
      <c r="B760">
        <v>1</v>
      </c>
    </row>
    <row r="761" spans="1:2" x14ac:dyDescent="0.25">
      <c r="A761" s="27"/>
      <c r="B761">
        <v>1</v>
      </c>
    </row>
    <row r="762" spans="1:2" x14ac:dyDescent="0.25">
      <c r="A762" s="26"/>
      <c r="B762">
        <v>1</v>
      </c>
    </row>
    <row r="763" spans="1:2" x14ac:dyDescent="0.25">
      <c r="A763" s="27"/>
      <c r="B763">
        <v>1</v>
      </c>
    </row>
    <row r="764" spans="1:2" x14ac:dyDescent="0.25">
      <c r="A764" s="26"/>
      <c r="B764">
        <v>1</v>
      </c>
    </row>
    <row r="765" spans="1:2" x14ac:dyDescent="0.25">
      <c r="A765" s="27"/>
      <c r="B765">
        <v>1</v>
      </c>
    </row>
    <row r="766" spans="1:2" x14ac:dyDescent="0.25">
      <c r="A766" s="26"/>
      <c r="B766">
        <v>1</v>
      </c>
    </row>
    <row r="767" spans="1:2" x14ac:dyDescent="0.25">
      <c r="A767" s="27"/>
      <c r="B767">
        <v>1</v>
      </c>
    </row>
    <row r="768" spans="1:2" x14ac:dyDescent="0.25">
      <c r="A768" s="26"/>
      <c r="B768">
        <v>1</v>
      </c>
    </row>
    <row r="769" spans="1:2" x14ac:dyDescent="0.25">
      <c r="A769" s="27"/>
      <c r="B769">
        <v>1</v>
      </c>
    </row>
    <row r="770" spans="1:2" x14ac:dyDescent="0.25">
      <c r="A770" s="26"/>
      <c r="B770">
        <v>1</v>
      </c>
    </row>
    <row r="771" spans="1:2" x14ac:dyDescent="0.25">
      <c r="A771" s="27"/>
      <c r="B771">
        <v>1</v>
      </c>
    </row>
    <row r="772" spans="1:2" x14ac:dyDescent="0.25">
      <c r="A772" s="26"/>
      <c r="B772">
        <v>1</v>
      </c>
    </row>
    <row r="773" spans="1:2" x14ac:dyDescent="0.25">
      <c r="A773" s="27"/>
      <c r="B773">
        <v>1</v>
      </c>
    </row>
    <row r="774" spans="1:2" x14ac:dyDescent="0.25">
      <c r="A774" s="26"/>
      <c r="B774">
        <v>1</v>
      </c>
    </row>
    <row r="775" spans="1:2" x14ac:dyDescent="0.25">
      <c r="A775" s="27"/>
      <c r="B775">
        <v>1</v>
      </c>
    </row>
    <row r="776" spans="1:2" x14ac:dyDescent="0.25">
      <c r="A776" s="26"/>
      <c r="B776">
        <v>1</v>
      </c>
    </row>
    <row r="777" spans="1:2" x14ac:dyDescent="0.25">
      <c r="A777" s="27"/>
      <c r="B777">
        <v>1</v>
      </c>
    </row>
    <row r="778" spans="1:2" x14ac:dyDescent="0.25">
      <c r="A778" s="26"/>
      <c r="B778">
        <v>1</v>
      </c>
    </row>
    <row r="779" spans="1:2" x14ac:dyDescent="0.25">
      <c r="A779" s="27"/>
      <c r="B779">
        <v>1</v>
      </c>
    </row>
    <row r="780" spans="1:2" x14ac:dyDescent="0.25">
      <c r="A780" s="26"/>
      <c r="B780">
        <v>1</v>
      </c>
    </row>
    <row r="781" spans="1:2" x14ac:dyDescent="0.25">
      <c r="A781" s="27"/>
      <c r="B781">
        <v>1</v>
      </c>
    </row>
    <row r="782" spans="1:2" x14ac:dyDescent="0.25">
      <c r="A782" s="26"/>
      <c r="B782">
        <v>1</v>
      </c>
    </row>
    <row r="783" spans="1:2" x14ac:dyDescent="0.25">
      <c r="A783" s="27"/>
      <c r="B783">
        <v>1</v>
      </c>
    </row>
    <row r="784" spans="1:2" x14ac:dyDescent="0.25">
      <c r="A784" s="26"/>
      <c r="B784">
        <v>1</v>
      </c>
    </row>
    <row r="785" spans="1:2" x14ac:dyDescent="0.25">
      <c r="A785" s="27"/>
      <c r="B785">
        <v>1</v>
      </c>
    </row>
    <row r="786" spans="1:2" x14ac:dyDescent="0.25">
      <c r="A786" s="26"/>
      <c r="B786">
        <v>1</v>
      </c>
    </row>
    <row r="787" spans="1:2" x14ac:dyDescent="0.25">
      <c r="A787" s="27"/>
      <c r="B787">
        <v>1</v>
      </c>
    </row>
    <row r="788" spans="1:2" x14ac:dyDescent="0.25">
      <c r="A788" s="26"/>
      <c r="B788">
        <v>1</v>
      </c>
    </row>
    <row r="789" spans="1:2" x14ac:dyDescent="0.25">
      <c r="A789" s="27"/>
      <c r="B789">
        <v>1</v>
      </c>
    </row>
    <row r="790" spans="1:2" x14ac:dyDescent="0.25">
      <c r="A790" s="26"/>
      <c r="B790">
        <v>1</v>
      </c>
    </row>
    <row r="791" spans="1:2" x14ac:dyDescent="0.25">
      <c r="A791" s="27"/>
      <c r="B791">
        <v>1</v>
      </c>
    </row>
    <row r="792" spans="1:2" x14ac:dyDescent="0.25">
      <c r="A792" s="26"/>
      <c r="B792">
        <v>1</v>
      </c>
    </row>
    <row r="793" spans="1:2" x14ac:dyDescent="0.25">
      <c r="A793" s="27"/>
      <c r="B793">
        <v>1</v>
      </c>
    </row>
    <row r="794" spans="1:2" x14ac:dyDescent="0.25">
      <c r="A794" s="26"/>
      <c r="B794">
        <v>1</v>
      </c>
    </row>
    <row r="795" spans="1:2" x14ac:dyDescent="0.25">
      <c r="A795" s="27"/>
      <c r="B795">
        <v>1</v>
      </c>
    </row>
    <row r="796" spans="1:2" x14ac:dyDescent="0.25">
      <c r="A796" s="26"/>
      <c r="B796">
        <v>1</v>
      </c>
    </row>
    <row r="797" spans="1:2" x14ac:dyDescent="0.25">
      <c r="A797" s="27"/>
      <c r="B797">
        <v>1</v>
      </c>
    </row>
    <row r="798" spans="1:2" x14ac:dyDescent="0.25">
      <c r="A798" s="26"/>
      <c r="B798">
        <v>1</v>
      </c>
    </row>
    <row r="799" spans="1:2" x14ac:dyDescent="0.25">
      <c r="A799" s="27"/>
      <c r="B799">
        <v>1</v>
      </c>
    </row>
    <row r="800" spans="1:2" x14ac:dyDescent="0.25">
      <c r="A800" s="26"/>
      <c r="B800">
        <v>1</v>
      </c>
    </row>
    <row r="801" spans="1:2" x14ac:dyDescent="0.25">
      <c r="A801" s="27"/>
      <c r="B801">
        <v>1</v>
      </c>
    </row>
    <row r="802" spans="1:2" x14ac:dyDescent="0.25">
      <c r="A802" s="26"/>
      <c r="B802">
        <v>1</v>
      </c>
    </row>
    <row r="803" spans="1:2" x14ac:dyDescent="0.25">
      <c r="A803" s="27"/>
      <c r="B803">
        <v>1</v>
      </c>
    </row>
    <row r="804" spans="1:2" x14ac:dyDescent="0.25">
      <c r="A804" s="26"/>
      <c r="B804">
        <v>1</v>
      </c>
    </row>
    <row r="805" spans="1:2" x14ac:dyDescent="0.25">
      <c r="A805" s="27"/>
      <c r="B805">
        <v>1</v>
      </c>
    </row>
    <row r="806" spans="1:2" x14ac:dyDescent="0.25">
      <c r="A806" s="26"/>
      <c r="B806">
        <v>1</v>
      </c>
    </row>
    <row r="807" spans="1:2" x14ac:dyDescent="0.25">
      <c r="A807" s="27"/>
      <c r="B807">
        <v>1</v>
      </c>
    </row>
    <row r="808" spans="1:2" x14ac:dyDescent="0.25">
      <c r="A808" s="26"/>
      <c r="B808">
        <v>1</v>
      </c>
    </row>
    <row r="809" spans="1:2" x14ac:dyDescent="0.25">
      <c r="A809" s="27"/>
      <c r="B809">
        <v>1</v>
      </c>
    </row>
    <row r="810" spans="1:2" x14ac:dyDescent="0.25">
      <c r="A810" s="26"/>
      <c r="B810">
        <v>1</v>
      </c>
    </row>
    <row r="811" spans="1:2" x14ac:dyDescent="0.25">
      <c r="A811" s="27"/>
      <c r="B811">
        <v>1</v>
      </c>
    </row>
    <row r="812" spans="1:2" x14ac:dyDescent="0.25">
      <c r="A812" s="26"/>
      <c r="B812">
        <v>1</v>
      </c>
    </row>
    <row r="813" spans="1:2" x14ac:dyDescent="0.25">
      <c r="A813" s="27"/>
      <c r="B813">
        <v>1</v>
      </c>
    </row>
    <row r="814" spans="1:2" x14ac:dyDescent="0.25">
      <c r="A814" s="26"/>
      <c r="B814">
        <v>1</v>
      </c>
    </row>
    <row r="815" spans="1:2" x14ac:dyDescent="0.25">
      <c r="A815" s="27"/>
      <c r="B815">
        <v>1</v>
      </c>
    </row>
    <row r="816" spans="1:2" x14ac:dyDescent="0.25">
      <c r="A816" s="26"/>
      <c r="B816">
        <v>1</v>
      </c>
    </row>
    <row r="817" spans="1:2" x14ac:dyDescent="0.25">
      <c r="A817" s="27"/>
      <c r="B817">
        <v>1</v>
      </c>
    </row>
    <row r="818" spans="1:2" x14ac:dyDescent="0.25">
      <c r="A818" s="26"/>
      <c r="B818">
        <v>1</v>
      </c>
    </row>
    <row r="819" spans="1:2" x14ac:dyDescent="0.25">
      <c r="A819" s="27"/>
      <c r="B819">
        <v>1</v>
      </c>
    </row>
    <row r="820" spans="1:2" x14ac:dyDescent="0.25">
      <c r="A820" s="26"/>
      <c r="B820">
        <v>1</v>
      </c>
    </row>
    <row r="821" spans="1:2" x14ac:dyDescent="0.25">
      <c r="A821" s="27"/>
      <c r="B821">
        <v>1</v>
      </c>
    </row>
    <row r="822" spans="1:2" x14ac:dyDescent="0.25">
      <c r="A822" s="26"/>
      <c r="B822">
        <v>1</v>
      </c>
    </row>
    <row r="823" spans="1:2" x14ac:dyDescent="0.25">
      <c r="A823" s="27"/>
      <c r="B823">
        <v>1</v>
      </c>
    </row>
    <row r="824" spans="1:2" x14ac:dyDescent="0.25">
      <c r="A824" s="26"/>
      <c r="B824">
        <v>1</v>
      </c>
    </row>
    <row r="825" spans="1:2" x14ac:dyDescent="0.25">
      <c r="A825" s="27"/>
      <c r="B825">
        <v>1</v>
      </c>
    </row>
    <row r="826" spans="1:2" x14ac:dyDescent="0.25">
      <c r="A826" s="26"/>
      <c r="B826">
        <v>1</v>
      </c>
    </row>
    <row r="827" spans="1:2" x14ac:dyDescent="0.25">
      <c r="A827" s="27"/>
      <c r="B827">
        <v>1</v>
      </c>
    </row>
    <row r="828" spans="1:2" x14ac:dyDescent="0.25">
      <c r="A828" s="26"/>
      <c r="B828">
        <v>1</v>
      </c>
    </row>
    <row r="829" spans="1:2" x14ac:dyDescent="0.25">
      <c r="A829" s="27"/>
      <c r="B829">
        <v>1</v>
      </c>
    </row>
    <row r="830" spans="1:2" x14ac:dyDescent="0.25">
      <c r="A830" s="26"/>
      <c r="B830">
        <v>1</v>
      </c>
    </row>
    <row r="831" spans="1:2" x14ac:dyDescent="0.25">
      <c r="A831" s="27"/>
      <c r="B831">
        <v>1</v>
      </c>
    </row>
    <row r="832" spans="1:2" x14ac:dyDescent="0.25">
      <c r="A832" s="26"/>
      <c r="B832">
        <v>1</v>
      </c>
    </row>
    <row r="833" spans="1:2" x14ac:dyDescent="0.25">
      <c r="A833" s="27"/>
      <c r="B833">
        <v>1</v>
      </c>
    </row>
    <row r="834" spans="1:2" x14ac:dyDescent="0.25">
      <c r="A834" s="26"/>
      <c r="B834">
        <v>1</v>
      </c>
    </row>
    <row r="835" spans="1:2" x14ac:dyDescent="0.25">
      <c r="A835" s="27"/>
      <c r="B835">
        <v>1</v>
      </c>
    </row>
    <row r="836" spans="1:2" x14ac:dyDescent="0.25">
      <c r="A836" s="26"/>
      <c r="B836">
        <v>1</v>
      </c>
    </row>
    <row r="837" spans="1:2" x14ac:dyDescent="0.25">
      <c r="A837" s="27"/>
      <c r="B837">
        <v>1</v>
      </c>
    </row>
    <row r="838" spans="1:2" x14ac:dyDescent="0.25">
      <c r="A838" s="26"/>
      <c r="B838">
        <v>1</v>
      </c>
    </row>
    <row r="839" spans="1:2" x14ac:dyDescent="0.25">
      <c r="A839" s="27"/>
      <c r="B839">
        <v>1</v>
      </c>
    </row>
    <row r="840" spans="1:2" x14ac:dyDescent="0.25">
      <c r="A840" s="26"/>
      <c r="B840">
        <v>1</v>
      </c>
    </row>
    <row r="841" spans="1:2" x14ac:dyDescent="0.25">
      <c r="A841" s="27"/>
      <c r="B841">
        <v>1</v>
      </c>
    </row>
    <row r="842" spans="1:2" x14ac:dyDescent="0.25">
      <c r="A842" s="26"/>
      <c r="B842">
        <v>1</v>
      </c>
    </row>
    <row r="843" spans="1:2" x14ac:dyDescent="0.25">
      <c r="A843" s="27"/>
      <c r="B843">
        <v>1</v>
      </c>
    </row>
    <row r="844" spans="1:2" x14ac:dyDescent="0.25">
      <c r="A844" s="26"/>
      <c r="B844">
        <v>1</v>
      </c>
    </row>
    <row r="845" spans="1:2" x14ac:dyDescent="0.25">
      <c r="A845" s="27"/>
      <c r="B845">
        <v>1</v>
      </c>
    </row>
    <row r="846" spans="1:2" x14ac:dyDescent="0.25">
      <c r="A846" s="26"/>
      <c r="B846">
        <v>1</v>
      </c>
    </row>
    <row r="847" spans="1:2" x14ac:dyDescent="0.25">
      <c r="A847" s="27"/>
      <c r="B847">
        <v>1</v>
      </c>
    </row>
    <row r="848" spans="1:2" x14ac:dyDescent="0.25">
      <c r="A848" s="26"/>
      <c r="B848">
        <v>1</v>
      </c>
    </row>
    <row r="849" spans="1:2" x14ac:dyDescent="0.25">
      <c r="A849" s="27"/>
      <c r="B849">
        <v>1</v>
      </c>
    </row>
    <row r="850" spans="1:2" x14ac:dyDescent="0.25">
      <c r="A850" s="26"/>
      <c r="B850">
        <v>1</v>
      </c>
    </row>
    <row r="851" spans="1:2" x14ac:dyDescent="0.25">
      <c r="A851" s="27"/>
      <c r="B851">
        <v>1</v>
      </c>
    </row>
    <row r="852" spans="1:2" x14ac:dyDescent="0.25">
      <c r="A852" s="26"/>
      <c r="B852">
        <v>1</v>
      </c>
    </row>
    <row r="853" spans="1:2" x14ac:dyDescent="0.25">
      <c r="A853" s="27"/>
      <c r="B853">
        <v>1</v>
      </c>
    </row>
    <row r="854" spans="1:2" x14ac:dyDescent="0.25">
      <c r="A854" s="26"/>
      <c r="B854">
        <v>1</v>
      </c>
    </row>
    <row r="855" spans="1:2" x14ac:dyDescent="0.25">
      <c r="A855" s="27"/>
      <c r="B855">
        <v>1</v>
      </c>
    </row>
    <row r="856" spans="1:2" x14ac:dyDescent="0.25">
      <c r="A856" s="26"/>
      <c r="B856">
        <v>1</v>
      </c>
    </row>
    <row r="857" spans="1:2" x14ac:dyDescent="0.25">
      <c r="A857" s="27"/>
      <c r="B857">
        <v>1</v>
      </c>
    </row>
    <row r="858" spans="1:2" x14ac:dyDescent="0.25">
      <c r="A858" s="26"/>
      <c r="B858">
        <v>1</v>
      </c>
    </row>
    <row r="859" spans="1:2" x14ac:dyDescent="0.25">
      <c r="A859" s="27"/>
      <c r="B859">
        <v>1</v>
      </c>
    </row>
    <row r="860" spans="1:2" x14ac:dyDescent="0.25">
      <c r="A860" s="26"/>
      <c r="B860">
        <v>1</v>
      </c>
    </row>
    <row r="861" spans="1:2" x14ac:dyDescent="0.25">
      <c r="A861" s="27"/>
      <c r="B861">
        <v>1</v>
      </c>
    </row>
    <row r="862" spans="1:2" x14ac:dyDescent="0.25">
      <c r="A862" s="26"/>
      <c r="B862">
        <v>1</v>
      </c>
    </row>
    <row r="863" spans="1:2" x14ac:dyDescent="0.25">
      <c r="A863" s="27"/>
      <c r="B863">
        <v>1</v>
      </c>
    </row>
    <row r="864" spans="1:2" x14ac:dyDescent="0.25">
      <c r="A864" s="26"/>
      <c r="B864">
        <v>1</v>
      </c>
    </row>
    <row r="865" spans="1:2" x14ac:dyDescent="0.25">
      <c r="A865" s="27"/>
      <c r="B865">
        <v>1</v>
      </c>
    </row>
    <row r="866" spans="1:2" x14ac:dyDescent="0.25">
      <c r="A866" s="26"/>
      <c r="B866">
        <v>1</v>
      </c>
    </row>
    <row r="867" spans="1:2" x14ac:dyDescent="0.25">
      <c r="A867" s="27"/>
      <c r="B867">
        <v>1</v>
      </c>
    </row>
    <row r="868" spans="1:2" x14ac:dyDescent="0.25">
      <c r="A868" s="26"/>
      <c r="B868">
        <v>1</v>
      </c>
    </row>
    <row r="869" spans="1:2" x14ac:dyDescent="0.25">
      <c r="A869" s="27"/>
      <c r="B869">
        <v>1</v>
      </c>
    </row>
    <row r="870" spans="1:2" x14ac:dyDescent="0.25">
      <c r="A870" s="26"/>
      <c r="B870">
        <v>1</v>
      </c>
    </row>
    <row r="871" spans="1:2" x14ac:dyDescent="0.25">
      <c r="A871" s="27"/>
      <c r="B871">
        <v>1</v>
      </c>
    </row>
    <row r="872" spans="1:2" x14ac:dyDescent="0.25">
      <c r="A872" s="26"/>
      <c r="B872">
        <v>1</v>
      </c>
    </row>
    <row r="873" spans="1:2" x14ac:dyDescent="0.25">
      <c r="A873" s="27"/>
      <c r="B873">
        <v>1</v>
      </c>
    </row>
    <row r="874" spans="1:2" x14ac:dyDescent="0.25">
      <c r="A874" s="26"/>
      <c r="B874">
        <v>1</v>
      </c>
    </row>
    <row r="875" spans="1:2" x14ac:dyDescent="0.25">
      <c r="A875" s="27"/>
      <c r="B875">
        <v>1</v>
      </c>
    </row>
    <row r="876" spans="1:2" x14ac:dyDescent="0.25">
      <c r="A876" s="26"/>
      <c r="B876">
        <v>1</v>
      </c>
    </row>
    <row r="877" spans="1:2" x14ac:dyDescent="0.25">
      <c r="A877" s="27"/>
      <c r="B877">
        <v>1</v>
      </c>
    </row>
    <row r="878" spans="1:2" x14ac:dyDescent="0.25">
      <c r="A878" s="26"/>
      <c r="B878">
        <v>1</v>
      </c>
    </row>
    <row r="879" spans="1:2" x14ac:dyDescent="0.25">
      <c r="A879" s="27"/>
      <c r="B879">
        <v>1</v>
      </c>
    </row>
    <row r="880" spans="1:2" x14ac:dyDescent="0.25">
      <c r="A880" s="26"/>
      <c r="B880">
        <v>1</v>
      </c>
    </row>
    <row r="881" spans="1:2" x14ac:dyDescent="0.25">
      <c r="A881" s="27"/>
      <c r="B881">
        <v>1</v>
      </c>
    </row>
    <row r="882" spans="1:2" x14ac:dyDescent="0.25">
      <c r="A882" s="26"/>
      <c r="B882">
        <v>1</v>
      </c>
    </row>
    <row r="883" spans="1:2" x14ac:dyDescent="0.25">
      <c r="A883" s="27"/>
      <c r="B883">
        <v>1</v>
      </c>
    </row>
    <row r="884" spans="1:2" x14ac:dyDescent="0.25">
      <c r="A884" s="26"/>
      <c r="B884">
        <v>1</v>
      </c>
    </row>
    <row r="885" spans="1:2" x14ac:dyDescent="0.25">
      <c r="A885" s="27"/>
      <c r="B885">
        <v>1</v>
      </c>
    </row>
    <row r="886" spans="1:2" x14ac:dyDescent="0.25">
      <c r="A886" s="26"/>
      <c r="B886">
        <v>1</v>
      </c>
    </row>
    <row r="887" spans="1:2" x14ac:dyDescent="0.25">
      <c r="A887" s="27"/>
      <c r="B887">
        <v>1</v>
      </c>
    </row>
    <row r="888" spans="1:2" x14ac:dyDescent="0.25">
      <c r="A888" s="26"/>
      <c r="B888">
        <v>1</v>
      </c>
    </row>
    <row r="889" spans="1:2" x14ac:dyDescent="0.25">
      <c r="A889" s="27"/>
      <c r="B889">
        <v>1</v>
      </c>
    </row>
    <row r="890" spans="1:2" x14ac:dyDescent="0.25">
      <c r="A890" s="26"/>
      <c r="B890">
        <v>1</v>
      </c>
    </row>
    <row r="891" spans="1:2" x14ac:dyDescent="0.25">
      <c r="A891" s="27"/>
      <c r="B891">
        <v>1</v>
      </c>
    </row>
    <row r="892" spans="1:2" x14ac:dyDescent="0.25">
      <c r="A892" s="26"/>
      <c r="B892">
        <v>1</v>
      </c>
    </row>
    <row r="893" spans="1:2" x14ac:dyDescent="0.25">
      <c r="A893" s="27"/>
      <c r="B893">
        <v>1</v>
      </c>
    </row>
    <row r="894" spans="1:2" x14ac:dyDescent="0.25">
      <c r="A894" s="26"/>
      <c r="B894">
        <v>1</v>
      </c>
    </row>
    <row r="895" spans="1:2" x14ac:dyDescent="0.25">
      <c r="A895" s="27"/>
      <c r="B895">
        <v>1</v>
      </c>
    </row>
    <row r="896" spans="1:2" x14ac:dyDescent="0.25">
      <c r="A896" s="26"/>
      <c r="B896">
        <v>1</v>
      </c>
    </row>
    <row r="897" spans="1:2" x14ac:dyDescent="0.25">
      <c r="A897" s="27"/>
      <c r="B897">
        <v>1</v>
      </c>
    </row>
    <row r="898" spans="1:2" x14ac:dyDescent="0.25">
      <c r="A898" s="26"/>
      <c r="B898">
        <v>1</v>
      </c>
    </row>
    <row r="899" spans="1:2" x14ac:dyDescent="0.25">
      <c r="A899" s="27"/>
      <c r="B899">
        <v>1</v>
      </c>
    </row>
    <row r="900" spans="1:2" x14ac:dyDescent="0.25">
      <c r="A900" s="26"/>
      <c r="B900">
        <v>1</v>
      </c>
    </row>
    <row r="901" spans="1:2" x14ac:dyDescent="0.25">
      <c r="A901" s="27"/>
      <c r="B901">
        <v>1</v>
      </c>
    </row>
    <row r="902" spans="1:2" x14ac:dyDescent="0.25">
      <c r="A902" s="26"/>
      <c r="B902">
        <v>1</v>
      </c>
    </row>
    <row r="903" spans="1:2" x14ac:dyDescent="0.25">
      <c r="A903" s="27"/>
      <c r="B903">
        <v>1</v>
      </c>
    </row>
    <row r="904" spans="1:2" x14ac:dyDescent="0.25">
      <c r="A904" s="26"/>
      <c r="B904">
        <v>1</v>
      </c>
    </row>
    <row r="905" spans="1:2" x14ac:dyDescent="0.25">
      <c r="A905" s="27"/>
      <c r="B905">
        <v>1</v>
      </c>
    </row>
    <row r="906" spans="1:2" x14ac:dyDescent="0.25">
      <c r="A906" s="26"/>
      <c r="B906">
        <v>1</v>
      </c>
    </row>
    <row r="907" spans="1:2" x14ac:dyDescent="0.25">
      <c r="A907" s="27"/>
      <c r="B907">
        <v>1</v>
      </c>
    </row>
    <row r="908" spans="1:2" x14ac:dyDescent="0.25">
      <c r="A908" s="26"/>
      <c r="B908">
        <v>1</v>
      </c>
    </row>
    <row r="909" spans="1:2" x14ac:dyDescent="0.25">
      <c r="A909" s="27"/>
      <c r="B909">
        <v>1</v>
      </c>
    </row>
    <row r="910" spans="1:2" x14ac:dyDescent="0.25">
      <c r="A910" s="26"/>
      <c r="B910">
        <v>1</v>
      </c>
    </row>
    <row r="911" spans="1:2" x14ac:dyDescent="0.25">
      <c r="A911" s="27"/>
      <c r="B911">
        <v>1</v>
      </c>
    </row>
    <row r="912" spans="1:2" x14ac:dyDescent="0.25">
      <c r="A912" s="26"/>
      <c r="B912">
        <v>1</v>
      </c>
    </row>
    <row r="913" spans="1:2" x14ac:dyDescent="0.25">
      <c r="A913" s="27"/>
      <c r="B913">
        <v>1</v>
      </c>
    </row>
    <row r="914" spans="1:2" x14ac:dyDescent="0.25">
      <c r="A914" s="26"/>
      <c r="B914">
        <v>1</v>
      </c>
    </row>
    <row r="915" spans="1:2" x14ac:dyDescent="0.25">
      <c r="A915" s="27"/>
      <c r="B915">
        <v>1</v>
      </c>
    </row>
    <row r="916" spans="1:2" x14ac:dyDescent="0.25">
      <c r="A916" s="26"/>
      <c r="B916">
        <v>1</v>
      </c>
    </row>
    <row r="917" spans="1:2" x14ac:dyDescent="0.25">
      <c r="A917" s="27"/>
      <c r="B917">
        <v>1</v>
      </c>
    </row>
    <row r="918" spans="1:2" x14ac:dyDescent="0.25">
      <c r="A918" s="26"/>
      <c r="B918">
        <v>1</v>
      </c>
    </row>
    <row r="919" spans="1:2" x14ac:dyDescent="0.25">
      <c r="A919" s="27"/>
      <c r="B919">
        <v>1</v>
      </c>
    </row>
    <row r="920" spans="1:2" x14ac:dyDescent="0.25">
      <c r="A920" s="26"/>
      <c r="B920">
        <v>1</v>
      </c>
    </row>
    <row r="921" spans="1:2" x14ac:dyDescent="0.25">
      <c r="A921" s="27"/>
      <c r="B921">
        <v>1</v>
      </c>
    </row>
    <row r="922" spans="1:2" x14ac:dyDescent="0.25">
      <c r="A922" s="26"/>
      <c r="B922">
        <v>1</v>
      </c>
    </row>
    <row r="923" spans="1:2" x14ac:dyDescent="0.25">
      <c r="A923" s="27"/>
      <c r="B923">
        <v>1</v>
      </c>
    </row>
    <row r="924" spans="1:2" x14ac:dyDescent="0.25">
      <c r="A924" s="26"/>
      <c r="B924">
        <v>1</v>
      </c>
    </row>
    <row r="925" spans="1:2" x14ac:dyDescent="0.25">
      <c r="A925" s="27"/>
      <c r="B925">
        <v>1</v>
      </c>
    </row>
    <row r="926" spans="1:2" x14ac:dyDescent="0.25">
      <c r="A926" s="26"/>
      <c r="B926">
        <v>1</v>
      </c>
    </row>
    <row r="927" spans="1:2" x14ac:dyDescent="0.25">
      <c r="A927" s="27"/>
      <c r="B927">
        <v>1</v>
      </c>
    </row>
    <row r="928" spans="1:2" x14ac:dyDescent="0.25">
      <c r="A928" s="26"/>
      <c r="B928">
        <v>1</v>
      </c>
    </row>
    <row r="929" spans="1:2" x14ac:dyDescent="0.25">
      <c r="A929" s="27"/>
      <c r="B929">
        <v>1</v>
      </c>
    </row>
    <row r="930" spans="1:2" x14ac:dyDescent="0.25">
      <c r="A930" s="26"/>
      <c r="B930">
        <v>1</v>
      </c>
    </row>
    <row r="931" spans="1:2" x14ac:dyDescent="0.25">
      <c r="A931" s="27"/>
      <c r="B931">
        <v>1</v>
      </c>
    </row>
    <row r="932" spans="1:2" x14ac:dyDescent="0.25">
      <c r="A932" s="26"/>
      <c r="B932">
        <v>1</v>
      </c>
    </row>
    <row r="933" spans="1:2" x14ac:dyDescent="0.25">
      <c r="A933" s="27"/>
      <c r="B933">
        <v>1</v>
      </c>
    </row>
    <row r="934" spans="1:2" x14ac:dyDescent="0.25">
      <c r="A934" s="26"/>
      <c r="B934">
        <v>1</v>
      </c>
    </row>
    <row r="935" spans="1:2" x14ac:dyDescent="0.25">
      <c r="A935" s="27"/>
      <c r="B935">
        <v>1</v>
      </c>
    </row>
    <row r="936" spans="1:2" x14ac:dyDescent="0.25">
      <c r="A936" s="26"/>
      <c r="B936">
        <v>1</v>
      </c>
    </row>
    <row r="937" spans="1:2" x14ac:dyDescent="0.25">
      <c r="A937" s="27"/>
      <c r="B937">
        <v>1</v>
      </c>
    </row>
    <row r="938" spans="1:2" x14ac:dyDescent="0.25">
      <c r="A938" s="26"/>
      <c r="B938">
        <v>1</v>
      </c>
    </row>
    <row r="939" spans="1:2" x14ac:dyDescent="0.25">
      <c r="A939" s="27"/>
      <c r="B939">
        <v>1</v>
      </c>
    </row>
    <row r="940" spans="1:2" x14ac:dyDescent="0.25">
      <c r="A940" s="26"/>
      <c r="B940">
        <v>1</v>
      </c>
    </row>
    <row r="941" spans="1:2" x14ac:dyDescent="0.25">
      <c r="A941" s="27"/>
      <c r="B941">
        <v>1</v>
      </c>
    </row>
    <row r="942" spans="1:2" x14ac:dyDescent="0.25">
      <c r="A942" s="26"/>
      <c r="B942">
        <v>1</v>
      </c>
    </row>
    <row r="943" spans="1:2" x14ac:dyDescent="0.25">
      <c r="A943" s="27"/>
      <c r="B943">
        <v>1</v>
      </c>
    </row>
    <row r="944" spans="1:2" x14ac:dyDescent="0.25">
      <c r="A944" s="26"/>
      <c r="B944">
        <v>1</v>
      </c>
    </row>
    <row r="945" spans="1:2" x14ac:dyDescent="0.25">
      <c r="A945" s="27"/>
      <c r="B945">
        <v>1</v>
      </c>
    </row>
    <row r="946" spans="1:2" x14ac:dyDescent="0.25">
      <c r="A946" s="26"/>
      <c r="B946">
        <v>1</v>
      </c>
    </row>
    <row r="947" spans="1:2" x14ac:dyDescent="0.25">
      <c r="A947" s="27"/>
      <c r="B947">
        <v>1</v>
      </c>
    </row>
    <row r="948" spans="1:2" x14ac:dyDescent="0.25">
      <c r="A948" s="26"/>
      <c r="B948">
        <v>1</v>
      </c>
    </row>
    <row r="949" spans="1:2" x14ac:dyDescent="0.25">
      <c r="A949" s="27"/>
      <c r="B949">
        <v>1</v>
      </c>
    </row>
    <row r="950" spans="1:2" x14ac:dyDescent="0.25">
      <c r="A950" s="26"/>
      <c r="B950">
        <v>1</v>
      </c>
    </row>
    <row r="951" spans="1:2" x14ac:dyDescent="0.25">
      <c r="A951" s="27"/>
      <c r="B951">
        <v>1</v>
      </c>
    </row>
    <row r="952" spans="1:2" x14ac:dyDescent="0.25">
      <c r="A952" s="26"/>
      <c r="B952">
        <v>1</v>
      </c>
    </row>
    <row r="953" spans="1:2" x14ac:dyDescent="0.25">
      <c r="A953" s="27"/>
      <c r="B953">
        <v>1</v>
      </c>
    </row>
    <row r="954" spans="1:2" x14ac:dyDescent="0.25">
      <c r="A954" s="26"/>
      <c r="B954">
        <v>1</v>
      </c>
    </row>
    <row r="955" spans="1:2" x14ac:dyDescent="0.25">
      <c r="A955" s="27"/>
      <c r="B955">
        <v>1</v>
      </c>
    </row>
    <row r="956" spans="1:2" x14ac:dyDescent="0.25">
      <c r="A956" s="26"/>
      <c r="B956">
        <v>1</v>
      </c>
    </row>
    <row r="957" spans="1:2" x14ac:dyDescent="0.25">
      <c r="A957" s="27"/>
      <c r="B957">
        <v>1</v>
      </c>
    </row>
    <row r="958" spans="1:2" x14ac:dyDescent="0.25">
      <c r="A958" s="26"/>
      <c r="B958">
        <v>1</v>
      </c>
    </row>
    <row r="959" spans="1:2" x14ac:dyDescent="0.25">
      <c r="A959" s="27"/>
      <c r="B959">
        <v>1</v>
      </c>
    </row>
    <row r="960" spans="1:2" x14ac:dyDescent="0.25">
      <c r="A960" s="26"/>
      <c r="B960">
        <v>1</v>
      </c>
    </row>
    <row r="961" spans="1:2" x14ac:dyDescent="0.25">
      <c r="A961" s="27"/>
      <c r="B961">
        <v>1</v>
      </c>
    </row>
    <row r="962" spans="1:2" x14ac:dyDescent="0.25">
      <c r="A962" s="26"/>
      <c r="B962">
        <v>1</v>
      </c>
    </row>
    <row r="963" spans="1:2" x14ac:dyDescent="0.25">
      <c r="A963" s="27"/>
      <c r="B963">
        <v>1</v>
      </c>
    </row>
    <row r="964" spans="1:2" x14ac:dyDescent="0.25">
      <c r="A964" s="26"/>
      <c r="B964">
        <v>1</v>
      </c>
    </row>
    <row r="965" spans="1:2" x14ac:dyDescent="0.25">
      <c r="A965" s="27"/>
      <c r="B965">
        <v>1</v>
      </c>
    </row>
    <row r="966" spans="1:2" x14ac:dyDescent="0.25">
      <c r="A966" s="26"/>
      <c r="B966">
        <v>1</v>
      </c>
    </row>
    <row r="967" spans="1:2" x14ac:dyDescent="0.25">
      <c r="A967" s="27"/>
      <c r="B967">
        <v>1</v>
      </c>
    </row>
    <row r="968" spans="1:2" x14ac:dyDescent="0.25">
      <c r="A968" s="26"/>
      <c r="B968">
        <v>1</v>
      </c>
    </row>
    <row r="969" spans="1:2" x14ac:dyDescent="0.25">
      <c r="A969" s="27"/>
      <c r="B969">
        <v>1</v>
      </c>
    </row>
    <row r="970" spans="1:2" x14ac:dyDescent="0.25">
      <c r="A970" s="26"/>
      <c r="B970">
        <v>1</v>
      </c>
    </row>
    <row r="971" spans="1:2" x14ac:dyDescent="0.25">
      <c r="A971" s="27"/>
      <c r="B971">
        <v>1</v>
      </c>
    </row>
    <row r="972" spans="1:2" x14ac:dyDescent="0.25">
      <c r="A972" s="26"/>
      <c r="B972">
        <v>1</v>
      </c>
    </row>
    <row r="973" spans="1:2" x14ac:dyDescent="0.25">
      <c r="A973" s="27"/>
      <c r="B973">
        <v>1</v>
      </c>
    </row>
    <row r="974" spans="1:2" x14ac:dyDescent="0.25">
      <c r="A974" s="26"/>
      <c r="B974">
        <v>1</v>
      </c>
    </row>
    <row r="975" spans="1:2" x14ac:dyDescent="0.25">
      <c r="A975" s="27"/>
      <c r="B975">
        <v>1</v>
      </c>
    </row>
    <row r="976" spans="1:2" x14ac:dyDescent="0.25">
      <c r="A976" s="26"/>
      <c r="B976">
        <v>1</v>
      </c>
    </row>
    <row r="977" spans="1:2" x14ac:dyDescent="0.25">
      <c r="A977" s="27"/>
      <c r="B977">
        <v>1</v>
      </c>
    </row>
    <row r="978" spans="1:2" x14ac:dyDescent="0.25">
      <c r="A978" s="26"/>
      <c r="B978">
        <v>1</v>
      </c>
    </row>
    <row r="979" spans="1:2" x14ac:dyDescent="0.25">
      <c r="A979" s="27"/>
      <c r="B979">
        <v>1</v>
      </c>
    </row>
    <row r="980" spans="1:2" x14ac:dyDescent="0.25">
      <c r="A980" s="26"/>
      <c r="B980">
        <v>1</v>
      </c>
    </row>
    <row r="981" spans="1:2" x14ac:dyDescent="0.25">
      <c r="A981" s="27"/>
      <c r="B981">
        <v>1</v>
      </c>
    </row>
    <row r="982" spans="1:2" x14ac:dyDescent="0.25">
      <c r="A982" s="26"/>
      <c r="B982">
        <v>1</v>
      </c>
    </row>
    <row r="983" spans="1:2" x14ac:dyDescent="0.25">
      <c r="A983" s="27"/>
      <c r="B983">
        <v>1</v>
      </c>
    </row>
    <row r="984" spans="1:2" x14ac:dyDescent="0.25">
      <c r="A984" s="26"/>
      <c r="B984">
        <v>1</v>
      </c>
    </row>
    <row r="985" spans="1:2" x14ac:dyDescent="0.25">
      <c r="A985" s="27"/>
      <c r="B985">
        <v>1</v>
      </c>
    </row>
    <row r="986" spans="1:2" x14ac:dyDescent="0.25">
      <c r="A986" s="26"/>
      <c r="B986">
        <v>1</v>
      </c>
    </row>
    <row r="987" spans="1:2" x14ac:dyDescent="0.25">
      <c r="A987" s="27"/>
      <c r="B987">
        <v>1</v>
      </c>
    </row>
    <row r="988" spans="1:2" x14ac:dyDescent="0.25">
      <c r="A988" s="26"/>
      <c r="B988">
        <v>1</v>
      </c>
    </row>
    <row r="989" spans="1:2" x14ac:dyDescent="0.25">
      <c r="A989" s="27"/>
      <c r="B989">
        <v>1</v>
      </c>
    </row>
    <row r="990" spans="1:2" x14ac:dyDescent="0.25">
      <c r="A990" s="26"/>
      <c r="B990">
        <v>1</v>
      </c>
    </row>
    <row r="991" spans="1:2" x14ac:dyDescent="0.25">
      <c r="A991" s="27"/>
      <c r="B991">
        <v>1</v>
      </c>
    </row>
    <row r="992" spans="1:2" x14ac:dyDescent="0.25">
      <c r="A992" s="26"/>
      <c r="B992">
        <v>1</v>
      </c>
    </row>
    <row r="993" spans="1:2" x14ac:dyDescent="0.25">
      <c r="A993" s="27"/>
      <c r="B993">
        <v>1</v>
      </c>
    </row>
    <row r="994" spans="1:2" x14ac:dyDescent="0.25">
      <c r="A994" s="26"/>
      <c r="B994">
        <v>1</v>
      </c>
    </row>
    <row r="995" spans="1:2" x14ac:dyDescent="0.25">
      <c r="A995" s="27"/>
      <c r="B995">
        <v>1</v>
      </c>
    </row>
    <row r="996" spans="1:2" x14ac:dyDescent="0.25">
      <c r="A996" s="26"/>
      <c r="B996">
        <v>1</v>
      </c>
    </row>
    <row r="997" spans="1:2" x14ac:dyDescent="0.25">
      <c r="A997" s="27"/>
      <c r="B997">
        <v>1</v>
      </c>
    </row>
    <row r="998" spans="1:2" x14ac:dyDescent="0.25">
      <c r="A998" s="26"/>
      <c r="B998">
        <v>1</v>
      </c>
    </row>
    <row r="999" spans="1:2" x14ac:dyDescent="0.25">
      <c r="A999" s="27"/>
      <c r="B999">
        <v>1</v>
      </c>
    </row>
    <row r="1000" spans="1:2" x14ac:dyDescent="0.25">
      <c r="A1000" s="26"/>
      <c r="B1000">
        <v>1</v>
      </c>
    </row>
    <row r="1001" spans="1:2" x14ac:dyDescent="0.25">
      <c r="A1001" s="27"/>
      <c r="B1001">
        <v>1</v>
      </c>
    </row>
    <row r="1002" spans="1:2" x14ac:dyDescent="0.25">
      <c r="A1002" s="26"/>
      <c r="B1002">
        <v>1</v>
      </c>
    </row>
    <row r="1003" spans="1:2" x14ac:dyDescent="0.25">
      <c r="A1003" s="27"/>
      <c r="B1003">
        <v>1</v>
      </c>
    </row>
    <row r="1004" spans="1:2" x14ac:dyDescent="0.25">
      <c r="A1004" s="26"/>
      <c r="B1004">
        <v>1</v>
      </c>
    </row>
    <row r="1005" spans="1:2" x14ac:dyDescent="0.25">
      <c r="A1005" s="27"/>
      <c r="B1005">
        <v>1</v>
      </c>
    </row>
    <row r="1006" spans="1:2" x14ac:dyDescent="0.25">
      <c r="A1006" s="26"/>
      <c r="B1006">
        <v>1</v>
      </c>
    </row>
    <row r="1007" spans="1:2" x14ac:dyDescent="0.25">
      <c r="A1007" s="27"/>
      <c r="B1007">
        <v>1</v>
      </c>
    </row>
    <row r="1008" spans="1:2" x14ac:dyDescent="0.25">
      <c r="A1008" s="26"/>
      <c r="B1008">
        <v>1</v>
      </c>
    </row>
    <row r="1009" spans="1:2" x14ac:dyDescent="0.25">
      <c r="A1009" s="27"/>
      <c r="B1009">
        <v>1</v>
      </c>
    </row>
    <row r="1010" spans="1:2" x14ac:dyDescent="0.25">
      <c r="A1010" s="26"/>
      <c r="B1010">
        <v>1</v>
      </c>
    </row>
    <row r="1011" spans="1:2" x14ac:dyDescent="0.25">
      <c r="A1011" s="27"/>
      <c r="B1011">
        <v>1</v>
      </c>
    </row>
    <row r="1012" spans="1:2" x14ac:dyDescent="0.25">
      <c r="A1012" s="26"/>
      <c r="B1012">
        <v>1</v>
      </c>
    </row>
    <row r="1013" spans="1:2" x14ac:dyDescent="0.25">
      <c r="A1013" s="27"/>
      <c r="B1013">
        <v>1</v>
      </c>
    </row>
    <row r="1014" spans="1:2" x14ac:dyDescent="0.25">
      <c r="A1014" s="26"/>
      <c r="B1014">
        <v>1</v>
      </c>
    </row>
    <row r="1015" spans="1:2" x14ac:dyDescent="0.25">
      <c r="A1015" s="27"/>
      <c r="B1015">
        <v>1</v>
      </c>
    </row>
    <row r="1016" spans="1:2" x14ac:dyDescent="0.25">
      <c r="A1016" s="26"/>
      <c r="B1016">
        <v>1</v>
      </c>
    </row>
    <row r="1017" spans="1:2" x14ac:dyDescent="0.25">
      <c r="A1017" s="27"/>
      <c r="B1017">
        <v>1</v>
      </c>
    </row>
    <row r="1018" spans="1:2" x14ac:dyDescent="0.25">
      <c r="A1018" s="26"/>
      <c r="B1018">
        <v>1</v>
      </c>
    </row>
    <row r="1019" spans="1:2" x14ac:dyDescent="0.25">
      <c r="A1019" s="27"/>
      <c r="B1019">
        <v>1</v>
      </c>
    </row>
    <row r="1020" spans="1:2" x14ac:dyDescent="0.25">
      <c r="A1020" s="26"/>
      <c r="B1020">
        <v>1</v>
      </c>
    </row>
    <row r="1021" spans="1:2" x14ac:dyDescent="0.25">
      <c r="A1021" s="27"/>
      <c r="B1021">
        <v>1</v>
      </c>
    </row>
    <row r="1022" spans="1:2" x14ac:dyDescent="0.25">
      <c r="A1022" s="26"/>
      <c r="B1022">
        <v>1</v>
      </c>
    </row>
    <row r="1023" spans="1:2" x14ac:dyDescent="0.25">
      <c r="A1023" s="27"/>
      <c r="B1023">
        <v>1</v>
      </c>
    </row>
    <row r="1024" spans="1:2" x14ac:dyDescent="0.25">
      <c r="A1024" s="26"/>
      <c r="B1024">
        <v>1</v>
      </c>
    </row>
    <row r="1025" spans="1:2" x14ac:dyDescent="0.25">
      <c r="A1025" s="27"/>
      <c r="B1025">
        <v>1</v>
      </c>
    </row>
    <row r="1026" spans="1:2" x14ac:dyDescent="0.25">
      <c r="A1026" s="26"/>
      <c r="B1026">
        <v>1</v>
      </c>
    </row>
    <row r="1027" spans="1:2" x14ac:dyDescent="0.25">
      <c r="A1027" s="27"/>
      <c r="B1027">
        <v>1</v>
      </c>
    </row>
    <row r="1028" spans="1:2" x14ac:dyDescent="0.25">
      <c r="A1028" s="26"/>
      <c r="B1028">
        <v>1</v>
      </c>
    </row>
    <row r="1029" spans="1:2" x14ac:dyDescent="0.25">
      <c r="A1029" s="27"/>
      <c r="B1029">
        <v>1</v>
      </c>
    </row>
    <row r="1030" spans="1:2" x14ac:dyDescent="0.25">
      <c r="A1030" s="26"/>
      <c r="B1030">
        <v>1</v>
      </c>
    </row>
    <row r="1031" spans="1:2" x14ac:dyDescent="0.25">
      <c r="A1031" s="27"/>
      <c r="B1031">
        <v>1</v>
      </c>
    </row>
    <row r="1032" spans="1:2" x14ac:dyDescent="0.25">
      <c r="A1032" s="26"/>
      <c r="B1032">
        <v>1</v>
      </c>
    </row>
    <row r="1033" spans="1:2" x14ac:dyDescent="0.25">
      <c r="A1033" s="27"/>
      <c r="B1033">
        <v>1</v>
      </c>
    </row>
    <row r="1034" spans="1:2" x14ac:dyDescent="0.25">
      <c r="A1034" s="26"/>
      <c r="B1034">
        <v>1</v>
      </c>
    </row>
    <row r="1035" spans="1:2" x14ac:dyDescent="0.25">
      <c r="A1035" s="27"/>
      <c r="B1035">
        <v>1</v>
      </c>
    </row>
    <row r="1036" spans="1:2" x14ac:dyDescent="0.25">
      <c r="A1036" s="26"/>
      <c r="B1036">
        <v>1</v>
      </c>
    </row>
    <row r="1037" spans="1:2" x14ac:dyDescent="0.25">
      <c r="A1037" s="27"/>
      <c r="B1037">
        <v>1</v>
      </c>
    </row>
    <row r="1038" spans="1:2" x14ac:dyDescent="0.25">
      <c r="A1038" s="26"/>
      <c r="B1038">
        <v>1</v>
      </c>
    </row>
    <row r="1039" spans="1:2" x14ac:dyDescent="0.25">
      <c r="A1039" s="27"/>
      <c r="B1039">
        <v>1</v>
      </c>
    </row>
    <row r="1040" spans="1:2" x14ac:dyDescent="0.25">
      <c r="A1040" s="26"/>
      <c r="B1040">
        <v>1</v>
      </c>
    </row>
    <row r="1041" spans="1:2" x14ac:dyDescent="0.25">
      <c r="A1041" s="27"/>
      <c r="B1041">
        <v>1</v>
      </c>
    </row>
    <row r="1042" spans="1:2" x14ac:dyDescent="0.25">
      <c r="A1042" s="26"/>
      <c r="B1042">
        <v>1</v>
      </c>
    </row>
    <row r="1043" spans="1:2" x14ac:dyDescent="0.25">
      <c r="A1043" s="27"/>
      <c r="B1043">
        <v>1</v>
      </c>
    </row>
    <row r="1044" spans="1:2" x14ac:dyDescent="0.25">
      <c r="A1044" s="26"/>
      <c r="B1044">
        <v>1</v>
      </c>
    </row>
    <row r="1045" spans="1:2" x14ac:dyDescent="0.25">
      <c r="A1045" s="27"/>
      <c r="B1045">
        <v>1</v>
      </c>
    </row>
    <row r="1046" spans="1:2" x14ac:dyDescent="0.25">
      <c r="A1046" s="26"/>
      <c r="B1046">
        <v>1</v>
      </c>
    </row>
    <row r="1047" spans="1:2" x14ac:dyDescent="0.25">
      <c r="A1047" s="27"/>
      <c r="B1047">
        <v>1</v>
      </c>
    </row>
    <row r="1048" spans="1:2" x14ac:dyDescent="0.25">
      <c r="A1048" s="26"/>
      <c r="B1048">
        <v>1</v>
      </c>
    </row>
    <row r="1049" spans="1:2" x14ac:dyDescent="0.25">
      <c r="A1049" s="27"/>
      <c r="B1049">
        <v>1</v>
      </c>
    </row>
    <row r="1050" spans="1:2" x14ac:dyDescent="0.25">
      <c r="A1050" s="26"/>
      <c r="B1050">
        <v>1</v>
      </c>
    </row>
    <row r="1051" spans="1:2" x14ac:dyDescent="0.25">
      <c r="A1051" s="27"/>
      <c r="B1051">
        <v>1</v>
      </c>
    </row>
    <row r="1052" spans="1:2" x14ac:dyDescent="0.25">
      <c r="A1052" s="26"/>
      <c r="B1052">
        <v>1</v>
      </c>
    </row>
    <row r="1053" spans="1:2" x14ac:dyDescent="0.25">
      <c r="A1053" s="27"/>
      <c r="B1053">
        <v>1</v>
      </c>
    </row>
    <row r="1054" spans="1:2" x14ac:dyDescent="0.25">
      <c r="A1054" s="26"/>
      <c r="B1054">
        <v>1</v>
      </c>
    </row>
    <row r="1055" spans="1:2" x14ac:dyDescent="0.25">
      <c r="A1055" s="27"/>
      <c r="B1055">
        <v>1</v>
      </c>
    </row>
    <row r="1056" spans="1:2" x14ac:dyDescent="0.25">
      <c r="A1056" s="26"/>
      <c r="B1056">
        <v>1</v>
      </c>
    </row>
    <row r="1057" spans="1:2" x14ac:dyDescent="0.25">
      <c r="A1057" s="27"/>
      <c r="B1057">
        <v>1</v>
      </c>
    </row>
    <row r="1058" spans="1:2" x14ac:dyDescent="0.25">
      <c r="A1058" s="26"/>
      <c r="B1058">
        <v>1</v>
      </c>
    </row>
    <row r="1059" spans="1:2" x14ac:dyDescent="0.25">
      <c r="A1059" s="27"/>
      <c r="B1059">
        <v>1</v>
      </c>
    </row>
    <row r="1060" spans="1:2" x14ac:dyDescent="0.25">
      <c r="A1060" s="26"/>
      <c r="B1060">
        <v>1</v>
      </c>
    </row>
    <row r="1061" spans="1:2" x14ac:dyDescent="0.25">
      <c r="A1061" s="27"/>
      <c r="B1061">
        <v>1</v>
      </c>
    </row>
    <row r="1062" spans="1:2" x14ac:dyDescent="0.25">
      <c r="A1062" s="26"/>
      <c r="B1062">
        <v>1</v>
      </c>
    </row>
    <row r="1063" spans="1:2" x14ac:dyDescent="0.25">
      <c r="A1063" s="27"/>
      <c r="B1063">
        <v>1</v>
      </c>
    </row>
    <row r="1064" spans="1:2" x14ac:dyDescent="0.25">
      <c r="A1064" s="26"/>
      <c r="B1064">
        <v>1</v>
      </c>
    </row>
    <row r="1065" spans="1:2" x14ac:dyDescent="0.25">
      <c r="A1065" s="27"/>
      <c r="B1065">
        <v>1</v>
      </c>
    </row>
    <row r="1066" spans="1:2" x14ac:dyDescent="0.25">
      <c r="A1066" s="26"/>
      <c r="B1066">
        <v>1</v>
      </c>
    </row>
    <row r="1067" spans="1:2" x14ac:dyDescent="0.25">
      <c r="A1067" s="27"/>
      <c r="B1067">
        <v>1</v>
      </c>
    </row>
    <row r="1068" spans="1:2" x14ac:dyDescent="0.25">
      <c r="A1068" s="26"/>
      <c r="B1068">
        <v>1</v>
      </c>
    </row>
    <row r="1069" spans="1:2" x14ac:dyDescent="0.25">
      <c r="A1069" s="27"/>
      <c r="B1069">
        <v>1</v>
      </c>
    </row>
    <row r="1070" spans="1:2" x14ac:dyDescent="0.25">
      <c r="A1070" s="26"/>
      <c r="B1070">
        <v>1</v>
      </c>
    </row>
    <row r="1071" spans="1:2" x14ac:dyDescent="0.25">
      <c r="A1071" s="27"/>
      <c r="B1071">
        <v>1</v>
      </c>
    </row>
    <row r="1072" spans="1:2" x14ac:dyDescent="0.25">
      <c r="A1072" s="26"/>
      <c r="B1072">
        <v>1</v>
      </c>
    </row>
    <row r="1073" spans="1:2" x14ac:dyDescent="0.25">
      <c r="A1073" s="27"/>
      <c r="B1073">
        <v>1</v>
      </c>
    </row>
    <row r="1074" spans="1:2" x14ac:dyDescent="0.25">
      <c r="A1074" s="26"/>
      <c r="B1074">
        <v>1</v>
      </c>
    </row>
    <row r="1075" spans="1:2" x14ac:dyDescent="0.25">
      <c r="A1075" s="27"/>
      <c r="B1075">
        <v>1</v>
      </c>
    </row>
    <row r="1076" spans="1:2" x14ac:dyDescent="0.25">
      <c r="A1076" s="26"/>
      <c r="B1076">
        <v>1</v>
      </c>
    </row>
    <row r="1077" spans="1:2" x14ac:dyDescent="0.25">
      <c r="A1077" s="27"/>
      <c r="B1077">
        <v>1</v>
      </c>
    </row>
    <row r="1078" spans="1:2" x14ac:dyDescent="0.25">
      <c r="A1078" s="26"/>
      <c r="B1078">
        <v>1</v>
      </c>
    </row>
    <row r="1079" spans="1:2" x14ac:dyDescent="0.25">
      <c r="A1079" s="27"/>
      <c r="B1079">
        <v>1</v>
      </c>
    </row>
    <row r="1080" spans="1:2" x14ac:dyDescent="0.25">
      <c r="A1080" s="26"/>
      <c r="B1080">
        <v>1</v>
      </c>
    </row>
    <row r="1081" spans="1:2" x14ac:dyDescent="0.25">
      <c r="A1081" s="27"/>
      <c r="B1081">
        <v>1</v>
      </c>
    </row>
    <row r="1082" spans="1:2" x14ac:dyDescent="0.25">
      <c r="A1082" s="26"/>
      <c r="B1082">
        <v>1</v>
      </c>
    </row>
    <row r="1083" spans="1:2" x14ac:dyDescent="0.25">
      <c r="A1083" s="27"/>
      <c r="B1083">
        <v>1</v>
      </c>
    </row>
    <row r="1084" spans="1:2" x14ac:dyDescent="0.25">
      <c r="A1084" s="26"/>
      <c r="B1084">
        <v>1</v>
      </c>
    </row>
    <row r="1085" spans="1:2" x14ac:dyDescent="0.25">
      <c r="A1085" s="27"/>
      <c r="B1085">
        <v>1</v>
      </c>
    </row>
    <row r="1086" spans="1:2" x14ac:dyDescent="0.25">
      <c r="A1086" s="26"/>
      <c r="B1086">
        <v>1</v>
      </c>
    </row>
    <row r="1087" spans="1:2" x14ac:dyDescent="0.25">
      <c r="A1087" s="27"/>
      <c r="B1087">
        <v>1</v>
      </c>
    </row>
    <row r="1088" spans="1:2" x14ac:dyDescent="0.25">
      <c r="A1088" s="26"/>
      <c r="B1088">
        <v>1</v>
      </c>
    </row>
    <row r="1089" spans="1:2" x14ac:dyDescent="0.25">
      <c r="A1089" s="27"/>
      <c r="B1089">
        <v>1</v>
      </c>
    </row>
    <row r="1090" spans="1:2" x14ac:dyDescent="0.25">
      <c r="A1090" s="26"/>
      <c r="B1090">
        <v>1</v>
      </c>
    </row>
    <row r="1091" spans="1:2" x14ac:dyDescent="0.25">
      <c r="A1091" s="27"/>
      <c r="B1091">
        <v>1</v>
      </c>
    </row>
    <row r="1092" spans="1:2" x14ac:dyDescent="0.25">
      <c r="A1092" s="26"/>
      <c r="B1092">
        <v>1</v>
      </c>
    </row>
    <row r="1093" spans="1:2" x14ac:dyDescent="0.25">
      <c r="A1093" s="27"/>
      <c r="B1093">
        <v>1</v>
      </c>
    </row>
    <row r="1094" spans="1:2" x14ac:dyDescent="0.25">
      <c r="A1094" s="26"/>
      <c r="B1094">
        <v>1</v>
      </c>
    </row>
    <row r="1095" spans="1:2" x14ac:dyDescent="0.25">
      <c r="A1095" s="27"/>
      <c r="B1095">
        <v>1</v>
      </c>
    </row>
    <row r="1096" spans="1:2" x14ac:dyDescent="0.25">
      <c r="A1096" s="26"/>
      <c r="B1096">
        <v>1</v>
      </c>
    </row>
    <row r="1097" spans="1:2" x14ac:dyDescent="0.25">
      <c r="A1097" s="27"/>
      <c r="B1097">
        <v>1</v>
      </c>
    </row>
    <row r="1098" spans="1:2" x14ac:dyDescent="0.25">
      <c r="A1098" s="26"/>
      <c r="B1098">
        <v>1</v>
      </c>
    </row>
    <row r="1099" spans="1:2" x14ac:dyDescent="0.25">
      <c r="A1099" s="27"/>
      <c r="B1099">
        <v>1</v>
      </c>
    </row>
    <row r="1100" spans="1:2" x14ac:dyDescent="0.25">
      <c r="A1100" s="26"/>
      <c r="B1100">
        <v>1</v>
      </c>
    </row>
    <row r="1101" spans="1:2" x14ac:dyDescent="0.25">
      <c r="A1101" s="27"/>
      <c r="B1101">
        <v>1</v>
      </c>
    </row>
    <row r="1102" spans="1:2" x14ac:dyDescent="0.25">
      <c r="A1102" s="26"/>
      <c r="B1102">
        <v>1</v>
      </c>
    </row>
    <row r="1103" spans="1:2" x14ac:dyDescent="0.25">
      <c r="A1103" s="27"/>
      <c r="B1103">
        <v>1</v>
      </c>
    </row>
    <row r="1104" spans="1:2" x14ac:dyDescent="0.25">
      <c r="A1104" s="26"/>
      <c r="B1104">
        <v>1</v>
      </c>
    </row>
    <row r="1105" spans="1:2" x14ac:dyDescent="0.25">
      <c r="A1105" s="27"/>
      <c r="B1105">
        <v>1</v>
      </c>
    </row>
    <row r="1106" spans="1:2" x14ac:dyDescent="0.25">
      <c r="A1106" s="26"/>
      <c r="B1106">
        <v>1</v>
      </c>
    </row>
    <row r="1107" spans="1:2" x14ac:dyDescent="0.25">
      <c r="A1107" s="27"/>
      <c r="B1107">
        <v>1</v>
      </c>
    </row>
    <row r="1108" spans="1:2" x14ac:dyDescent="0.25">
      <c r="A1108" s="26"/>
      <c r="B1108">
        <v>1</v>
      </c>
    </row>
    <row r="1109" spans="1:2" x14ac:dyDescent="0.25">
      <c r="A1109" s="27"/>
      <c r="B1109">
        <v>1</v>
      </c>
    </row>
    <row r="1110" spans="1:2" x14ac:dyDescent="0.25">
      <c r="A1110" s="26"/>
      <c r="B1110">
        <v>1</v>
      </c>
    </row>
    <row r="1111" spans="1:2" x14ac:dyDescent="0.25">
      <c r="A1111" s="27"/>
      <c r="B1111">
        <v>1</v>
      </c>
    </row>
    <row r="1112" spans="1:2" x14ac:dyDescent="0.25">
      <c r="A1112" s="26"/>
      <c r="B1112">
        <v>1</v>
      </c>
    </row>
    <row r="1113" spans="1:2" x14ac:dyDescent="0.25">
      <c r="A1113" s="27"/>
      <c r="B1113">
        <v>1</v>
      </c>
    </row>
    <row r="1114" spans="1:2" x14ac:dyDescent="0.25">
      <c r="A1114" s="26"/>
      <c r="B1114">
        <v>1</v>
      </c>
    </row>
    <row r="1115" spans="1:2" x14ac:dyDescent="0.25">
      <c r="A1115" s="27"/>
      <c r="B1115">
        <v>1</v>
      </c>
    </row>
    <row r="1116" spans="1:2" x14ac:dyDescent="0.25">
      <c r="A1116" s="26"/>
      <c r="B1116">
        <v>1</v>
      </c>
    </row>
    <row r="1117" spans="1:2" x14ac:dyDescent="0.25">
      <c r="A1117" s="27"/>
      <c r="B1117">
        <v>1</v>
      </c>
    </row>
    <row r="1118" spans="1:2" x14ac:dyDescent="0.25">
      <c r="A1118" s="26"/>
      <c r="B1118">
        <v>1</v>
      </c>
    </row>
    <row r="1119" spans="1:2" x14ac:dyDescent="0.25">
      <c r="A1119" s="27"/>
      <c r="B1119">
        <v>1</v>
      </c>
    </row>
    <row r="1120" spans="1:2" x14ac:dyDescent="0.25">
      <c r="A1120" s="26"/>
      <c r="B1120">
        <v>1</v>
      </c>
    </row>
    <row r="1121" spans="1:2" x14ac:dyDescent="0.25">
      <c r="A1121" s="27"/>
      <c r="B1121">
        <v>1</v>
      </c>
    </row>
    <row r="1122" spans="1:2" x14ac:dyDescent="0.25">
      <c r="A1122" s="26"/>
      <c r="B1122">
        <v>1</v>
      </c>
    </row>
    <row r="1123" spans="1:2" x14ac:dyDescent="0.25">
      <c r="A1123" s="27"/>
      <c r="B1123">
        <v>1</v>
      </c>
    </row>
    <row r="1124" spans="1:2" x14ac:dyDescent="0.25">
      <c r="A1124" s="26"/>
      <c r="B1124">
        <v>1</v>
      </c>
    </row>
    <row r="1125" spans="1:2" x14ac:dyDescent="0.25">
      <c r="A1125" s="27"/>
      <c r="B1125">
        <v>1</v>
      </c>
    </row>
    <row r="1126" spans="1:2" x14ac:dyDescent="0.25">
      <c r="A1126" s="26"/>
      <c r="B1126">
        <v>1</v>
      </c>
    </row>
    <row r="1127" spans="1:2" x14ac:dyDescent="0.25">
      <c r="A1127" s="27"/>
      <c r="B1127">
        <v>1</v>
      </c>
    </row>
    <row r="1128" spans="1:2" x14ac:dyDescent="0.25">
      <c r="A1128" s="26"/>
      <c r="B1128">
        <v>1</v>
      </c>
    </row>
    <row r="1129" spans="1:2" x14ac:dyDescent="0.25">
      <c r="A1129" s="27"/>
      <c r="B1129">
        <v>1</v>
      </c>
    </row>
    <row r="1130" spans="1:2" x14ac:dyDescent="0.25">
      <c r="A1130" s="26"/>
      <c r="B1130">
        <v>1</v>
      </c>
    </row>
    <row r="1131" spans="1:2" x14ac:dyDescent="0.25">
      <c r="A1131" s="27"/>
      <c r="B1131">
        <v>1</v>
      </c>
    </row>
    <row r="1132" spans="1:2" x14ac:dyDescent="0.25">
      <c r="A1132" s="26"/>
      <c r="B1132">
        <v>1</v>
      </c>
    </row>
    <row r="1133" spans="1:2" x14ac:dyDescent="0.25">
      <c r="A1133" s="27"/>
      <c r="B1133">
        <v>1</v>
      </c>
    </row>
    <row r="1134" spans="1:2" x14ac:dyDescent="0.25">
      <c r="A1134" s="26"/>
      <c r="B1134">
        <v>1</v>
      </c>
    </row>
    <row r="1135" spans="1:2" x14ac:dyDescent="0.25">
      <c r="A1135" s="27"/>
      <c r="B1135">
        <v>1</v>
      </c>
    </row>
    <row r="1136" spans="1:2" x14ac:dyDescent="0.25">
      <c r="A1136" s="26"/>
      <c r="B1136">
        <v>1</v>
      </c>
    </row>
    <row r="1137" spans="1:2" x14ac:dyDescent="0.25">
      <c r="A1137" s="27"/>
      <c r="B1137">
        <v>1</v>
      </c>
    </row>
    <row r="1138" spans="1:2" x14ac:dyDescent="0.25">
      <c r="A1138" s="26"/>
      <c r="B1138">
        <v>1</v>
      </c>
    </row>
    <row r="1139" spans="1:2" x14ac:dyDescent="0.25">
      <c r="A1139" s="27"/>
      <c r="B1139">
        <v>1</v>
      </c>
    </row>
    <row r="1140" spans="1:2" x14ac:dyDescent="0.25">
      <c r="A1140" s="26"/>
      <c r="B1140">
        <v>1</v>
      </c>
    </row>
    <row r="1141" spans="1:2" x14ac:dyDescent="0.25">
      <c r="A1141" s="27"/>
      <c r="B1141">
        <v>1</v>
      </c>
    </row>
    <row r="1142" spans="1:2" x14ac:dyDescent="0.25">
      <c r="A1142" s="26"/>
      <c r="B1142">
        <v>1</v>
      </c>
    </row>
    <row r="1143" spans="1:2" x14ac:dyDescent="0.25">
      <c r="A1143" s="27"/>
      <c r="B1143">
        <v>1</v>
      </c>
    </row>
    <row r="1144" spans="1:2" x14ac:dyDescent="0.25">
      <c r="A1144" s="26"/>
      <c r="B1144">
        <v>1</v>
      </c>
    </row>
    <row r="1145" spans="1:2" x14ac:dyDescent="0.25">
      <c r="A1145" s="27"/>
      <c r="B1145">
        <v>1</v>
      </c>
    </row>
    <row r="1146" spans="1:2" x14ac:dyDescent="0.25">
      <c r="A1146" s="26"/>
      <c r="B1146">
        <v>1</v>
      </c>
    </row>
    <row r="1147" spans="1:2" x14ac:dyDescent="0.25">
      <c r="A1147" s="27"/>
      <c r="B1147">
        <v>1</v>
      </c>
    </row>
    <row r="1148" spans="1:2" x14ac:dyDescent="0.25">
      <c r="A1148" s="26"/>
      <c r="B1148">
        <v>1</v>
      </c>
    </row>
    <row r="1149" spans="1:2" x14ac:dyDescent="0.25">
      <c r="A1149" s="27"/>
      <c r="B1149">
        <v>1</v>
      </c>
    </row>
    <row r="1150" spans="1:2" x14ac:dyDescent="0.25">
      <c r="A1150" s="26"/>
      <c r="B1150">
        <v>1</v>
      </c>
    </row>
    <row r="1151" spans="1:2" x14ac:dyDescent="0.25">
      <c r="A1151" s="27"/>
      <c r="B1151">
        <v>1</v>
      </c>
    </row>
    <row r="1152" spans="1:2" x14ac:dyDescent="0.25">
      <c r="A1152" s="26"/>
      <c r="B1152">
        <v>1</v>
      </c>
    </row>
    <row r="1153" spans="1:2" x14ac:dyDescent="0.25">
      <c r="A1153" s="27"/>
      <c r="B1153">
        <v>1</v>
      </c>
    </row>
    <row r="1154" spans="1:2" x14ac:dyDescent="0.25">
      <c r="A1154" s="26"/>
      <c r="B1154">
        <v>1</v>
      </c>
    </row>
    <row r="1155" spans="1:2" x14ac:dyDescent="0.25">
      <c r="A1155" s="27"/>
      <c r="B1155">
        <v>1</v>
      </c>
    </row>
    <row r="1156" spans="1:2" x14ac:dyDescent="0.25">
      <c r="A1156" s="26"/>
      <c r="B1156">
        <v>1</v>
      </c>
    </row>
    <row r="1157" spans="1:2" x14ac:dyDescent="0.25">
      <c r="A1157" s="27"/>
      <c r="B1157">
        <v>1</v>
      </c>
    </row>
    <row r="1158" spans="1:2" x14ac:dyDescent="0.25">
      <c r="A1158" s="26"/>
      <c r="B1158">
        <v>1</v>
      </c>
    </row>
    <row r="1159" spans="1:2" x14ac:dyDescent="0.25">
      <c r="A1159" s="27"/>
      <c r="B1159">
        <v>1</v>
      </c>
    </row>
    <row r="1160" spans="1:2" x14ac:dyDescent="0.25">
      <c r="A1160" s="26"/>
      <c r="B1160">
        <v>1</v>
      </c>
    </row>
    <row r="1161" spans="1:2" x14ac:dyDescent="0.25">
      <c r="A1161" s="27"/>
      <c r="B1161">
        <v>1</v>
      </c>
    </row>
    <row r="1162" spans="1:2" x14ac:dyDescent="0.25">
      <c r="A1162" s="26"/>
      <c r="B1162">
        <v>1</v>
      </c>
    </row>
    <row r="1163" spans="1:2" x14ac:dyDescent="0.25">
      <c r="A1163" s="27"/>
      <c r="B1163">
        <v>1</v>
      </c>
    </row>
    <row r="1164" spans="1:2" x14ac:dyDescent="0.25">
      <c r="A1164" s="26"/>
      <c r="B1164">
        <v>1</v>
      </c>
    </row>
    <row r="1165" spans="1:2" x14ac:dyDescent="0.25">
      <c r="A1165" s="27"/>
      <c r="B1165">
        <v>1</v>
      </c>
    </row>
    <row r="1166" spans="1:2" x14ac:dyDescent="0.25">
      <c r="A1166" s="26"/>
      <c r="B1166">
        <v>1</v>
      </c>
    </row>
    <row r="1167" spans="1:2" x14ac:dyDescent="0.25">
      <c r="A1167" s="27"/>
      <c r="B1167">
        <v>1</v>
      </c>
    </row>
    <row r="1168" spans="1:2" x14ac:dyDescent="0.25">
      <c r="A1168" s="26"/>
      <c r="B1168">
        <v>1</v>
      </c>
    </row>
    <row r="1169" spans="1:2" x14ac:dyDescent="0.25">
      <c r="A1169" s="27"/>
      <c r="B1169">
        <v>1</v>
      </c>
    </row>
    <row r="1170" spans="1:2" x14ac:dyDescent="0.25">
      <c r="A1170" s="26"/>
      <c r="B1170">
        <v>1</v>
      </c>
    </row>
    <row r="1171" spans="1:2" x14ac:dyDescent="0.25">
      <c r="A1171" s="27"/>
      <c r="B1171">
        <v>1</v>
      </c>
    </row>
    <row r="1172" spans="1:2" x14ac:dyDescent="0.25">
      <c r="A1172" s="26"/>
      <c r="B1172">
        <v>1</v>
      </c>
    </row>
    <row r="1173" spans="1:2" x14ac:dyDescent="0.25">
      <c r="A1173" s="27"/>
      <c r="B1173">
        <v>1</v>
      </c>
    </row>
    <row r="1174" spans="1:2" x14ac:dyDescent="0.25">
      <c r="A1174" s="26"/>
      <c r="B1174">
        <v>1</v>
      </c>
    </row>
    <row r="1175" spans="1:2" x14ac:dyDescent="0.25">
      <c r="A1175" s="27"/>
      <c r="B1175">
        <v>1</v>
      </c>
    </row>
    <row r="1176" spans="1:2" x14ac:dyDescent="0.25">
      <c r="A1176" s="26"/>
      <c r="B1176">
        <v>1</v>
      </c>
    </row>
    <row r="1177" spans="1:2" x14ac:dyDescent="0.25">
      <c r="A1177" s="27"/>
      <c r="B1177">
        <v>1</v>
      </c>
    </row>
    <row r="1178" spans="1:2" x14ac:dyDescent="0.25">
      <c r="A1178" s="26"/>
      <c r="B1178">
        <v>1</v>
      </c>
    </row>
    <row r="1179" spans="1:2" x14ac:dyDescent="0.25">
      <c r="A1179" s="27"/>
      <c r="B1179">
        <v>1</v>
      </c>
    </row>
    <row r="1180" spans="1:2" x14ac:dyDescent="0.25">
      <c r="A1180" s="26"/>
      <c r="B1180">
        <v>1</v>
      </c>
    </row>
    <row r="1181" spans="1:2" x14ac:dyDescent="0.25">
      <c r="A1181" s="27"/>
      <c r="B1181">
        <v>1</v>
      </c>
    </row>
    <row r="1182" spans="1:2" x14ac:dyDescent="0.25">
      <c r="A1182" s="26"/>
      <c r="B1182">
        <v>1</v>
      </c>
    </row>
    <row r="1183" spans="1:2" x14ac:dyDescent="0.25">
      <c r="A1183" s="27"/>
      <c r="B1183">
        <v>1</v>
      </c>
    </row>
    <row r="1184" spans="1:2" x14ac:dyDescent="0.25">
      <c r="A1184" s="26"/>
      <c r="B1184">
        <v>1</v>
      </c>
    </row>
    <row r="1185" spans="1:2" x14ac:dyDescent="0.25">
      <c r="A1185" s="27"/>
      <c r="B1185">
        <v>1</v>
      </c>
    </row>
    <row r="1186" spans="1:2" x14ac:dyDescent="0.25">
      <c r="A1186" s="26"/>
      <c r="B1186">
        <v>1</v>
      </c>
    </row>
    <row r="1187" spans="1:2" x14ac:dyDescent="0.25">
      <c r="A1187" s="27"/>
      <c r="B1187">
        <v>1</v>
      </c>
    </row>
    <row r="1188" spans="1:2" x14ac:dyDescent="0.25">
      <c r="A1188" s="26"/>
      <c r="B1188">
        <v>1</v>
      </c>
    </row>
    <row r="1189" spans="1:2" x14ac:dyDescent="0.25">
      <c r="A1189" s="27"/>
      <c r="B1189">
        <v>1</v>
      </c>
    </row>
    <row r="1190" spans="1:2" x14ac:dyDescent="0.25">
      <c r="A1190" s="26"/>
      <c r="B1190">
        <v>1</v>
      </c>
    </row>
    <row r="1191" spans="1:2" x14ac:dyDescent="0.25">
      <c r="A1191" s="27"/>
      <c r="B1191">
        <v>1</v>
      </c>
    </row>
    <row r="1192" spans="1:2" x14ac:dyDescent="0.25">
      <c r="A1192" s="26"/>
      <c r="B1192">
        <v>1</v>
      </c>
    </row>
    <row r="1193" spans="1:2" x14ac:dyDescent="0.25">
      <c r="A1193" s="27"/>
      <c r="B1193">
        <v>1</v>
      </c>
    </row>
    <row r="1194" spans="1:2" x14ac:dyDescent="0.25">
      <c r="A1194" s="26"/>
      <c r="B1194">
        <v>1</v>
      </c>
    </row>
    <row r="1195" spans="1:2" x14ac:dyDescent="0.25">
      <c r="A1195" s="27"/>
      <c r="B1195">
        <v>1</v>
      </c>
    </row>
    <row r="1196" spans="1:2" x14ac:dyDescent="0.25">
      <c r="A1196" s="26"/>
      <c r="B1196">
        <v>1</v>
      </c>
    </row>
    <row r="1197" spans="1:2" x14ac:dyDescent="0.25">
      <c r="A1197" s="27"/>
      <c r="B1197">
        <v>1</v>
      </c>
    </row>
    <row r="1198" spans="1:2" x14ac:dyDescent="0.25">
      <c r="A1198" s="26"/>
      <c r="B1198">
        <v>1</v>
      </c>
    </row>
    <row r="1199" spans="1:2" x14ac:dyDescent="0.25">
      <c r="A1199" s="27"/>
      <c r="B1199">
        <v>1</v>
      </c>
    </row>
    <row r="1200" spans="1:2" x14ac:dyDescent="0.25">
      <c r="A1200" s="26"/>
      <c r="B1200">
        <v>1</v>
      </c>
    </row>
    <row r="1201" spans="1:2" x14ac:dyDescent="0.25">
      <c r="A1201" s="27"/>
      <c r="B1201">
        <v>1</v>
      </c>
    </row>
    <row r="1202" spans="1:2" x14ac:dyDescent="0.25">
      <c r="A1202" s="26"/>
      <c r="B1202">
        <v>1</v>
      </c>
    </row>
    <row r="1203" spans="1:2" x14ac:dyDescent="0.25">
      <c r="A1203" s="27"/>
      <c r="B1203">
        <v>1</v>
      </c>
    </row>
    <row r="1204" spans="1:2" x14ac:dyDescent="0.25">
      <c r="A1204" s="26"/>
      <c r="B1204">
        <v>1</v>
      </c>
    </row>
    <row r="1205" spans="1:2" x14ac:dyDescent="0.25">
      <c r="A1205" s="27"/>
      <c r="B1205">
        <v>1</v>
      </c>
    </row>
    <row r="1206" spans="1:2" x14ac:dyDescent="0.25">
      <c r="A1206" s="26"/>
      <c r="B1206">
        <v>1</v>
      </c>
    </row>
    <row r="1207" spans="1:2" x14ac:dyDescent="0.25">
      <c r="A1207" s="27"/>
      <c r="B1207">
        <v>1</v>
      </c>
    </row>
    <row r="1208" spans="1:2" x14ac:dyDescent="0.25">
      <c r="A1208" s="26"/>
      <c r="B1208">
        <v>1</v>
      </c>
    </row>
    <row r="1209" spans="1:2" x14ac:dyDescent="0.25">
      <c r="A1209" s="27"/>
      <c r="B1209">
        <v>1</v>
      </c>
    </row>
    <row r="1210" spans="1:2" x14ac:dyDescent="0.25">
      <c r="A1210" s="26"/>
      <c r="B1210">
        <v>1</v>
      </c>
    </row>
    <row r="1211" spans="1:2" x14ac:dyDescent="0.25">
      <c r="A1211" s="27"/>
      <c r="B1211">
        <v>1</v>
      </c>
    </row>
    <row r="1212" spans="1:2" x14ac:dyDescent="0.25">
      <c r="A1212" s="26"/>
      <c r="B1212">
        <v>1</v>
      </c>
    </row>
    <row r="1213" spans="1:2" x14ac:dyDescent="0.25">
      <c r="A1213" s="27"/>
      <c r="B1213">
        <v>1</v>
      </c>
    </row>
    <row r="1214" spans="1:2" x14ac:dyDescent="0.25">
      <c r="A1214" s="26"/>
      <c r="B1214">
        <v>1</v>
      </c>
    </row>
    <row r="1215" spans="1:2" x14ac:dyDescent="0.25">
      <c r="A1215" s="27"/>
      <c r="B1215">
        <v>1</v>
      </c>
    </row>
    <row r="1216" spans="1:2" x14ac:dyDescent="0.25">
      <c r="A1216" s="26"/>
      <c r="B1216">
        <v>1</v>
      </c>
    </row>
    <row r="1217" spans="1:2" x14ac:dyDescent="0.25">
      <c r="A1217" s="27"/>
      <c r="B1217">
        <v>1</v>
      </c>
    </row>
    <row r="1218" spans="1:2" x14ac:dyDescent="0.25">
      <c r="A1218" s="26"/>
      <c r="B1218">
        <v>1</v>
      </c>
    </row>
    <row r="1219" spans="1:2" x14ac:dyDescent="0.25">
      <c r="A1219" s="27"/>
      <c r="B1219">
        <v>1</v>
      </c>
    </row>
    <row r="1220" spans="1:2" x14ac:dyDescent="0.25">
      <c r="A1220" s="26"/>
      <c r="B1220">
        <v>1</v>
      </c>
    </row>
    <row r="1221" spans="1:2" x14ac:dyDescent="0.25">
      <c r="A1221" s="27"/>
      <c r="B1221">
        <v>1</v>
      </c>
    </row>
    <row r="1222" spans="1:2" x14ac:dyDescent="0.25">
      <c r="A1222" s="26"/>
      <c r="B1222">
        <v>1</v>
      </c>
    </row>
    <row r="1223" spans="1:2" x14ac:dyDescent="0.25">
      <c r="A1223" s="27"/>
      <c r="B1223">
        <v>1</v>
      </c>
    </row>
    <row r="1224" spans="1:2" x14ac:dyDescent="0.25">
      <c r="A1224" s="26"/>
      <c r="B1224">
        <v>1</v>
      </c>
    </row>
    <row r="1225" spans="1:2" x14ac:dyDescent="0.25">
      <c r="A1225" s="27"/>
      <c r="B1225">
        <v>1</v>
      </c>
    </row>
    <row r="1226" spans="1:2" x14ac:dyDescent="0.25">
      <c r="A1226" s="26"/>
      <c r="B1226">
        <v>1</v>
      </c>
    </row>
    <row r="1227" spans="1:2" x14ac:dyDescent="0.25">
      <c r="A1227" s="27"/>
      <c r="B1227">
        <v>1</v>
      </c>
    </row>
    <row r="1228" spans="1:2" x14ac:dyDescent="0.25">
      <c r="A1228" s="26"/>
      <c r="B1228">
        <v>1</v>
      </c>
    </row>
    <row r="1229" spans="1:2" x14ac:dyDescent="0.25">
      <c r="A1229" s="27"/>
      <c r="B1229">
        <v>1</v>
      </c>
    </row>
    <row r="1230" spans="1:2" x14ac:dyDescent="0.25">
      <c r="A1230" s="26"/>
      <c r="B1230">
        <v>1</v>
      </c>
    </row>
    <row r="1231" spans="1:2" x14ac:dyDescent="0.25">
      <c r="A1231" s="27"/>
      <c r="B1231">
        <v>1</v>
      </c>
    </row>
    <row r="1232" spans="1:2" x14ac:dyDescent="0.25">
      <c r="A1232" s="26"/>
      <c r="B1232">
        <v>1</v>
      </c>
    </row>
    <row r="1233" spans="1:2" x14ac:dyDescent="0.25">
      <c r="A1233" s="27"/>
      <c r="B1233">
        <v>1</v>
      </c>
    </row>
    <row r="1234" spans="1:2" x14ac:dyDescent="0.25">
      <c r="A1234" s="26"/>
      <c r="B1234">
        <v>1</v>
      </c>
    </row>
    <row r="1235" spans="1:2" x14ac:dyDescent="0.25">
      <c r="A1235" s="27"/>
      <c r="B1235">
        <v>1</v>
      </c>
    </row>
    <row r="1236" spans="1:2" x14ac:dyDescent="0.25">
      <c r="A1236" s="26"/>
      <c r="B1236">
        <v>1</v>
      </c>
    </row>
    <row r="1237" spans="1:2" x14ac:dyDescent="0.25">
      <c r="A1237" s="27"/>
      <c r="B1237">
        <v>1</v>
      </c>
    </row>
    <row r="1238" spans="1:2" x14ac:dyDescent="0.25">
      <c r="A1238" s="26"/>
      <c r="B1238">
        <v>1</v>
      </c>
    </row>
    <row r="1239" spans="1:2" x14ac:dyDescent="0.25">
      <c r="A1239" s="27"/>
      <c r="B1239">
        <v>1</v>
      </c>
    </row>
    <row r="1240" spans="1:2" x14ac:dyDescent="0.25">
      <c r="A1240" s="26"/>
      <c r="B1240">
        <v>1</v>
      </c>
    </row>
    <row r="1241" spans="1:2" x14ac:dyDescent="0.25">
      <c r="A1241" s="27"/>
      <c r="B1241">
        <v>1</v>
      </c>
    </row>
    <row r="1242" spans="1:2" x14ac:dyDescent="0.25">
      <c r="A1242" s="26"/>
      <c r="B1242">
        <v>1</v>
      </c>
    </row>
    <row r="1243" spans="1:2" x14ac:dyDescent="0.25">
      <c r="A1243" s="27"/>
      <c r="B1243">
        <v>1</v>
      </c>
    </row>
    <row r="1244" spans="1:2" x14ac:dyDescent="0.25">
      <c r="A1244" s="26"/>
      <c r="B1244">
        <v>1</v>
      </c>
    </row>
    <row r="1245" spans="1:2" x14ac:dyDescent="0.25">
      <c r="A1245" s="27"/>
      <c r="B1245">
        <v>1</v>
      </c>
    </row>
    <row r="1246" spans="1:2" x14ac:dyDescent="0.25">
      <c r="A1246" s="26"/>
      <c r="B1246">
        <v>1</v>
      </c>
    </row>
    <row r="1247" spans="1:2" x14ac:dyDescent="0.25">
      <c r="A1247" s="27"/>
      <c r="B1247">
        <v>1</v>
      </c>
    </row>
    <row r="1248" spans="1:2" x14ac:dyDescent="0.25">
      <c r="A1248" s="26"/>
      <c r="B1248">
        <v>1</v>
      </c>
    </row>
    <row r="1249" spans="1:2" x14ac:dyDescent="0.25">
      <c r="A1249" s="27"/>
      <c r="B1249">
        <v>1</v>
      </c>
    </row>
    <row r="1250" spans="1:2" x14ac:dyDescent="0.25">
      <c r="A1250" s="26"/>
      <c r="B1250">
        <v>1</v>
      </c>
    </row>
    <row r="1251" spans="1:2" x14ac:dyDescent="0.25">
      <c r="A1251" s="27"/>
      <c r="B1251">
        <v>1</v>
      </c>
    </row>
    <row r="1252" spans="1:2" x14ac:dyDescent="0.25">
      <c r="A1252" s="26"/>
      <c r="B1252">
        <v>1</v>
      </c>
    </row>
    <row r="1253" spans="1:2" x14ac:dyDescent="0.25">
      <c r="A1253" s="27"/>
      <c r="B1253">
        <v>1</v>
      </c>
    </row>
    <row r="1254" spans="1:2" x14ac:dyDescent="0.25">
      <c r="A1254" s="26"/>
      <c r="B1254">
        <v>1</v>
      </c>
    </row>
    <row r="1255" spans="1:2" x14ac:dyDescent="0.25">
      <c r="A1255" s="27"/>
      <c r="B1255">
        <v>1</v>
      </c>
    </row>
    <row r="1256" spans="1:2" x14ac:dyDescent="0.25">
      <c r="A1256" s="26"/>
      <c r="B1256">
        <v>1</v>
      </c>
    </row>
    <row r="1257" spans="1:2" x14ac:dyDescent="0.25">
      <c r="A1257" s="27"/>
      <c r="B1257">
        <v>1</v>
      </c>
    </row>
    <row r="1258" spans="1:2" x14ac:dyDescent="0.25">
      <c r="A1258" s="26"/>
      <c r="B1258">
        <v>1</v>
      </c>
    </row>
    <row r="1259" spans="1:2" x14ac:dyDescent="0.25">
      <c r="A1259" s="27"/>
      <c r="B1259">
        <v>1</v>
      </c>
    </row>
    <row r="1260" spans="1:2" x14ac:dyDescent="0.25">
      <c r="A1260" s="26"/>
      <c r="B1260">
        <v>1</v>
      </c>
    </row>
    <row r="1261" spans="1:2" x14ac:dyDescent="0.25">
      <c r="A1261" s="27"/>
      <c r="B1261">
        <v>1</v>
      </c>
    </row>
    <row r="1262" spans="1:2" x14ac:dyDescent="0.25">
      <c r="A1262" s="26"/>
      <c r="B1262">
        <v>1</v>
      </c>
    </row>
    <row r="1263" spans="1:2" x14ac:dyDescent="0.25">
      <c r="A1263" s="27"/>
      <c r="B1263">
        <v>1</v>
      </c>
    </row>
    <row r="1264" spans="1:2" x14ac:dyDescent="0.25">
      <c r="A1264" s="26"/>
      <c r="B1264">
        <v>1</v>
      </c>
    </row>
    <row r="1265" spans="1:2" x14ac:dyDescent="0.25">
      <c r="A1265" s="27"/>
      <c r="B1265">
        <v>1</v>
      </c>
    </row>
    <row r="1266" spans="1:2" x14ac:dyDescent="0.25">
      <c r="A1266" s="26"/>
      <c r="B1266">
        <v>1</v>
      </c>
    </row>
    <row r="1267" spans="1:2" x14ac:dyDescent="0.25">
      <c r="A1267" s="27"/>
      <c r="B1267">
        <v>1</v>
      </c>
    </row>
    <row r="1268" spans="1:2" x14ac:dyDescent="0.25">
      <c r="A1268" s="26"/>
      <c r="B1268">
        <v>1</v>
      </c>
    </row>
    <row r="1269" spans="1:2" x14ac:dyDescent="0.25">
      <c r="A1269" s="27"/>
      <c r="B1269">
        <v>1</v>
      </c>
    </row>
    <row r="1270" spans="1:2" x14ac:dyDescent="0.25">
      <c r="A1270" s="26"/>
      <c r="B1270">
        <v>1</v>
      </c>
    </row>
    <row r="1271" spans="1:2" x14ac:dyDescent="0.25">
      <c r="A1271" s="27"/>
      <c r="B1271">
        <v>1</v>
      </c>
    </row>
    <row r="1272" spans="1:2" x14ac:dyDescent="0.25">
      <c r="A1272" s="26"/>
      <c r="B1272">
        <v>1</v>
      </c>
    </row>
    <row r="1273" spans="1:2" x14ac:dyDescent="0.25">
      <c r="A1273" s="27"/>
      <c r="B1273">
        <v>1</v>
      </c>
    </row>
    <row r="1274" spans="1:2" x14ac:dyDescent="0.25">
      <c r="A1274" s="26"/>
      <c r="B1274">
        <v>1</v>
      </c>
    </row>
    <row r="1275" spans="1:2" x14ac:dyDescent="0.25">
      <c r="A1275" s="27"/>
      <c r="B1275">
        <v>1</v>
      </c>
    </row>
    <row r="1276" spans="1:2" x14ac:dyDescent="0.25">
      <c r="A1276" s="26"/>
      <c r="B1276">
        <v>1</v>
      </c>
    </row>
    <row r="1277" spans="1:2" x14ac:dyDescent="0.25">
      <c r="A1277" s="27"/>
      <c r="B1277">
        <v>1</v>
      </c>
    </row>
    <row r="1278" spans="1:2" x14ac:dyDescent="0.25">
      <c r="A1278" s="26"/>
      <c r="B1278">
        <v>1</v>
      </c>
    </row>
    <row r="1279" spans="1:2" x14ac:dyDescent="0.25">
      <c r="A1279" s="27"/>
      <c r="B1279">
        <v>1</v>
      </c>
    </row>
    <row r="1280" spans="1:2" x14ac:dyDescent="0.25">
      <c r="A1280" s="26"/>
      <c r="B1280">
        <v>1</v>
      </c>
    </row>
    <row r="1281" spans="1:2" x14ac:dyDescent="0.25">
      <c r="A1281" s="27"/>
      <c r="B1281">
        <v>1</v>
      </c>
    </row>
    <row r="1282" spans="1:2" x14ac:dyDescent="0.25">
      <c r="A1282" s="26"/>
      <c r="B1282">
        <v>1</v>
      </c>
    </row>
    <row r="1283" spans="1:2" x14ac:dyDescent="0.25">
      <c r="A1283" s="27"/>
      <c r="B1283">
        <v>1</v>
      </c>
    </row>
    <row r="1284" spans="1:2" x14ac:dyDescent="0.25">
      <c r="A1284" s="26"/>
      <c r="B1284">
        <v>1</v>
      </c>
    </row>
    <row r="1285" spans="1:2" x14ac:dyDescent="0.25">
      <c r="A1285" s="27"/>
      <c r="B1285">
        <v>1</v>
      </c>
    </row>
    <row r="1286" spans="1:2" x14ac:dyDescent="0.25">
      <c r="A1286" s="26"/>
      <c r="B1286">
        <v>1</v>
      </c>
    </row>
    <row r="1287" spans="1:2" x14ac:dyDescent="0.25">
      <c r="A1287" s="27"/>
      <c r="B1287">
        <v>1</v>
      </c>
    </row>
    <row r="1288" spans="1:2" x14ac:dyDescent="0.25">
      <c r="A1288" s="26"/>
      <c r="B1288">
        <v>1</v>
      </c>
    </row>
    <row r="1289" spans="1:2" x14ac:dyDescent="0.25">
      <c r="A1289" s="27"/>
      <c r="B1289">
        <v>1</v>
      </c>
    </row>
    <row r="1290" spans="1:2" x14ac:dyDescent="0.25">
      <c r="A1290" s="26"/>
      <c r="B1290">
        <v>1</v>
      </c>
    </row>
    <row r="1291" spans="1:2" x14ac:dyDescent="0.25">
      <c r="A1291" s="27"/>
      <c r="B1291">
        <v>1</v>
      </c>
    </row>
    <row r="1292" spans="1:2" x14ac:dyDescent="0.25">
      <c r="A1292" s="26"/>
      <c r="B1292">
        <v>1</v>
      </c>
    </row>
    <row r="1293" spans="1:2" x14ac:dyDescent="0.25">
      <c r="A1293" s="27"/>
      <c r="B1293">
        <v>1</v>
      </c>
    </row>
    <row r="1294" spans="1:2" x14ac:dyDescent="0.25">
      <c r="A1294" s="26"/>
      <c r="B1294">
        <v>1</v>
      </c>
    </row>
    <row r="1295" spans="1:2" x14ac:dyDescent="0.25">
      <c r="A1295" s="27"/>
      <c r="B1295">
        <v>1</v>
      </c>
    </row>
    <row r="1296" spans="1:2" x14ac:dyDescent="0.25">
      <c r="A1296" s="26"/>
      <c r="B1296">
        <v>1</v>
      </c>
    </row>
    <row r="1297" spans="1:2" x14ac:dyDescent="0.25">
      <c r="A1297" s="27"/>
      <c r="B1297">
        <v>1</v>
      </c>
    </row>
    <row r="1298" spans="1:2" x14ac:dyDescent="0.25">
      <c r="A1298" s="26"/>
      <c r="B1298">
        <v>1</v>
      </c>
    </row>
    <row r="1299" spans="1:2" x14ac:dyDescent="0.25">
      <c r="A1299" s="27"/>
      <c r="B1299">
        <v>1</v>
      </c>
    </row>
    <row r="1300" spans="1:2" x14ac:dyDescent="0.25">
      <c r="A1300" s="26"/>
      <c r="B1300">
        <v>1</v>
      </c>
    </row>
    <row r="1301" spans="1:2" x14ac:dyDescent="0.25">
      <c r="A1301" s="27"/>
      <c r="B1301">
        <v>1</v>
      </c>
    </row>
    <row r="1302" spans="1:2" x14ac:dyDescent="0.25">
      <c r="A1302" s="26"/>
      <c r="B1302">
        <v>1</v>
      </c>
    </row>
    <row r="1303" spans="1:2" x14ac:dyDescent="0.25">
      <c r="A1303" s="27"/>
      <c r="B1303">
        <v>1</v>
      </c>
    </row>
    <row r="1304" spans="1:2" x14ac:dyDescent="0.25">
      <c r="A1304" s="26"/>
      <c r="B1304">
        <v>1</v>
      </c>
    </row>
    <row r="1305" spans="1:2" x14ac:dyDescent="0.25">
      <c r="A1305" s="27"/>
      <c r="B1305">
        <v>1</v>
      </c>
    </row>
    <row r="1306" spans="1:2" x14ac:dyDescent="0.25">
      <c r="A1306" s="26"/>
      <c r="B1306">
        <v>1</v>
      </c>
    </row>
    <row r="1307" spans="1:2" x14ac:dyDescent="0.25">
      <c r="A1307" s="27"/>
      <c r="B1307">
        <v>1</v>
      </c>
    </row>
    <row r="1308" spans="1:2" x14ac:dyDescent="0.25">
      <c r="A1308" s="26"/>
      <c r="B1308">
        <v>1</v>
      </c>
    </row>
    <row r="1309" spans="1:2" x14ac:dyDescent="0.25">
      <c r="A1309" s="27"/>
      <c r="B1309">
        <v>1</v>
      </c>
    </row>
    <row r="1310" spans="1:2" x14ac:dyDescent="0.25">
      <c r="A1310" s="26"/>
      <c r="B1310">
        <v>1</v>
      </c>
    </row>
    <row r="1311" spans="1:2" x14ac:dyDescent="0.25">
      <c r="A1311" s="27"/>
      <c r="B1311">
        <v>1</v>
      </c>
    </row>
    <row r="1312" spans="1:2" x14ac:dyDescent="0.25">
      <c r="A1312" s="26"/>
      <c r="B1312">
        <v>1</v>
      </c>
    </row>
    <row r="1313" spans="1:2" x14ac:dyDescent="0.25">
      <c r="A1313" s="27"/>
      <c r="B1313">
        <v>1</v>
      </c>
    </row>
    <row r="1314" spans="1:2" x14ac:dyDescent="0.25">
      <c r="A1314" s="26"/>
      <c r="B1314">
        <v>1</v>
      </c>
    </row>
    <row r="1315" spans="1:2" x14ac:dyDescent="0.25">
      <c r="A1315" s="27"/>
      <c r="B1315">
        <v>1</v>
      </c>
    </row>
    <row r="1316" spans="1:2" x14ac:dyDescent="0.25">
      <c r="A1316" s="26"/>
      <c r="B1316">
        <v>1</v>
      </c>
    </row>
    <row r="1317" spans="1:2" x14ac:dyDescent="0.25">
      <c r="A1317" s="27"/>
      <c r="B1317">
        <v>1</v>
      </c>
    </row>
    <row r="1318" spans="1:2" x14ac:dyDescent="0.25">
      <c r="A1318" s="26"/>
      <c r="B1318">
        <v>1</v>
      </c>
    </row>
    <row r="1319" spans="1:2" x14ac:dyDescent="0.25">
      <c r="A1319" s="27"/>
      <c r="B1319">
        <v>1</v>
      </c>
    </row>
    <row r="1320" spans="1:2" x14ac:dyDescent="0.25">
      <c r="A1320" s="26"/>
      <c r="B1320">
        <v>1</v>
      </c>
    </row>
    <row r="1321" spans="1:2" x14ac:dyDescent="0.25">
      <c r="A1321" s="27"/>
      <c r="B1321">
        <v>1</v>
      </c>
    </row>
    <row r="1322" spans="1:2" x14ac:dyDescent="0.25">
      <c r="A1322" s="26"/>
      <c r="B1322">
        <v>1</v>
      </c>
    </row>
    <row r="1323" spans="1:2" x14ac:dyDescent="0.25">
      <c r="A1323" s="27"/>
      <c r="B1323">
        <v>1</v>
      </c>
    </row>
    <row r="1324" spans="1:2" x14ac:dyDescent="0.25">
      <c r="A1324" s="26"/>
      <c r="B1324">
        <v>1</v>
      </c>
    </row>
    <row r="1325" spans="1:2" x14ac:dyDescent="0.25">
      <c r="A1325" s="27"/>
      <c r="B1325">
        <v>1</v>
      </c>
    </row>
    <row r="1326" spans="1:2" x14ac:dyDescent="0.25">
      <c r="A1326" s="26"/>
      <c r="B1326">
        <v>1</v>
      </c>
    </row>
    <row r="1327" spans="1:2" x14ac:dyDescent="0.25">
      <c r="A1327" s="27"/>
      <c r="B1327">
        <v>1</v>
      </c>
    </row>
    <row r="1328" spans="1:2" x14ac:dyDescent="0.25">
      <c r="A1328" s="26"/>
      <c r="B1328">
        <v>1</v>
      </c>
    </row>
    <row r="1329" spans="1:2" x14ac:dyDescent="0.25">
      <c r="A1329" s="27"/>
      <c r="B1329">
        <v>1</v>
      </c>
    </row>
    <row r="1330" spans="1:2" x14ac:dyDescent="0.25">
      <c r="A1330" s="26"/>
      <c r="B1330">
        <v>1</v>
      </c>
    </row>
    <row r="1331" spans="1:2" x14ac:dyDescent="0.25">
      <c r="A1331" s="27"/>
      <c r="B1331">
        <v>1</v>
      </c>
    </row>
    <row r="1332" spans="1:2" x14ac:dyDescent="0.25">
      <c r="A1332" s="26"/>
      <c r="B1332">
        <v>1</v>
      </c>
    </row>
    <row r="1333" spans="1:2" x14ac:dyDescent="0.25">
      <c r="A1333" s="27"/>
      <c r="B1333">
        <v>1</v>
      </c>
    </row>
    <row r="1334" spans="1:2" x14ac:dyDescent="0.25">
      <c r="A1334" s="26"/>
      <c r="B1334">
        <v>1</v>
      </c>
    </row>
    <row r="1335" spans="1:2" x14ac:dyDescent="0.25">
      <c r="A1335" s="27"/>
      <c r="B1335">
        <v>1</v>
      </c>
    </row>
    <row r="1336" spans="1:2" x14ac:dyDescent="0.25">
      <c r="A1336" s="26"/>
      <c r="B1336">
        <v>1</v>
      </c>
    </row>
    <row r="1337" spans="1:2" x14ac:dyDescent="0.25">
      <c r="A1337" s="27"/>
      <c r="B1337">
        <v>1</v>
      </c>
    </row>
    <row r="1338" spans="1:2" x14ac:dyDescent="0.25">
      <c r="A1338" s="26"/>
      <c r="B1338">
        <v>1</v>
      </c>
    </row>
    <row r="1339" spans="1:2" x14ac:dyDescent="0.25">
      <c r="A1339" s="27"/>
      <c r="B1339">
        <v>1</v>
      </c>
    </row>
    <row r="1340" spans="1:2" x14ac:dyDescent="0.25">
      <c r="A1340" s="26"/>
      <c r="B1340">
        <v>1</v>
      </c>
    </row>
    <row r="1341" spans="1:2" x14ac:dyDescent="0.25">
      <c r="A1341" s="27"/>
      <c r="B1341">
        <v>1</v>
      </c>
    </row>
    <row r="1342" spans="1:2" x14ac:dyDescent="0.25">
      <c r="A1342" s="26"/>
      <c r="B1342">
        <v>1</v>
      </c>
    </row>
    <row r="1343" spans="1:2" x14ac:dyDescent="0.25">
      <c r="A1343" s="27"/>
      <c r="B1343">
        <v>1</v>
      </c>
    </row>
    <row r="1344" spans="1:2" x14ac:dyDescent="0.25">
      <c r="A1344" s="26"/>
      <c r="B1344">
        <v>1</v>
      </c>
    </row>
    <row r="1345" spans="1:2" x14ac:dyDescent="0.25">
      <c r="A1345" s="27"/>
      <c r="B1345">
        <v>1</v>
      </c>
    </row>
    <row r="1346" spans="1:2" x14ac:dyDescent="0.25">
      <c r="A1346" s="26"/>
      <c r="B1346">
        <v>1</v>
      </c>
    </row>
    <row r="1347" spans="1:2" x14ac:dyDescent="0.25">
      <c r="A1347" s="27"/>
      <c r="B1347">
        <v>1</v>
      </c>
    </row>
    <row r="1348" spans="1:2" x14ac:dyDescent="0.25">
      <c r="A1348" s="26"/>
      <c r="B1348">
        <v>1</v>
      </c>
    </row>
    <row r="1349" spans="1:2" x14ac:dyDescent="0.25">
      <c r="A1349" s="27"/>
      <c r="B1349">
        <v>1</v>
      </c>
    </row>
    <row r="1350" spans="1:2" x14ac:dyDescent="0.25">
      <c r="A1350" s="26"/>
      <c r="B1350">
        <v>1</v>
      </c>
    </row>
    <row r="1351" spans="1:2" x14ac:dyDescent="0.25">
      <c r="A1351" s="27"/>
      <c r="B1351">
        <v>1</v>
      </c>
    </row>
    <row r="1352" spans="1:2" x14ac:dyDescent="0.25">
      <c r="A1352" s="26"/>
      <c r="B1352">
        <v>1</v>
      </c>
    </row>
    <row r="1353" spans="1:2" x14ac:dyDescent="0.25">
      <c r="A1353" s="27"/>
      <c r="B1353">
        <v>1</v>
      </c>
    </row>
    <row r="1354" spans="1:2" x14ac:dyDescent="0.25">
      <c r="A1354" s="26"/>
      <c r="B1354">
        <v>1</v>
      </c>
    </row>
    <row r="1355" spans="1:2" x14ac:dyDescent="0.25">
      <c r="A1355" s="27"/>
      <c r="B1355">
        <v>1</v>
      </c>
    </row>
    <row r="1356" spans="1:2" x14ac:dyDescent="0.25">
      <c r="A1356" s="26"/>
      <c r="B1356">
        <v>1</v>
      </c>
    </row>
    <row r="1357" spans="1:2" x14ac:dyDescent="0.25">
      <c r="A1357" s="27"/>
      <c r="B1357">
        <v>1</v>
      </c>
    </row>
    <row r="1358" spans="1:2" x14ac:dyDescent="0.25">
      <c r="A1358" s="26"/>
      <c r="B1358">
        <v>1</v>
      </c>
    </row>
    <row r="1359" spans="1:2" x14ac:dyDescent="0.25">
      <c r="A1359" s="27"/>
      <c r="B1359">
        <v>1</v>
      </c>
    </row>
    <row r="1360" spans="1:2" x14ac:dyDescent="0.25">
      <c r="A1360" s="26"/>
      <c r="B1360">
        <v>1</v>
      </c>
    </row>
    <row r="1361" spans="1:2" x14ac:dyDescent="0.25">
      <c r="A1361" s="27"/>
      <c r="B1361">
        <v>1</v>
      </c>
    </row>
    <row r="1362" spans="1:2" x14ac:dyDescent="0.25">
      <c r="A1362" s="26"/>
      <c r="B1362">
        <v>1</v>
      </c>
    </row>
    <row r="1363" spans="1:2" x14ac:dyDescent="0.25">
      <c r="A1363" s="27"/>
      <c r="B1363">
        <v>1</v>
      </c>
    </row>
    <row r="1364" spans="1:2" x14ac:dyDescent="0.25">
      <c r="A1364" s="26"/>
      <c r="B1364">
        <v>1</v>
      </c>
    </row>
    <row r="1365" spans="1:2" x14ac:dyDescent="0.25">
      <c r="A1365" s="27"/>
      <c r="B1365">
        <v>1</v>
      </c>
    </row>
    <row r="1366" spans="1:2" x14ac:dyDescent="0.25">
      <c r="A1366" s="26"/>
      <c r="B1366">
        <v>1</v>
      </c>
    </row>
    <row r="1367" spans="1:2" x14ac:dyDescent="0.25">
      <c r="A1367" s="27"/>
      <c r="B1367">
        <v>1</v>
      </c>
    </row>
    <row r="1368" spans="1:2" x14ac:dyDescent="0.25">
      <c r="A1368" s="26"/>
      <c r="B1368">
        <v>1</v>
      </c>
    </row>
    <row r="1369" spans="1:2" x14ac:dyDescent="0.25">
      <c r="A1369" s="27"/>
      <c r="B1369">
        <v>1</v>
      </c>
    </row>
    <row r="1370" spans="1:2" x14ac:dyDescent="0.25">
      <c r="A1370" s="26"/>
      <c r="B1370">
        <v>1</v>
      </c>
    </row>
    <row r="1371" spans="1:2" x14ac:dyDescent="0.25">
      <c r="A1371" s="27"/>
      <c r="B1371">
        <v>1</v>
      </c>
    </row>
    <row r="1372" spans="1:2" x14ac:dyDescent="0.25">
      <c r="A1372" s="26"/>
      <c r="B1372">
        <v>1</v>
      </c>
    </row>
    <row r="1373" spans="1:2" x14ac:dyDescent="0.25">
      <c r="A1373" s="27"/>
      <c r="B1373">
        <v>1</v>
      </c>
    </row>
    <row r="1374" spans="1:2" x14ac:dyDescent="0.25">
      <c r="A1374" s="26"/>
      <c r="B1374">
        <v>1</v>
      </c>
    </row>
    <row r="1375" spans="1:2" x14ac:dyDescent="0.25">
      <c r="A1375" s="27"/>
      <c r="B1375">
        <v>1</v>
      </c>
    </row>
    <row r="1376" spans="1:2" x14ac:dyDescent="0.25">
      <c r="A1376" s="26"/>
      <c r="B1376">
        <v>1</v>
      </c>
    </row>
    <row r="1377" spans="1:2" x14ac:dyDescent="0.25">
      <c r="A1377" s="27"/>
      <c r="B1377">
        <v>1</v>
      </c>
    </row>
    <row r="1378" spans="1:2" x14ac:dyDescent="0.25">
      <c r="A1378" s="26"/>
      <c r="B1378">
        <v>1</v>
      </c>
    </row>
    <row r="1379" spans="1:2" x14ac:dyDescent="0.25">
      <c r="A1379" s="27"/>
      <c r="B1379">
        <v>1</v>
      </c>
    </row>
    <row r="1380" spans="1:2" x14ac:dyDescent="0.25">
      <c r="A1380" s="26"/>
      <c r="B1380">
        <v>1</v>
      </c>
    </row>
    <row r="1381" spans="1:2" x14ac:dyDescent="0.25">
      <c r="A1381" s="27"/>
      <c r="B1381">
        <v>1</v>
      </c>
    </row>
    <row r="1382" spans="1:2" x14ac:dyDescent="0.25">
      <c r="A1382" s="26"/>
      <c r="B1382">
        <v>1</v>
      </c>
    </row>
    <row r="1383" spans="1:2" x14ac:dyDescent="0.25">
      <c r="A1383" s="27"/>
      <c r="B1383">
        <v>1</v>
      </c>
    </row>
    <row r="1384" spans="1:2" x14ac:dyDescent="0.25">
      <c r="A1384" s="26"/>
      <c r="B1384">
        <v>1</v>
      </c>
    </row>
    <row r="1385" spans="1:2" x14ac:dyDescent="0.25">
      <c r="A1385" s="27"/>
      <c r="B1385">
        <v>1</v>
      </c>
    </row>
    <row r="1386" spans="1:2" x14ac:dyDescent="0.25">
      <c r="A1386" s="26"/>
      <c r="B1386">
        <v>1</v>
      </c>
    </row>
    <row r="1387" spans="1:2" x14ac:dyDescent="0.25">
      <c r="A1387" s="27"/>
      <c r="B1387">
        <v>1</v>
      </c>
    </row>
    <row r="1388" spans="1:2" x14ac:dyDescent="0.25">
      <c r="A1388" s="26"/>
      <c r="B1388">
        <v>1</v>
      </c>
    </row>
    <row r="1389" spans="1:2" x14ac:dyDescent="0.25">
      <c r="A1389" s="27"/>
      <c r="B1389">
        <v>1</v>
      </c>
    </row>
    <row r="1390" spans="1:2" x14ac:dyDescent="0.25">
      <c r="A1390" s="26"/>
      <c r="B1390">
        <v>1</v>
      </c>
    </row>
    <row r="1391" spans="1:2" x14ac:dyDescent="0.25">
      <c r="A1391" s="27"/>
      <c r="B1391">
        <v>1</v>
      </c>
    </row>
    <row r="1392" spans="1:2" x14ac:dyDescent="0.25">
      <c r="A1392" s="26"/>
      <c r="B1392">
        <v>1</v>
      </c>
    </row>
    <row r="1393" spans="1:2" x14ac:dyDescent="0.25">
      <c r="A1393" s="27"/>
      <c r="B1393">
        <v>1</v>
      </c>
    </row>
    <row r="1394" spans="1:2" x14ac:dyDescent="0.25">
      <c r="A1394" s="26"/>
      <c r="B1394">
        <v>1</v>
      </c>
    </row>
    <row r="1395" spans="1:2" x14ac:dyDescent="0.25">
      <c r="A1395" s="27"/>
      <c r="B1395">
        <v>1</v>
      </c>
    </row>
    <row r="1396" spans="1:2" x14ac:dyDescent="0.25">
      <c r="A1396" s="26"/>
      <c r="B1396">
        <v>1</v>
      </c>
    </row>
    <row r="1397" spans="1:2" x14ac:dyDescent="0.25">
      <c r="A1397" s="27"/>
      <c r="B1397">
        <v>1</v>
      </c>
    </row>
    <row r="1398" spans="1:2" x14ac:dyDescent="0.25">
      <c r="A1398" s="26"/>
      <c r="B1398">
        <v>1</v>
      </c>
    </row>
    <row r="1399" spans="1:2" x14ac:dyDescent="0.25">
      <c r="A1399" s="27"/>
      <c r="B1399">
        <v>1</v>
      </c>
    </row>
    <row r="1400" spans="1:2" x14ac:dyDescent="0.25">
      <c r="A1400" s="26"/>
      <c r="B1400">
        <v>1</v>
      </c>
    </row>
    <row r="1401" spans="1:2" x14ac:dyDescent="0.25">
      <c r="A1401" s="27"/>
      <c r="B1401">
        <v>1</v>
      </c>
    </row>
    <row r="1402" spans="1:2" x14ac:dyDescent="0.25">
      <c r="A1402" s="26"/>
      <c r="B1402">
        <v>1</v>
      </c>
    </row>
    <row r="1403" spans="1:2" x14ac:dyDescent="0.25">
      <c r="A1403" s="27"/>
      <c r="B1403">
        <v>1</v>
      </c>
    </row>
    <row r="1404" spans="1:2" x14ac:dyDescent="0.25">
      <c r="A1404" s="26"/>
      <c r="B1404">
        <v>1</v>
      </c>
    </row>
    <row r="1405" spans="1:2" x14ac:dyDescent="0.25">
      <c r="A1405" s="27"/>
      <c r="B1405">
        <v>1</v>
      </c>
    </row>
    <row r="1406" spans="1:2" x14ac:dyDescent="0.25">
      <c r="A1406" s="26"/>
      <c r="B1406">
        <v>1</v>
      </c>
    </row>
    <row r="1407" spans="1:2" x14ac:dyDescent="0.25">
      <c r="A1407" s="27"/>
      <c r="B1407">
        <v>1</v>
      </c>
    </row>
    <row r="1408" spans="1:2" x14ac:dyDescent="0.25">
      <c r="A1408" s="26"/>
      <c r="B1408">
        <v>1</v>
      </c>
    </row>
    <row r="1409" spans="1:2" x14ac:dyDescent="0.25">
      <c r="A1409" s="27"/>
      <c r="B1409">
        <v>1</v>
      </c>
    </row>
    <row r="1410" spans="1:2" x14ac:dyDescent="0.25">
      <c r="A1410" s="26"/>
      <c r="B1410">
        <v>1</v>
      </c>
    </row>
    <row r="1411" spans="1:2" x14ac:dyDescent="0.25">
      <c r="A1411" s="27"/>
      <c r="B1411">
        <v>1</v>
      </c>
    </row>
    <row r="1412" spans="1:2" x14ac:dyDescent="0.25">
      <c r="A1412" s="26"/>
      <c r="B1412">
        <v>1</v>
      </c>
    </row>
    <row r="1413" spans="1:2" x14ac:dyDescent="0.25">
      <c r="A1413" s="27"/>
      <c r="B1413">
        <v>1</v>
      </c>
    </row>
    <row r="1414" spans="1:2" x14ac:dyDescent="0.25">
      <c r="A1414" s="26"/>
      <c r="B1414">
        <v>1</v>
      </c>
    </row>
    <row r="1415" spans="1:2" x14ac:dyDescent="0.25">
      <c r="A1415" s="27"/>
      <c r="B1415">
        <v>1</v>
      </c>
    </row>
    <row r="1416" spans="1:2" x14ac:dyDescent="0.25">
      <c r="A1416" s="26"/>
      <c r="B1416">
        <v>1</v>
      </c>
    </row>
    <row r="1417" spans="1:2" x14ac:dyDescent="0.25">
      <c r="A1417" s="27"/>
      <c r="B1417">
        <v>1</v>
      </c>
    </row>
    <row r="1418" spans="1:2" x14ac:dyDescent="0.25">
      <c r="A1418" s="26"/>
      <c r="B1418">
        <v>1</v>
      </c>
    </row>
    <row r="1419" spans="1:2" x14ac:dyDescent="0.25">
      <c r="A1419" s="27"/>
      <c r="B1419">
        <v>1</v>
      </c>
    </row>
    <row r="1420" spans="1:2" x14ac:dyDescent="0.25">
      <c r="A1420" s="26"/>
      <c r="B1420">
        <v>1</v>
      </c>
    </row>
    <row r="1421" spans="1:2" x14ac:dyDescent="0.25">
      <c r="A1421" s="27"/>
      <c r="B1421">
        <v>1</v>
      </c>
    </row>
    <row r="1422" spans="1:2" x14ac:dyDescent="0.25">
      <c r="A1422" s="26"/>
      <c r="B1422">
        <v>1</v>
      </c>
    </row>
    <row r="1423" spans="1:2" x14ac:dyDescent="0.25">
      <c r="A1423" s="27"/>
      <c r="B1423">
        <v>1</v>
      </c>
    </row>
    <row r="1424" spans="1:2" x14ac:dyDescent="0.25">
      <c r="A1424" s="26"/>
      <c r="B1424">
        <v>1</v>
      </c>
    </row>
    <row r="1425" spans="1:2" x14ac:dyDescent="0.25">
      <c r="A1425" s="27"/>
      <c r="B1425">
        <v>1</v>
      </c>
    </row>
    <row r="1426" spans="1:2" x14ac:dyDescent="0.25">
      <c r="A1426" s="26"/>
      <c r="B1426">
        <v>1</v>
      </c>
    </row>
    <row r="1427" spans="1:2" x14ac:dyDescent="0.25">
      <c r="A1427" s="27"/>
      <c r="B1427">
        <v>1</v>
      </c>
    </row>
    <row r="1428" spans="1:2" x14ac:dyDescent="0.25">
      <c r="A1428" s="26"/>
      <c r="B1428">
        <v>1</v>
      </c>
    </row>
    <row r="1429" spans="1:2" x14ac:dyDescent="0.25">
      <c r="A1429" s="27"/>
      <c r="B1429">
        <v>1</v>
      </c>
    </row>
    <row r="1430" spans="1:2" x14ac:dyDescent="0.25">
      <c r="A1430" s="26"/>
      <c r="B1430">
        <v>1</v>
      </c>
    </row>
    <row r="1431" spans="1:2" x14ac:dyDescent="0.25">
      <c r="A1431" s="27"/>
      <c r="B1431">
        <v>1</v>
      </c>
    </row>
    <row r="1432" spans="1:2" x14ac:dyDescent="0.25">
      <c r="A1432" s="26"/>
      <c r="B1432">
        <v>1</v>
      </c>
    </row>
    <row r="1433" spans="1:2" x14ac:dyDescent="0.25">
      <c r="A1433" s="27"/>
      <c r="B1433">
        <v>1</v>
      </c>
    </row>
    <row r="1434" spans="1:2" x14ac:dyDescent="0.25">
      <c r="A1434" s="26"/>
      <c r="B1434">
        <v>1</v>
      </c>
    </row>
    <row r="1435" spans="1:2" x14ac:dyDescent="0.25">
      <c r="A1435" s="27"/>
      <c r="B1435">
        <v>1</v>
      </c>
    </row>
    <row r="1436" spans="1:2" x14ac:dyDescent="0.25">
      <c r="A1436" s="26"/>
      <c r="B1436">
        <v>1</v>
      </c>
    </row>
    <row r="1437" spans="1:2" x14ac:dyDescent="0.25">
      <c r="A1437" s="27"/>
      <c r="B1437">
        <v>1</v>
      </c>
    </row>
    <row r="1438" spans="1:2" x14ac:dyDescent="0.25">
      <c r="A1438" s="26"/>
      <c r="B1438">
        <v>1</v>
      </c>
    </row>
    <row r="1439" spans="1:2" x14ac:dyDescent="0.25">
      <c r="A1439" s="27"/>
      <c r="B1439">
        <v>1</v>
      </c>
    </row>
    <row r="1440" spans="1:2" x14ac:dyDescent="0.25">
      <c r="A1440" s="26"/>
      <c r="B1440">
        <v>1</v>
      </c>
    </row>
    <row r="1441" spans="1:2" x14ac:dyDescent="0.25">
      <c r="A1441" s="27"/>
      <c r="B1441">
        <v>1</v>
      </c>
    </row>
    <row r="1442" spans="1:2" x14ac:dyDescent="0.25">
      <c r="A1442" s="26"/>
      <c r="B1442">
        <v>1</v>
      </c>
    </row>
    <row r="1443" spans="1:2" x14ac:dyDescent="0.25">
      <c r="A1443" s="27"/>
      <c r="B1443">
        <v>1</v>
      </c>
    </row>
    <row r="1444" spans="1:2" x14ac:dyDescent="0.25">
      <c r="A1444" s="26"/>
      <c r="B1444">
        <v>1</v>
      </c>
    </row>
    <row r="1445" spans="1:2" x14ac:dyDescent="0.25">
      <c r="A1445" s="27"/>
      <c r="B1445">
        <v>1</v>
      </c>
    </row>
    <row r="1446" spans="1:2" x14ac:dyDescent="0.25">
      <c r="A1446" s="26"/>
      <c r="B1446">
        <v>1</v>
      </c>
    </row>
    <row r="1447" spans="1:2" x14ac:dyDescent="0.25">
      <c r="A1447" s="27"/>
      <c r="B1447">
        <v>1</v>
      </c>
    </row>
    <row r="1448" spans="1:2" x14ac:dyDescent="0.25">
      <c r="A1448" s="26"/>
      <c r="B1448">
        <v>1</v>
      </c>
    </row>
    <row r="1449" spans="1:2" x14ac:dyDescent="0.25">
      <c r="A1449" s="27"/>
      <c r="B1449">
        <v>1</v>
      </c>
    </row>
    <row r="1450" spans="1:2" x14ac:dyDescent="0.25">
      <c r="A1450" s="26"/>
      <c r="B1450">
        <v>1</v>
      </c>
    </row>
    <row r="1451" spans="1:2" x14ac:dyDescent="0.25">
      <c r="A1451" s="27"/>
      <c r="B1451">
        <v>1</v>
      </c>
    </row>
    <row r="1452" spans="1:2" x14ac:dyDescent="0.25">
      <c r="A1452" s="26"/>
      <c r="B1452">
        <v>1</v>
      </c>
    </row>
    <row r="1453" spans="1:2" x14ac:dyDescent="0.25">
      <c r="A1453" s="27"/>
      <c r="B1453">
        <v>1</v>
      </c>
    </row>
    <row r="1454" spans="1:2" x14ac:dyDescent="0.25">
      <c r="A1454" s="26"/>
      <c r="B1454">
        <v>1</v>
      </c>
    </row>
    <row r="1455" spans="1:2" x14ac:dyDescent="0.25">
      <c r="A1455" s="27"/>
      <c r="B1455">
        <v>1</v>
      </c>
    </row>
    <row r="1456" spans="1:2" x14ac:dyDescent="0.25">
      <c r="A1456" s="26"/>
      <c r="B1456">
        <v>1</v>
      </c>
    </row>
    <row r="1457" spans="1:2" x14ac:dyDescent="0.25">
      <c r="A1457" s="27"/>
      <c r="B1457">
        <v>1</v>
      </c>
    </row>
    <row r="1458" spans="1:2" x14ac:dyDescent="0.25">
      <c r="A1458" s="26"/>
      <c r="B1458">
        <v>1</v>
      </c>
    </row>
    <row r="1459" spans="1:2" x14ac:dyDescent="0.25">
      <c r="A1459" s="27"/>
      <c r="B1459">
        <v>1</v>
      </c>
    </row>
    <row r="1460" spans="1:2" x14ac:dyDescent="0.25">
      <c r="A1460" s="26"/>
      <c r="B1460">
        <v>1</v>
      </c>
    </row>
    <row r="1461" spans="1:2" x14ac:dyDescent="0.25">
      <c r="A1461" s="27"/>
      <c r="B1461">
        <v>1</v>
      </c>
    </row>
    <row r="1462" spans="1:2" x14ac:dyDescent="0.25">
      <c r="A1462" s="26"/>
      <c r="B1462">
        <v>1</v>
      </c>
    </row>
    <row r="1463" spans="1:2" x14ac:dyDescent="0.25">
      <c r="A1463" s="27"/>
      <c r="B1463">
        <v>1</v>
      </c>
    </row>
    <row r="1464" spans="1:2" x14ac:dyDescent="0.25">
      <c r="A1464" s="26"/>
      <c r="B1464">
        <v>1</v>
      </c>
    </row>
    <row r="1465" spans="1:2" x14ac:dyDescent="0.25">
      <c r="A1465" s="27"/>
      <c r="B1465">
        <v>1</v>
      </c>
    </row>
    <row r="1466" spans="1:2" x14ac:dyDescent="0.25">
      <c r="A1466" s="26"/>
      <c r="B1466">
        <v>1</v>
      </c>
    </row>
    <row r="1467" spans="1:2" x14ac:dyDescent="0.25">
      <c r="A1467" s="27"/>
      <c r="B1467">
        <v>1</v>
      </c>
    </row>
    <row r="1468" spans="1:2" x14ac:dyDescent="0.25">
      <c r="A1468" s="26"/>
      <c r="B1468">
        <v>1</v>
      </c>
    </row>
    <row r="1469" spans="1:2" x14ac:dyDescent="0.25">
      <c r="A1469" s="27"/>
      <c r="B1469">
        <v>1</v>
      </c>
    </row>
    <row r="1470" spans="1:2" x14ac:dyDescent="0.25">
      <c r="A1470" s="26"/>
      <c r="B1470">
        <v>1</v>
      </c>
    </row>
    <row r="1471" spans="1:2" x14ac:dyDescent="0.25">
      <c r="A1471" s="27"/>
      <c r="B1471">
        <v>1</v>
      </c>
    </row>
    <row r="1472" spans="1:2" x14ac:dyDescent="0.25">
      <c r="A1472" s="26"/>
      <c r="B1472">
        <v>1</v>
      </c>
    </row>
    <row r="1473" spans="1:2" x14ac:dyDescent="0.25">
      <c r="A1473" s="27"/>
      <c r="B1473">
        <v>1</v>
      </c>
    </row>
    <row r="1474" spans="1:2" x14ac:dyDescent="0.25">
      <c r="A1474" s="26"/>
      <c r="B1474">
        <v>1</v>
      </c>
    </row>
    <row r="1475" spans="1:2" x14ac:dyDescent="0.25">
      <c r="A1475" s="27"/>
      <c r="B1475">
        <v>1</v>
      </c>
    </row>
    <row r="1476" spans="1:2" x14ac:dyDescent="0.25">
      <c r="A1476" s="26"/>
      <c r="B1476">
        <v>1</v>
      </c>
    </row>
    <row r="1477" spans="1:2" x14ac:dyDescent="0.25">
      <c r="A1477" s="27"/>
      <c r="B1477">
        <v>1</v>
      </c>
    </row>
    <row r="1478" spans="1:2" x14ac:dyDescent="0.25">
      <c r="A1478" s="26"/>
      <c r="B1478">
        <v>1</v>
      </c>
    </row>
    <row r="1479" spans="1:2" x14ac:dyDescent="0.25">
      <c r="A1479" s="27"/>
      <c r="B1479">
        <v>1</v>
      </c>
    </row>
    <row r="1480" spans="1:2" x14ac:dyDescent="0.25">
      <c r="A1480" s="26"/>
      <c r="B1480">
        <v>1</v>
      </c>
    </row>
    <row r="1481" spans="1:2" x14ac:dyDescent="0.25">
      <c r="A1481" s="27"/>
      <c r="B1481">
        <v>1</v>
      </c>
    </row>
    <row r="1482" spans="1:2" x14ac:dyDescent="0.25">
      <c r="A1482" s="26"/>
      <c r="B1482">
        <v>1</v>
      </c>
    </row>
    <row r="1483" spans="1:2" x14ac:dyDescent="0.25">
      <c r="A1483" s="27"/>
      <c r="B1483">
        <v>1</v>
      </c>
    </row>
    <row r="1484" spans="1:2" x14ac:dyDescent="0.25">
      <c r="A1484" s="26"/>
      <c r="B1484">
        <v>1</v>
      </c>
    </row>
    <row r="1485" spans="1:2" x14ac:dyDescent="0.25">
      <c r="A1485" s="27"/>
      <c r="B1485">
        <v>1</v>
      </c>
    </row>
    <row r="1486" spans="1:2" x14ac:dyDescent="0.25">
      <c r="A1486" s="26"/>
      <c r="B1486">
        <v>1</v>
      </c>
    </row>
    <row r="1487" spans="1:2" x14ac:dyDescent="0.25">
      <c r="A1487" s="27"/>
      <c r="B1487">
        <v>1</v>
      </c>
    </row>
    <row r="1488" spans="1:2" x14ac:dyDescent="0.25">
      <c r="A1488" s="26"/>
      <c r="B1488">
        <v>1</v>
      </c>
    </row>
    <row r="1489" spans="1:2" x14ac:dyDescent="0.25">
      <c r="A1489" s="27"/>
      <c r="B1489">
        <v>1</v>
      </c>
    </row>
    <row r="1490" spans="1:2" x14ac:dyDescent="0.25">
      <c r="A1490" s="26"/>
      <c r="B1490">
        <v>1</v>
      </c>
    </row>
    <row r="1491" spans="1:2" x14ac:dyDescent="0.25">
      <c r="A1491" s="27"/>
      <c r="B1491">
        <v>1</v>
      </c>
    </row>
    <row r="1492" spans="1:2" x14ac:dyDescent="0.25">
      <c r="A1492" s="26"/>
      <c r="B1492">
        <v>1</v>
      </c>
    </row>
    <row r="1493" spans="1:2" x14ac:dyDescent="0.25">
      <c r="A1493" s="27"/>
      <c r="B1493">
        <v>1</v>
      </c>
    </row>
    <row r="1494" spans="1:2" x14ac:dyDescent="0.25">
      <c r="A1494" s="26"/>
      <c r="B1494">
        <v>1</v>
      </c>
    </row>
    <row r="1495" spans="1:2" x14ac:dyDescent="0.25">
      <c r="A1495" s="27"/>
      <c r="B1495">
        <v>1</v>
      </c>
    </row>
    <row r="1496" spans="1:2" x14ac:dyDescent="0.25">
      <c r="A1496" s="26"/>
      <c r="B1496">
        <v>1</v>
      </c>
    </row>
    <row r="1497" spans="1:2" x14ac:dyDescent="0.25">
      <c r="A1497" s="27"/>
      <c r="B1497">
        <v>1</v>
      </c>
    </row>
    <row r="1498" spans="1:2" x14ac:dyDescent="0.25">
      <c r="A1498" s="26"/>
      <c r="B1498">
        <v>1</v>
      </c>
    </row>
    <row r="1499" spans="1:2" x14ac:dyDescent="0.25">
      <c r="A1499" s="27"/>
      <c r="B1499">
        <v>1</v>
      </c>
    </row>
    <row r="1500" spans="1:2" x14ac:dyDescent="0.25">
      <c r="A1500" s="26"/>
      <c r="B1500">
        <v>1</v>
      </c>
    </row>
    <row r="1501" spans="1:2" x14ac:dyDescent="0.25">
      <c r="A1501" s="27"/>
      <c r="B1501">
        <v>1</v>
      </c>
    </row>
    <row r="1502" spans="1:2" x14ac:dyDescent="0.25">
      <c r="A1502" s="26"/>
      <c r="B1502">
        <v>1</v>
      </c>
    </row>
    <row r="1503" spans="1:2" x14ac:dyDescent="0.25">
      <c r="A1503" s="27"/>
      <c r="B1503">
        <v>1</v>
      </c>
    </row>
    <row r="1504" spans="1:2" x14ac:dyDescent="0.25">
      <c r="A1504" s="26"/>
      <c r="B1504">
        <v>1</v>
      </c>
    </row>
    <row r="1505" spans="1:2" x14ac:dyDescent="0.25">
      <c r="A1505" s="27"/>
      <c r="B1505">
        <v>1</v>
      </c>
    </row>
    <row r="1506" spans="1:2" x14ac:dyDescent="0.25">
      <c r="A1506" s="26"/>
      <c r="B1506">
        <v>1</v>
      </c>
    </row>
    <row r="1507" spans="1:2" x14ac:dyDescent="0.25">
      <c r="A1507" s="27"/>
      <c r="B1507">
        <v>1</v>
      </c>
    </row>
    <row r="1508" spans="1:2" x14ac:dyDescent="0.25">
      <c r="A1508" s="26"/>
      <c r="B1508">
        <v>1</v>
      </c>
    </row>
    <row r="1509" spans="1:2" x14ac:dyDescent="0.25">
      <c r="A1509" s="27"/>
      <c r="B1509">
        <v>1</v>
      </c>
    </row>
    <row r="1510" spans="1:2" x14ac:dyDescent="0.25">
      <c r="A1510" s="26"/>
      <c r="B1510">
        <v>1</v>
      </c>
    </row>
    <row r="1511" spans="1:2" x14ac:dyDescent="0.25">
      <c r="A1511" s="27"/>
      <c r="B1511">
        <v>1</v>
      </c>
    </row>
    <row r="1512" spans="1:2" x14ac:dyDescent="0.25">
      <c r="A1512" s="26"/>
      <c r="B1512">
        <v>1</v>
      </c>
    </row>
    <row r="1513" spans="1:2" x14ac:dyDescent="0.25">
      <c r="A1513" s="27"/>
      <c r="B1513">
        <v>1</v>
      </c>
    </row>
    <row r="1514" spans="1:2" x14ac:dyDescent="0.25">
      <c r="A1514" s="26"/>
      <c r="B1514">
        <v>1</v>
      </c>
    </row>
    <row r="1515" spans="1:2" x14ac:dyDescent="0.25">
      <c r="A1515" s="27"/>
      <c r="B1515">
        <v>1</v>
      </c>
    </row>
    <row r="1516" spans="1:2" x14ac:dyDescent="0.25">
      <c r="A1516" s="26"/>
      <c r="B1516">
        <v>1</v>
      </c>
    </row>
    <row r="1517" spans="1:2" x14ac:dyDescent="0.25">
      <c r="A1517" s="27"/>
      <c r="B1517">
        <v>1</v>
      </c>
    </row>
    <row r="1518" spans="1:2" x14ac:dyDescent="0.25">
      <c r="A1518" s="26"/>
      <c r="B1518">
        <v>1</v>
      </c>
    </row>
    <row r="1519" spans="1:2" x14ac:dyDescent="0.25">
      <c r="A1519" s="27"/>
      <c r="B1519">
        <v>1</v>
      </c>
    </row>
    <row r="1520" spans="1:2" x14ac:dyDescent="0.25">
      <c r="A1520" s="26"/>
      <c r="B1520">
        <v>1</v>
      </c>
    </row>
    <row r="1521" spans="1:2" x14ac:dyDescent="0.25">
      <c r="A1521" s="27"/>
      <c r="B1521">
        <v>1</v>
      </c>
    </row>
    <row r="1522" spans="1:2" x14ac:dyDescent="0.25">
      <c r="A1522" s="26"/>
      <c r="B1522">
        <v>1</v>
      </c>
    </row>
    <row r="1523" spans="1:2" x14ac:dyDescent="0.25">
      <c r="A1523" s="27"/>
      <c r="B1523">
        <v>1</v>
      </c>
    </row>
    <row r="1524" spans="1:2" x14ac:dyDescent="0.25">
      <c r="A1524" s="26"/>
      <c r="B1524">
        <v>1</v>
      </c>
    </row>
    <row r="1525" spans="1:2" x14ac:dyDescent="0.25">
      <c r="A1525" s="27"/>
      <c r="B1525">
        <v>1</v>
      </c>
    </row>
    <row r="1526" spans="1:2" x14ac:dyDescent="0.25">
      <c r="A1526" s="26"/>
      <c r="B1526">
        <v>1</v>
      </c>
    </row>
    <row r="1527" spans="1:2" x14ac:dyDescent="0.25">
      <c r="A1527" s="27"/>
      <c r="B1527">
        <v>1</v>
      </c>
    </row>
    <row r="1528" spans="1:2" x14ac:dyDescent="0.25">
      <c r="A1528" s="26"/>
      <c r="B1528">
        <v>1</v>
      </c>
    </row>
    <row r="1529" spans="1:2" x14ac:dyDescent="0.25">
      <c r="A1529" s="27"/>
      <c r="B1529">
        <v>1</v>
      </c>
    </row>
    <row r="1530" spans="1:2" x14ac:dyDescent="0.25">
      <c r="A1530" s="26"/>
      <c r="B1530">
        <v>1</v>
      </c>
    </row>
    <row r="1531" spans="1:2" x14ac:dyDescent="0.25">
      <c r="A1531" s="27"/>
      <c r="B1531">
        <v>1</v>
      </c>
    </row>
    <row r="1532" spans="1:2" x14ac:dyDescent="0.25">
      <c r="A1532" s="26"/>
      <c r="B1532">
        <v>1</v>
      </c>
    </row>
    <row r="1533" spans="1:2" x14ac:dyDescent="0.25">
      <c r="A1533" s="27"/>
      <c r="B1533">
        <v>1</v>
      </c>
    </row>
    <row r="1534" spans="1:2" x14ac:dyDescent="0.25">
      <c r="A1534" s="26"/>
      <c r="B1534">
        <v>1</v>
      </c>
    </row>
    <row r="1535" spans="1:2" x14ac:dyDescent="0.25">
      <c r="A1535" s="27"/>
      <c r="B1535">
        <v>1</v>
      </c>
    </row>
    <row r="1536" spans="1:2" x14ac:dyDescent="0.25">
      <c r="A1536" s="26"/>
      <c r="B1536">
        <v>1</v>
      </c>
    </row>
    <row r="1537" spans="1:2" x14ac:dyDescent="0.25">
      <c r="A1537" s="27"/>
      <c r="B1537">
        <v>1</v>
      </c>
    </row>
    <row r="1538" spans="1:2" x14ac:dyDescent="0.25">
      <c r="A1538" s="26"/>
      <c r="B1538">
        <v>1</v>
      </c>
    </row>
    <row r="1539" spans="1:2" x14ac:dyDescent="0.25">
      <c r="A1539" s="27"/>
      <c r="B1539">
        <v>1</v>
      </c>
    </row>
    <row r="1540" spans="1:2" x14ac:dyDescent="0.25">
      <c r="A1540" s="26"/>
      <c r="B1540">
        <v>1</v>
      </c>
    </row>
    <row r="1541" spans="1:2" x14ac:dyDescent="0.25">
      <c r="A1541" s="27"/>
      <c r="B1541">
        <v>1</v>
      </c>
    </row>
    <row r="1542" spans="1:2" x14ac:dyDescent="0.25">
      <c r="A1542" s="26"/>
      <c r="B1542">
        <v>1</v>
      </c>
    </row>
    <row r="1543" spans="1:2" x14ac:dyDescent="0.25">
      <c r="A1543" s="27"/>
      <c r="B1543">
        <v>1</v>
      </c>
    </row>
    <row r="1544" spans="1:2" x14ac:dyDescent="0.25">
      <c r="A1544" s="26"/>
      <c r="B1544">
        <v>1</v>
      </c>
    </row>
    <row r="1545" spans="1:2" x14ac:dyDescent="0.25">
      <c r="A1545" s="27"/>
      <c r="B1545">
        <v>1</v>
      </c>
    </row>
    <row r="1546" spans="1:2" x14ac:dyDescent="0.25">
      <c r="A1546" s="26"/>
      <c r="B1546">
        <v>1</v>
      </c>
    </row>
    <row r="1547" spans="1:2" x14ac:dyDescent="0.25">
      <c r="A1547" s="27"/>
      <c r="B1547">
        <v>1</v>
      </c>
    </row>
    <row r="1548" spans="1:2" x14ac:dyDescent="0.25">
      <c r="A1548" s="26"/>
      <c r="B1548">
        <v>1</v>
      </c>
    </row>
    <row r="1549" spans="1:2" x14ac:dyDescent="0.25">
      <c r="A1549" s="27"/>
      <c r="B1549">
        <v>1</v>
      </c>
    </row>
    <row r="1550" spans="1:2" x14ac:dyDescent="0.25">
      <c r="A1550" s="26"/>
      <c r="B1550">
        <v>1</v>
      </c>
    </row>
    <row r="1551" spans="1:2" x14ac:dyDescent="0.25">
      <c r="A1551" s="27"/>
      <c r="B1551">
        <v>1</v>
      </c>
    </row>
    <row r="1552" spans="1:2" x14ac:dyDescent="0.25">
      <c r="A1552" s="26"/>
      <c r="B1552">
        <v>1</v>
      </c>
    </row>
    <row r="1553" spans="1:2" x14ac:dyDescent="0.25">
      <c r="A1553" s="27"/>
      <c r="B1553">
        <v>1</v>
      </c>
    </row>
    <row r="1554" spans="1:2" x14ac:dyDescent="0.25">
      <c r="A1554" s="26"/>
      <c r="B1554">
        <v>1</v>
      </c>
    </row>
    <row r="1555" spans="1:2" x14ac:dyDescent="0.25">
      <c r="A1555" s="27"/>
      <c r="B1555">
        <v>1</v>
      </c>
    </row>
    <row r="1556" spans="1:2" x14ac:dyDescent="0.25">
      <c r="A1556" s="26"/>
      <c r="B1556">
        <v>1</v>
      </c>
    </row>
    <row r="1557" spans="1:2" x14ac:dyDescent="0.25">
      <c r="A1557" s="27"/>
      <c r="B1557">
        <v>1</v>
      </c>
    </row>
    <row r="1558" spans="1:2" x14ac:dyDescent="0.25">
      <c r="A1558" s="26"/>
      <c r="B1558">
        <v>1</v>
      </c>
    </row>
    <row r="1559" spans="1:2" x14ac:dyDescent="0.25">
      <c r="A1559" s="27"/>
      <c r="B1559">
        <v>1</v>
      </c>
    </row>
    <row r="1560" spans="1:2" x14ac:dyDescent="0.25">
      <c r="A1560" s="26"/>
      <c r="B1560">
        <v>1</v>
      </c>
    </row>
    <row r="1561" spans="1:2" x14ac:dyDescent="0.25">
      <c r="A1561" s="27"/>
      <c r="B1561">
        <v>1</v>
      </c>
    </row>
    <row r="1562" spans="1:2" x14ac:dyDescent="0.25">
      <c r="A1562" s="26"/>
      <c r="B1562">
        <v>1</v>
      </c>
    </row>
    <row r="1563" spans="1:2" x14ac:dyDescent="0.25">
      <c r="A1563" s="27"/>
      <c r="B1563">
        <v>1</v>
      </c>
    </row>
    <row r="1564" spans="1:2" x14ac:dyDescent="0.25">
      <c r="A1564" s="26"/>
      <c r="B1564">
        <v>1</v>
      </c>
    </row>
    <row r="1565" spans="1:2" x14ac:dyDescent="0.25">
      <c r="A1565" s="27"/>
      <c r="B1565">
        <v>1</v>
      </c>
    </row>
    <row r="1566" spans="1:2" x14ac:dyDescent="0.25">
      <c r="A1566" s="26"/>
      <c r="B1566">
        <v>1</v>
      </c>
    </row>
    <row r="1567" spans="1:2" x14ac:dyDescent="0.25">
      <c r="A1567" s="27"/>
      <c r="B1567">
        <v>1</v>
      </c>
    </row>
    <row r="1568" spans="1:2" x14ac:dyDescent="0.25">
      <c r="A1568" s="26"/>
      <c r="B1568">
        <v>1</v>
      </c>
    </row>
    <row r="1569" spans="1:2" x14ac:dyDescent="0.25">
      <c r="A1569" s="27"/>
      <c r="B1569">
        <v>1</v>
      </c>
    </row>
    <row r="1570" spans="1:2" x14ac:dyDescent="0.25">
      <c r="A1570" s="26"/>
      <c r="B1570">
        <v>1</v>
      </c>
    </row>
    <row r="1571" spans="1:2" x14ac:dyDescent="0.25">
      <c r="A1571" s="27"/>
      <c r="B1571">
        <v>1</v>
      </c>
    </row>
    <row r="1572" spans="1:2" x14ac:dyDescent="0.25">
      <c r="A1572" s="26"/>
      <c r="B1572">
        <v>1</v>
      </c>
    </row>
    <row r="1573" spans="1:2" x14ac:dyDescent="0.25">
      <c r="A1573" s="27"/>
      <c r="B1573">
        <v>1</v>
      </c>
    </row>
    <row r="1574" spans="1:2" x14ac:dyDescent="0.25">
      <c r="A1574" s="26"/>
      <c r="B1574">
        <v>1</v>
      </c>
    </row>
    <row r="1575" spans="1:2" x14ac:dyDescent="0.25">
      <c r="A1575" s="27"/>
      <c r="B1575">
        <v>1</v>
      </c>
    </row>
    <row r="1576" spans="1:2" x14ac:dyDescent="0.25">
      <c r="A1576" s="26"/>
      <c r="B1576">
        <v>1</v>
      </c>
    </row>
    <row r="1577" spans="1:2" x14ac:dyDescent="0.25">
      <c r="A1577" s="27"/>
      <c r="B1577">
        <v>1</v>
      </c>
    </row>
    <row r="1578" spans="1:2" x14ac:dyDescent="0.25">
      <c r="A1578" s="26"/>
      <c r="B1578">
        <v>1</v>
      </c>
    </row>
    <row r="1579" spans="1:2" x14ac:dyDescent="0.25">
      <c r="A1579" s="27"/>
      <c r="B1579">
        <v>1</v>
      </c>
    </row>
    <row r="1580" spans="1:2" x14ac:dyDescent="0.25">
      <c r="A1580" s="26"/>
      <c r="B1580">
        <v>1</v>
      </c>
    </row>
    <row r="1581" spans="1:2" x14ac:dyDescent="0.25">
      <c r="A1581" s="27"/>
      <c r="B1581">
        <v>1</v>
      </c>
    </row>
    <row r="1582" spans="1:2" x14ac:dyDescent="0.25">
      <c r="A1582" s="26"/>
      <c r="B1582">
        <v>1</v>
      </c>
    </row>
    <row r="1583" spans="1:2" x14ac:dyDescent="0.25">
      <c r="A1583" s="27"/>
      <c r="B1583">
        <v>1</v>
      </c>
    </row>
    <row r="1584" spans="1:2" x14ac:dyDescent="0.25">
      <c r="A1584" s="26"/>
      <c r="B1584">
        <v>1</v>
      </c>
    </row>
    <row r="1585" spans="1:2" x14ac:dyDescent="0.25">
      <c r="A1585" s="27"/>
      <c r="B1585">
        <v>1</v>
      </c>
    </row>
    <row r="1586" spans="1:2" x14ac:dyDescent="0.25">
      <c r="A1586" s="26"/>
      <c r="B1586">
        <v>1</v>
      </c>
    </row>
    <row r="1587" spans="1:2" x14ac:dyDescent="0.25">
      <c r="A1587" s="27"/>
      <c r="B1587">
        <v>1</v>
      </c>
    </row>
    <row r="1588" spans="1:2" x14ac:dyDescent="0.25">
      <c r="A1588" s="26"/>
      <c r="B1588">
        <v>1</v>
      </c>
    </row>
    <row r="1589" spans="1:2" x14ac:dyDescent="0.25">
      <c r="A1589" s="27"/>
      <c r="B1589">
        <v>1</v>
      </c>
    </row>
    <row r="1590" spans="1:2" x14ac:dyDescent="0.25">
      <c r="A1590" s="26"/>
      <c r="B1590">
        <v>1</v>
      </c>
    </row>
    <row r="1591" spans="1:2" x14ac:dyDescent="0.25">
      <c r="A1591" s="27"/>
      <c r="B1591">
        <v>1</v>
      </c>
    </row>
    <row r="1592" spans="1:2" x14ac:dyDescent="0.25">
      <c r="A1592" s="26"/>
      <c r="B1592">
        <v>1</v>
      </c>
    </row>
    <row r="1593" spans="1:2" x14ac:dyDescent="0.25">
      <c r="A1593" s="27"/>
      <c r="B1593">
        <v>1</v>
      </c>
    </row>
    <row r="1594" spans="1:2" x14ac:dyDescent="0.25">
      <c r="A1594" s="26"/>
      <c r="B1594">
        <v>1</v>
      </c>
    </row>
    <row r="1595" spans="1:2" x14ac:dyDescent="0.25">
      <c r="A1595" s="27"/>
      <c r="B1595">
        <v>1</v>
      </c>
    </row>
    <row r="1596" spans="1:2" x14ac:dyDescent="0.25">
      <c r="A1596" s="26"/>
      <c r="B1596">
        <v>1</v>
      </c>
    </row>
    <row r="1597" spans="1:2" x14ac:dyDescent="0.25">
      <c r="A1597" s="27"/>
      <c r="B1597">
        <v>1</v>
      </c>
    </row>
    <row r="1598" spans="1:2" x14ac:dyDescent="0.25">
      <c r="A1598" s="26"/>
      <c r="B1598">
        <v>1</v>
      </c>
    </row>
    <row r="1599" spans="1:2" x14ac:dyDescent="0.25">
      <c r="A1599" s="27"/>
      <c r="B1599">
        <v>1</v>
      </c>
    </row>
    <row r="1600" spans="1:2" x14ac:dyDescent="0.25">
      <c r="A1600" s="26"/>
      <c r="B1600">
        <v>1</v>
      </c>
    </row>
    <row r="1601" spans="1:2" x14ac:dyDescent="0.25">
      <c r="A1601" s="27"/>
      <c r="B1601">
        <v>1</v>
      </c>
    </row>
    <row r="1602" spans="1:2" x14ac:dyDescent="0.25">
      <c r="A1602" s="26"/>
      <c r="B1602">
        <v>1</v>
      </c>
    </row>
    <row r="1603" spans="1:2" x14ac:dyDescent="0.25">
      <c r="A1603" s="27"/>
      <c r="B1603">
        <v>1</v>
      </c>
    </row>
    <row r="1604" spans="1:2" x14ac:dyDescent="0.25">
      <c r="A1604" s="26"/>
      <c r="B1604">
        <v>1</v>
      </c>
    </row>
    <row r="1605" spans="1:2" x14ac:dyDescent="0.25">
      <c r="A1605" s="27"/>
      <c r="B1605">
        <v>1</v>
      </c>
    </row>
    <row r="1606" spans="1:2" x14ac:dyDescent="0.25">
      <c r="A1606" s="26"/>
      <c r="B1606">
        <v>1</v>
      </c>
    </row>
    <row r="1607" spans="1:2" x14ac:dyDescent="0.25">
      <c r="A1607" s="27"/>
      <c r="B1607">
        <v>1</v>
      </c>
    </row>
    <row r="1608" spans="1:2" x14ac:dyDescent="0.25">
      <c r="A1608" s="26"/>
      <c r="B1608">
        <v>1</v>
      </c>
    </row>
    <row r="1609" spans="1:2" x14ac:dyDescent="0.25">
      <c r="A1609" s="27"/>
      <c r="B1609">
        <v>1</v>
      </c>
    </row>
    <row r="1610" spans="1:2" x14ac:dyDescent="0.25">
      <c r="A1610" s="26"/>
      <c r="B1610">
        <v>1</v>
      </c>
    </row>
    <row r="1611" spans="1:2" x14ac:dyDescent="0.25">
      <c r="A1611" s="27"/>
      <c r="B1611">
        <v>1</v>
      </c>
    </row>
    <row r="1612" spans="1:2" x14ac:dyDescent="0.25">
      <c r="A1612" s="26"/>
      <c r="B1612">
        <v>1</v>
      </c>
    </row>
    <row r="1613" spans="1:2" x14ac:dyDescent="0.25">
      <c r="A1613" s="27"/>
      <c r="B1613">
        <v>1</v>
      </c>
    </row>
    <row r="1614" spans="1:2" x14ac:dyDescent="0.25">
      <c r="A1614" s="26"/>
      <c r="B1614">
        <v>1</v>
      </c>
    </row>
    <row r="1615" spans="1:2" x14ac:dyDescent="0.25">
      <c r="A1615" s="27"/>
      <c r="B1615">
        <v>1</v>
      </c>
    </row>
    <row r="1616" spans="1:2" x14ac:dyDescent="0.25">
      <c r="A1616" s="26"/>
      <c r="B1616">
        <v>1</v>
      </c>
    </row>
    <row r="1617" spans="1:2" x14ac:dyDescent="0.25">
      <c r="A1617" s="27"/>
      <c r="B1617">
        <v>1</v>
      </c>
    </row>
    <row r="1618" spans="1:2" x14ac:dyDescent="0.25">
      <c r="A1618" s="26"/>
      <c r="B1618">
        <v>1</v>
      </c>
    </row>
    <row r="1619" spans="1:2" x14ac:dyDescent="0.25">
      <c r="A1619" s="27"/>
      <c r="B1619">
        <v>1</v>
      </c>
    </row>
    <row r="1620" spans="1:2" x14ac:dyDescent="0.25">
      <c r="A1620" s="26"/>
      <c r="B1620">
        <v>1</v>
      </c>
    </row>
    <row r="1621" spans="1:2" x14ac:dyDescent="0.25">
      <c r="A1621" s="27"/>
      <c r="B1621">
        <v>1</v>
      </c>
    </row>
    <row r="1622" spans="1:2" x14ac:dyDescent="0.25">
      <c r="A1622" s="26"/>
      <c r="B1622">
        <v>1</v>
      </c>
    </row>
    <row r="1623" spans="1:2" x14ac:dyDescent="0.25">
      <c r="A1623" s="27"/>
      <c r="B1623">
        <v>1</v>
      </c>
    </row>
    <row r="1624" spans="1:2" x14ac:dyDescent="0.25">
      <c r="A1624" s="26"/>
      <c r="B1624">
        <v>1</v>
      </c>
    </row>
    <row r="1625" spans="1:2" x14ac:dyDescent="0.25">
      <c r="A1625" s="27"/>
      <c r="B1625">
        <v>1</v>
      </c>
    </row>
    <row r="1626" spans="1:2" x14ac:dyDescent="0.25">
      <c r="A1626" s="26"/>
      <c r="B1626">
        <v>1</v>
      </c>
    </row>
    <row r="1627" spans="1:2" x14ac:dyDescent="0.25">
      <c r="A1627" s="27"/>
      <c r="B1627">
        <v>1</v>
      </c>
    </row>
    <row r="1628" spans="1:2" x14ac:dyDescent="0.25">
      <c r="A1628" s="26"/>
      <c r="B1628">
        <v>1</v>
      </c>
    </row>
    <row r="1629" spans="1:2" x14ac:dyDescent="0.25">
      <c r="A1629" s="27"/>
      <c r="B1629">
        <v>1</v>
      </c>
    </row>
    <row r="1630" spans="1:2" x14ac:dyDescent="0.25">
      <c r="A1630" s="26"/>
      <c r="B1630">
        <v>1</v>
      </c>
    </row>
    <row r="1631" spans="1:2" x14ac:dyDescent="0.25">
      <c r="A1631" s="27"/>
      <c r="B1631">
        <v>1</v>
      </c>
    </row>
    <row r="1632" spans="1:2" x14ac:dyDescent="0.25">
      <c r="A1632" s="26"/>
      <c r="B1632">
        <v>1</v>
      </c>
    </row>
    <row r="1633" spans="1:2" x14ac:dyDescent="0.25">
      <c r="A1633" s="27"/>
      <c r="B1633">
        <v>1</v>
      </c>
    </row>
    <row r="1634" spans="1:2" x14ac:dyDescent="0.25">
      <c r="A1634" s="26"/>
      <c r="B1634">
        <v>1</v>
      </c>
    </row>
    <row r="1635" spans="1:2" x14ac:dyDescent="0.25">
      <c r="A1635" s="27"/>
      <c r="B1635">
        <v>1</v>
      </c>
    </row>
    <row r="1636" spans="1:2" x14ac:dyDescent="0.25">
      <c r="A1636" s="26"/>
      <c r="B1636">
        <v>1</v>
      </c>
    </row>
    <row r="1637" spans="1:2" x14ac:dyDescent="0.25">
      <c r="A1637" s="27"/>
      <c r="B1637">
        <v>1</v>
      </c>
    </row>
    <row r="1638" spans="1:2" x14ac:dyDescent="0.25">
      <c r="A1638" s="26"/>
      <c r="B1638">
        <v>1</v>
      </c>
    </row>
    <row r="1639" spans="1:2" x14ac:dyDescent="0.25">
      <c r="A1639" s="27"/>
      <c r="B1639">
        <v>1</v>
      </c>
    </row>
    <row r="1640" spans="1:2" x14ac:dyDescent="0.25">
      <c r="A1640" s="26"/>
      <c r="B1640">
        <v>1</v>
      </c>
    </row>
    <row r="1641" spans="1:2" x14ac:dyDescent="0.25">
      <c r="A1641" s="27"/>
      <c r="B1641">
        <v>1</v>
      </c>
    </row>
    <row r="1642" spans="1:2" x14ac:dyDescent="0.25">
      <c r="A1642" s="26"/>
      <c r="B1642">
        <v>1</v>
      </c>
    </row>
    <row r="1643" spans="1:2" x14ac:dyDescent="0.25">
      <c r="A1643" s="27"/>
      <c r="B1643">
        <v>1</v>
      </c>
    </row>
    <row r="1644" spans="1:2" x14ac:dyDescent="0.25">
      <c r="A1644" s="26"/>
      <c r="B1644">
        <v>1</v>
      </c>
    </row>
    <row r="1645" spans="1:2" x14ac:dyDescent="0.25">
      <c r="A1645" s="27"/>
      <c r="B1645">
        <v>1</v>
      </c>
    </row>
    <row r="1646" spans="1:2" x14ac:dyDescent="0.25">
      <c r="A1646" s="26"/>
      <c r="B1646">
        <v>1</v>
      </c>
    </row>
    <row r="1647" spans="1:2" x14ac:dyDescent="0.25">
      <c r="A1647" s="27"/>
      <c r="B1647">
        <v>1</v>
      </c>
    </row>
    <row r="1648" spans="1:2" x14ac:dyDescent="0.25">
      <c r="A1648" s="26"/>
      <c r="B1648">
        <v>1</v>
      </c>
    </row>
    <row r="1649" spans="1:2" x14ac:dyDescent="0.25">
      <c r="A1649" s="27"/>
      <c r="B1649">
        <v>1</v>
      </c>
    </row>
    <row r="1650" spans="1:2" x14ac:dyDescent="0.25">
      <c r="A1650" s="26"/>
      <c r="B1650">
        <v>1</v>
      </c>
    </row>
    <row r="1651" spans="1:2" x14ac:dyDescent="0.25">
      <c r="A1651" s="27"/>
      <c r="B1651">
        <v>1</v>
      </c>
    </row>
    <row r="1652" spans="1:2" x14ac:dyDescent="0.25">
      <c r="A1652" s="26"/>
      <c r="B1652">
        <v>1</v>
      </c>
    </row>
    <row r="1653" spans="1:2" x14ac:dyDescent="0.25">
      <c r="A1653" s="27"/>
      <c r="B1653">
        <v>1</v>
      </c>
    </row>
    <row r="1654" spans="1:2" x14ac:dyDescent="0.25">
      <c r="A1654" s="26"/>
      <c r="B1654">
        <v>1</v>
      </c>
    </row>
    <row r="1655" spans="1:2" x14ac:dyDescent="0.25">
      <c r="A1655" s="27"/>
      <c r="B1655">
        <v>1</v>
      </c>
    </row>
    <row r="1656" spans="1:2" x14ac:dyDescent="0.25">
      <c r="A1656" s="26"/>
      <c r="B1656">
        <v>1</v>
      </c>
    </row>
    <row r="1657" spans="1:2" x14ac:dyDescent="0.25">
      <c r="A1657" s="27"/>
      <c r="B1657">
        <v>1</v>
      </c>
    </row>
    <row r="1658" spans="1:2" x14ac:dyDescent="0.25">
      <c r="A1658" s="26"/>
      <c r="B1658">
        <v>1</v>
      </c>
    </row>
    <row r="1659" spans="1:2" x14ac:dyDescent="0.25">
      <c r="A1659" s="27"/>
      <c r="B1659">
        <v>1</v>
      </c>
    </row>
    <row r="1660" spans="1:2" x14ac:dyDescent="0.25">
      <c r="A1660" s="26"/>
      <c r="B1660">
        <v>1</v>
      </c>
    </row>
    <row r="1661" spans="1:2" x14ac:dyDescent="0.25">
      <c r="A1661" s="27"/>
      <c r="B1661">
        <v>1</v>
      </c>
    </row>
    <row r="1662" spans="1:2" x14ac:dyDescent="0.25">
      <c r="A1662" s="26"/>
      <c r="B1662">
        <v>1</v>
      </c>
    </row>
    <row r="1663" spans="1:2" x14ac:dyDescent="0.25">
      <c r="A1663" s="27"/>
      <c r="B1663">
        <v>1</v>
      </c>
    </row>
    <row r="1664" spans="1:2" x14ac:dyDescent="0.25">
      <c r="A1664" s="26"/>
      <c r="B1664">
        <v>1</v>
      </c>
    </row>
    <row r="1665" spans="1:2" x14ac:dyDescent="0.25">
      <c r="A1665" s="27"/>
      <c r="B1665">
        <v>1</v>
      </c>
    </row>
    <row r="1666" spans="1:2" x14ac:dyDescent="0.25">
      <c r="A1666" s="26"/>
      <c r="B1666">
        <v>1</v>
      </c>
    </row>
    <row r="1667" spans="1:2" x14ac:dyDescent="0.25">
      <c r="A1667" s="27"/>
      <c r="B1667">
        <v>1</v>
      </c>
    </row>
    <row r="1668" spans="1:2" x14ac:dyDescent="0.25">
      <c r="A1668" s="26"/>
      <c r="B1668">
        <v>1</v>
      </c>
    </row>
    <row r="1669" spans="1:2" x14ac:dyDescent="0.25">
      <c r="A1669" s="27"/>
      <c r="B1669">
        <v>1</v>
      </c>
    </row>
    <row r="1670" spans="1:2" x14ac:dyDescent="0.25">
      <c r="A1670" s="26"/>
      <c r="B1670">
        <v>1</v>
      </c>
    </row>
    <row r="1671" spans="1:2" x14ac:dyDescent="0.25">
      <c r="A1671" s="27"/>
      <c r="B1671">
        <v>1</v>
      </c>
    </row>
    <row r="1672" spans="1:2" x14ac:dyDescent="0.25">
      <c r="A1672" s="26"/>
      <c r="B1672">
        <v>1</v>
      </c>
    </row>
    <row r="1673" spans="1:2" x14ac:dyDescent="0.25">
      <c r="A1673" s="27"/>
      <c r="B1673">
        <v>1</v>
      </c>
    </row>
    <row r="1674" spans="1:2" x14ac:dyDescent="0.25">
      <c r="A1674" s="26"/>
      <c r="B1674">
        <v>1</v>
      </c>
    </row>
    <row r="1675" spans="1:2" x14ac:dyDescent="0.25">
      <c r="A1675" s="27"/>
      <c r="B1675">
        <v>1</v>
      </c>
    </row>
    <row r="1676" spans="1:2" x14ac:dyDescent="0.25">
      <c r="A1676" s="26"/>
      <c r="B1676">
        <v>1</v>
      </c>
    </row>
    <row r="1677" spans="1:2" x14ac:dyDescent="0.25">
      <c r="A1677" s="27"/>
      <c r="B1677">
        <v>1</v>
      </c>
    </row>
    <row r="1678" spans="1:2" x14ac:dyDescent="0.25">
      <c r="A1678" s="26"/>
      <c r="B1678">
        <v>1</v>
      </c>
    </row>
    <row r="1679" spans="1:2" x14ac:dyDescent="0.25">
      <c r="A1679" s="27"/>
      <c r="B1679">
        <v>1</v>
      </c>
    </row>
    <row r="1680" spans="1:2" x14ac:dyDescent="0.25">
      <c r="A1680" s="26"/>
      <c r="B1680">
        <v>1</v>
      </c>
    </row>
    <row r="1681" spans="1:2" x14ac:dyDescent="0.25">
      <c r="A1681" s="27"/>
      <c r="B1681">
        <v>1</v>
      </c>
    </row>
    <row r="1682" spans="1:2" x14ac:dyDescent="0.25">
      <c r="A1682" s="26"/>
      <c r="B1682">
        <v>1</v>
      </c>
    </row>
    <row r="1683" spans="1:2" x14ac:dyDescent="0.25">
      <c r="A1683" s="27"/>
      <c r="B1683">
        <v>1</v>
      </c>
    </row>
    <row r="1684" spans="1:2" x14ac:dyDescent="0.25">
      <c r="A1684" s="26"/>
      <c r="B1684">
        <v>1</v>
      </c>
    </row>
    <row r="1685" spans="1:2" x14ac:dyDescent="0.25">
      <c r="A1685" s="27"/>
      <c r="B1685">
        <v>1</v>
      </c>
    </row>
    <row r="1686" spans="1:2" x14ac:dyDescent="0.25">
      <c r="A1686" s="26"/>
      <c r="B1686">
        <v>1</v>
      </c>
    </row>
    <row r="1687" spans="1:2" x14ac:dyDescent="0.25">
      <c r="A1687" s="27"/>
      <c r="B1687">
        <v>1</v>
      </c>
    </row>
    <row r="1688" spans="1:2" x14ac:dyDescent="0.25">
      <c r="A1688" s="26"/>
      <c r="B1688">
        <v>1</v>
      </c>
    </row>
    <row r="1689" spans="1:2" x14ac:dyDescent="0.25">
      <c r="A1689" s="27"/>
      <c r="B1689">
        <v>1</v>
      </c>
    </row>
    <row r="1690" spans="1:2" x14ac:dyDescent="0.25">
      <c r="A1690" s="26"/>
      <c r="B1690">
        <v>1</v>
      </c>
    </row>
    <row r="1691" spans="1:2" x14ac:dyDescent="0.25">
      <c r="A1691" s="27"/>
      <c r="B1691">
        <v>1</v>
      </c>
    </row>
    <row r="1692" spans="1:2" x14ac:dyDescent="0.25">
      <c r="A1692" s="26"/>
      <c r="B1692">
        <v>1</v>
      </c>
    </row>
    <row r="1693" spans="1:2" x14ac:dyDescent="0.25">
      <c r="A1693" s="27"/>
      <c r="B1693">
        <v>1</v>
      </c>
    </row>
    <row r="1694" spans="1:2" x14ac:dyDescent="0.25">
      <c r="A1694" s="26"/>
      <c r="B1694">
        <v>1</v>
      </c>
    </row>
    <row r="1695" spans="1:2" x14ac:dyDescent="0.25">
      <c r="A1695" s="27"/>
      <c r="B1695">
        <v>1</v>
      </c>
    </row>
    <row r="1696" spans="1:2" x14ac:dyDescent="0.25">
      <c r="A1696" s="26"/>
      <c r="B1696">
        <v>1</v>
      </c>
    </row>
    <row r="1697" spans="1:2" x14ac:dyDescent="0.25">
      <c r="A1697" s="27"/>
      <c r="B1697">
        <v>1</v>
      </c>
    </row>
    <row r="1698" spans="1:2" x14ac:dyDescent="0.25">
      <c r="A1698" s="26"/>
      <c r="B1698">
        <v>1</v>
      </c>
    </row>
    <row r="1699" spans="1:2" x14ac:dyDescent="0.25">
      <c r="A1699" s="27"/>
      <c r="B1699">
        <v>1</v>
      </c>
    </row>
    <row r="1700" spans="1:2" x14ac:dyDescent="0.25">
      <c r="A1700" s="26"/>
      <c r="B1700">
        <v>1</v>
      </c>
    </row>
    <row r="1701" spans="1:2" x14ac:dyDescent="0.25">
      <c r="A1701" s="27"/>
      <c r="B1701">
        <v>1</v>
      </c>
    </row>
    <row r="1702" spans="1:2" x14ac:dyDescent="0.25">
      <c r="A1702" s="26"/>
      <c r="B1702">
        <v>1</v>
      </c>
    </row>
    <row r="1703" spans="1:2" x14ac:dyDescent="0.25">
      <c r="A1703" s="27"/>
      <c r="B1703">
        <v>1</v>
      </c>
    </row>
    <row r="1704" spans="1:2" x14ac:dyDescent="0.25">
      <c r="A1704" s="26"/>
      <c r="B1704">
        <v>1</v>
      </c>
    </row>
    <row r="1705" spans="1:2" x14ac:dyDescent="0.25">
      <c r="A1705" s="27"/>
      <c r="B1705">
        <v>1</v>
      </c>
    </row>
    <row r="1706" spans="1:2" x14ac:dyDescent="0.25">
      <c r="A1706" s="26"/>
      <c r="B1706">
        <v>1</v>
      </c>
    </row>
    <row r="1707" spans="1:2" x14ac:dyDescent="0.25">
      <c r="A1707" s="27"/>
      <c r="B1707">
        <v>1</v>
      </c>
    </row>
    <row r="1708" spans="1:2" x14ac:dyDescent="0.25">
      <c r="A1708" s="26"/>
      <c r="B1708">
        <v>1</v>
      </c>
    </row>
    <row r="1709" spans="1:2" x14ac:dyDescent="0.25">
      <c r="A1709" s="27"/>
      <c r="B1709">
        <v>1</v>
      </c>
    </row>
    <row r="1710" spans="1:2" x14ac:dyDescent="0.25">
      <c r="A1710" s="26"/>
      <c r="B1710">
        <v>1</v>
      </c>
    </row>
    <row r="1711" spans="1:2" x14ac:dyDescent="0.25">
      <c r="A1711" s="27"/>
      <c r="B1711">
        <v>1</v>
      </c>
    </row>
    <row r="1712" spans="1:2" x14ac:dyDescent="0.25">
      <c r="A1712" s="26"/>
      <c r="B1712">
        <v>1</v>
      </c>
    </row>
    <row r="1713" spans="1:2" x14ac:dyDescent="0.25">
      <c r="A1713" s="27"/>
      <c r="B1713">
        <v>1</v>
      </c>
    </row>
    <row r="1714" spans="1:2" x14ac:dyDescent="0.25">
      <c r="A1714" s="26"/>
      <c r="B1714">
        <v>1</v>
      </c>
    </row>
    <row r="1715" spans="1:2" x14ac:dyDescent="0.25">
      <c r="A1715" s="27"/>
      <c r="B1715">
        <v>1</v>
      </c>
    </row>
    <row r="1716" spans="1:2" x14ac:dyDescent="0.25">
      <c r="A1716" s="26"/>
      <c r="B1716">
        <v>1</v>
      </c>
    </row>
    <row r="1717" spans="1:2" x14ac:dyDescent="0.25">
      <c r="A1717" s="27"/>
      <c r="B1717">
        <v>1</v>
      </c>
    </row>
    <row r="1718" spans="1:2" x14ac:dyDescent="0.25">
      <c r="A1718" s="26"/>
      <c r="B1718">
        <v>1</v>
      </c>
    </row>
    <row r="1719" spans="1:2" x14ac:dyDescent="0.25">
      <c r="A1719" s="27"/>
      <c r="B1719">
        <v>1</v>
      </c>
    </row>
    <row r="1720" spans="1:2" x14ac:dyDescent="0.25">
      <c r="A1720" s="26"/>
      <c r="B1720">
        <v>1</v>
      </c>
    </row>
    <row r="1721" spans="1:2" x14ac:dyDescent="0.25">
      <c r="A1721" s="27"/>
      <c r="B1721">
        <v>1</v>
      </c>
    </row>
    <row r="1722" spans="1:2" x14ac:dyDescent="0.25">
      <c r="A1722" s="26"/>
      <c r="B1722">
        <v>1</v>
      </c>
    </row>
    <row r="1723" spans="1:2" x14ac:dyDescent="0.25">
      <c r="A1723" s="27"/>
      <c r="B1723">
        <v>1</v>
      </c>
    </row>
    <row r="1724" spans="1:2" x14ac:dyDescent="0.25">
      <c r="A1724" s="26"/>
      <c r="B1724">
        <v>1</v>
      </c>
    </row>
    <row r="1725" spans="1:2" x14ac:dyDescent="0.25">
      <c r="A1725" s="27"/>
      <c r="B1725">
        <v>1</v>
      </c>
    </row>
    <row r="1726" spans="1:2" x14ac:dyDescent="0.25">
      <c r="A1726" s="26"/>
      <c r="B1726">
        <v>1</v>
      </c>
    </row>
    <row r="1727" spans="1:2" x14ac:dyDescent="0.25">
      <c r="A1727" s="27"/>
      <c r="B1727">
        <v>1</v>
      </c>
    </row>
    <row r="1728" spans="1:2" x14ac:dyDescent="0.25">
      <c r="A1728" s="26"/>
      <c r="B1728">
        <v>1</v>
      </c>
    </row>
    <row r="1729" spans="1:2" x14ac:dyDescent="0.25">
      <c r="A1729" s="27"/>
      <c r="B1729">
        <v>1</v>
      </c>
    </row>
    <row r="1730" spans="1:2" x14ac:dyDescent="0.25">
      <c r="A1730" s="26"/>
      <c r="B1730">
        <v>1</v>
      </c>
    </row>
    <row r="1731" spans="1:2" x14ac:dyDescent="0.25">
      <c r="A1731" s="27"/>
      <c r="B1731">
        <v>1</v>
      </c>
    </row>
    <row r="1732" spans="1:2" x14ac:dyDescent="0.25">
      <c r="A1732" s="26"/>
      <c r="B1732">
        <v>1</v>
      </c>
    </row>
    <row r="1733" spans="1:2" x14ac:dyDescent="0.25">
      <c r="A1733" s="27"/>
      <c r="B1733">
        <v>1</v>
      </c>
    </row>
    <row r="1734" spans="1:2" x14ac:dyDescent="0.25">
      <c r="A1734" s="26"/>
      <c r="B1734">
        <v>1</v>
      </c>
    </row>
    <row r="1735" spans="1:2" x14ac:dyDescent="0.25">
      <c r="A1735" s="27"/>
      <c r="B1735">
        <v>1</v>
      </c>
    </row>
    <row r="1736" spans="1:2" x14ac:dyDescent="0.25">
      <c r="A1736" s="26"/>
      <c r="B1736">
        <v>1</v>
      </c>
    </row>
    <row r="1737" spans="1:2" x14ac:dyDescent="0.25">
      <c r="A1737" s="27"/>
      <c r="B1737">
        <v>1</v>
      </c>
    </row>
    <row r="1738" spans="1:2" x14ac:dyDescent="0.25">
      <c r="A1738" s="26"/>
      <c r="B1738">
        <v>1</v>
      </c>
    </row>
    <row r="1739" spans="1:2" x14ac:dyDescent="0.25">
      <c r="A1739" s="27"/>
      <c r="B1739">
        <v>1</v>
      </c>
    </row>
    <row r="1740" spans="1:2" x14ac:dyDescent="0.25">
      <c r="A1740" s="26"/>
      <c r="B1740">
        <v>1</v>
      </c>
    </row>
    <row r="1741" spans="1:2" x14ac:dyDescent="0.25">
      <c r="A1741" s="27"/>
      <c r="B1741">
        <v>1</v>
      </c>
    </row>
    <row r="1742" spans="1:2" x14ac:dyDescent="0.25">
      <c r="A1742" s="26"/>
      <c r="B1742">
        <v>1</v>
      </c>
    </row>
    <row r="1743" spans="1:2" x14ac:dyDescent="0.25">
      <c r="A1743" s="27"/>
      <c r="B1743">
        <v>1</v>
      </c>
    </row>
    <row r="1744" spans="1:2" x14ac:dyDescent="0.25">
      <c r="A1744" s="26"/>
      <c r="B1744">
        <v>1</v>
      </c>
    </row>
    <row r="1745" spans="1:2" x14ac:dyDescent="0.25">
      <c r="A1745" s="27"/>
      <c r="B1745">
        <v>1</v>
      </c>
    </row>
    <row r="1746" spans="1:2" x14ac:dyDescent="0.25">
      <c r="A1746" s="26"/>
      <c r="B1746">
        <v>1</v>
      </c>
    </row>
    <row r="1747" spans="1:2" x14ac:dyDescent="0.25">
      <c r="A1747" s="27"/>
      <c r="B1747">
        <v>1</v>
      </c>
    </row>
    <row r="1748" spans="1:2" x14ac:dyDescent="0.25">
      <c r="A1748" s="26"/>
      <c r="B1748">
        <v>1</v>
      </c>
    </row>
    <row r="1749" spans="1:2" x14ac:dyDescent="0.25">
      <c r="A1749" s="27"/>
      <c r="B1749">
        <v>1</v>
      </c>
    </row>
    <row r="1750" spans="1:2" x14ac:dyDescent="0.25">
      <c r="A1750" s="26"/>
      <c r="B1750">
        <v>1</v>
      </c>
    </row>
    <row r="1751" spans="1:2" x14ac:dyDescent="0.25">
      <c r="A1751" s="27"/>
      <c r="B1751">
        <v>1</v>
      </c>
    </row>
    <row r="1752" spans="1:2" x14ac:dyDescent="0.25">
      <c r="A1752" s="26"/>
      <c r="B1752">
        <v>1</v>
      </c>
    </row>
    <row r="1753" spans="1:2" x14ac:dyDescent="0.25">
      <c r="A1753" s="27"/>
      <c r="B1753">
        <v>1</v>
      </c>
    </row>
    <row r="1754" spans="1:2" x14ac:dyDescent="0.25">
      <c r="A1754" s="26"/>
      <c r="B1754">
        <v>1</v>
      </c>
    </row>
    <row r="1755" spans="1:2" x14ac:dyDescent="0.25">
      <c r="A1755" s="27"/>
      <c r="B1755">
        <v>1</v>
      </c>
    </row>
    <row r="1756" spans="1:2" x14ac:dyDescent="0.25">
      <c r="A1756" s="26"/>
      <c r="B1756">
        <v>1</v>
      </c>
    </row>
    <row r="1757" spans="1:2" x14ac:dyDescent="0.25">
      <c r="A1757" s="27"/>
      <c r="B1757">
        <v>1</v>
      </c>
    </row>
    <row r="1758" spans="1:2" x14ac:dyDescent="0.25">
      <c r="A1758" s="26"/>
      <c r="B1758">
        <v>1</v>
      </c>
    </row>
    <row r="1759" spans="1:2" x14ac:dyDescent="0.25">
      <c r="A1759" s="27"/>
      <c r="B1759">
        <v>1</v>
      </c>
    </row>
    <row r="1760" spans="1:2" x14ac:dyDescent="0.25">
      <c r="A1760" s="26"/>
      <c r="B1760">
        <v>1</v>
      </c>
    </row>
    <row r="1761" spans="1:2" x14ac:dyDescent="0.25">
      <c r="A1761" s="27"/>
      <c r="B1761">
        <v>1</v>
      </c>
    </row>
    <row r="1762" spans="1:2" x14ac:dyDescent="0.25">
      <c r="A1762" s="26"/>
      <c r="B1762">
        <v>1</v>
      </c>
    </row>
    <row r="1763" spans="1:2" x14ac:dyDescent="0.25">
      <c r="A1763" s="27"/>
      <c r="B1763">
        <v>1</v>
      </c>
    </row>
    <row r="1764" spans="1:2" x14ac:dyDescent="0.25">
      <c r="A1764" s="26"/>
      <c r="B1764">
        <v>1</v>
      </c>
    </row>
    <row r="1765" spans="1:2" x14ac:dyDescent="0.25">
      <c r="A1765" s="27"/>
      <c r="B1765">
        <v>1</v>
      </c>
    </row>
    <row r="1766" spans="1:2" x14ac:dyDescent="0.25">
      <c r="A1766" s="26"/>
      <c r="B1766">
        <v>1</v>
      </c>
    </row>
    <row r="1767" spans="1:2" x14ac:dyDescent="0.25">
      <c r="A1767" s="27"/>
      <c r="B1767">
        <v>1</v>
      </c>
    </row>
    <row r="1768" spans="1:2" x14ac:dyDescent="0.25">
      <c r="A1768" s="26"/>
      <c r="B1768">
        <v>1</v>
      </c>
    </row>
    <row r="1769" spans="1:2" x14ac:dyDescent="0.25">
      <c r="A1769" s="27"/>
      <c r="B1769">
        <v>1</v>
      </c>
    </row>
    <row r="1770" spans="1:2" x14ac:dyDescent="0.25">
      <c r="A1770" s="26"/>
      <c r="B1770">
        <v>1</v>
      </c>
    </row>
    <row r="1771" spans="1:2" x14ac:dyDescent="0.25">
      <c r="A1771" s="27"/>
      <c r="B1771">
        <v>1</v>
      </c>
    </row>
    <row r="1772" spans="1:2" x14ac:dyDescent="0.25">
      <c r="A1772" s="26"/>
      <c r="B1772">
        <v>1</v>
      </c>
    </row>
    <row r="1773" spans="1:2" x14ac:dyDescent="0.25">
      <c r="A1773" s="27"/>
      <c r="B1773">
        <v>1</v>
      </c>
    </row>
    <row r="1774" spans="1:2" x14ac:dyDescent="0.25">
      <c r="A1774" s="26"/>
      <c r="B1774">
        <v>1</v>
      </c>
    </row>
    <row r="1775" spans="1:2" x14ac:dyDescent="0.25">
      <c r="A1775" s="27"/>
      <c r="B1775">
        <v>1</v>
      </c>
    </row>
    <row r="1776" spans="1:2" x14ac:dyDescent="0.25">
      <c r="A1776" s="26"/>
      <c r="B1776">
        <v>1</v>
      </c>
    </row>
    <row r="1777" spans="1:2" x14ac:dyDescent="0.25">
      <c r="A1777" s="27"/>
      <c r="B1777">
        <v>1</v>
      </c>
    </row>
    <row r="1778" spans="1:2" x14ac:dyDescent="0.25">
      <c r="A1778" s="26"/>
      <c r="B1778">
        <v>1</v>
      </c>
    </row>
    <row r="1779" spans="1:2" x14ac:dyDescent="0.25">
      <c r="A1779" s="27"/>
      <c r="B1779">
        <v>1</v>
      </c>
    </row>
    <row r="1780" spans="1:2" x14ac:dyDescent="0.25">
      <c r="A1780" s="26"/>
      <c r="B1780">
        <v>1</v>
      </c>
    </row>
    <row r="1781" spans="1:2" x14ac:dyDescent="0.25">
      <c r="A1781" s="27"/>
      <c r="B1781">
        <v>1</v>
      </c>
    </row>
    <row r="1782" spans="1:2" x14ac:dyDescent="0.25">
      <c r="A1782" s="26"/>
      <c r="B1782">
        <v>1</v>
      </c>
    </row>
    <row r="1783" spans="1:2" x14ac:dyDescent="0.25">
      <c r="A1783" s="27"/>
      <c r="B1783">
        <v>1</v>
      </c>
    </row>
    <row r="1784" spans="1:2" x14ac:dyDescent="0.25">
      <c r="A1784" s="26"/>
      <c r="B1784">
        <v>1</v>
      </c>
    </row>
    <row r="1785" spans="1:2" x14ac:dyDescent="0.25">
      <c r="A1785" s="27"/>
      <c r="B1785">
        <v>1</v>
      </c>
    </row>
    <row r="1786" spans="1:2" x14ac:dyDescent="0.25">
      <c r="A1786" s="26"/>
      <c r="B1786">
        <v>1</v>
      </c>
    </row>
    <row r="1787" spans="1:2" x14ac:dyDescent="0.25">
      <c r="A1787" s="27"/>
      <c r="B1787">
        <v>1</v>
      </c>
    </row>
    <row r="1788" spans="1:2" x14ac:dyDescent="0.25">
      <c r="A1788" s="26"/>
      <c r="B1788">
        <v>1</v>
      </c>
    </row>
    <row r="1789" spans="1:2" x14ac:dyDescent="0.25">
      <c r="A1789" s="27"/>
      <c r="B1789">
        <v>1</v>
      </c>
    </row>
    <row r="1790" spans="1:2" x14ac:dyDescent="0.25">
      <c r="A1790" s="26"/>
      <c r="B1790">
        <v>1</v>
      </c>
    </row>
    <row r="1791" spans="1:2" x14ac:dyDescent="0.25">
      <c r="A1791" s="27"/>
      <c r="B1791">
        <v>1</v>
      </c>
    </row>
    <row r="1792" spans="1:2" x14ac:dyDescent="0.25">
      <c r="A1792" s="26"/>
      <c r="B1792">
        <v>1</v>
      </c>
    </row>
    <row r="1793" spans="1:2" x14ac:dyDescent="0.25">
      <c r="A1793" s="27"/>
      <c r="B1793">
        <v>1</v>
      </c>
    </row>
    <row r="1794" spans="1:2" x14ac:dyDescent="0.25">
      <c r="A1794" s="26"/>
      <c r="B1794">
        <v>1</v>
      </c>
    </row>
    <row r="1795" spans="1:2" x14ac:dyDescent="0.25">
      <c r="A1795" s="27"/>
      <c r="B1795">
        <v>1</v>
      </c>
    </row>
    <row r="1796" spans="1:2" x14ac:dyDescent="0.25">
      <c r="A1796" s="26"/>
      <c r="B1796">
        <v>1</v>
      </c>
    </row>
    <row r="1797" spans="1:2" x14ac:dyDescent="0.25">
      <c r="A1797" s="27"/>
      <c r="B1797">
        <v>1</v>
      </c>
    </row>
    <row r="1798" spans="1:2" x14ac:dyDescent="0.25">
      <c r="A1798" s="26"/>
      <c r="B1798">
        <v>1</v>
      </c>
    </row>
    <row r="1799" spans="1:2" x14ac:dyDescent="0.25">
      <c r="A1799" s="27"/>
      <c r="B1799">
        <v>1</v>
      </c>
    </row>
    <row r="1800" spans="1:2" x14ac:dyDescent="0.25">
      <c r="A1800" s="26"/>
      <c r="B1800">
        <v>1</v>
      </c>
    </row>
    <row r="1801" spans="1:2" x14ac:dyDescent="0.25">
      <c r="A1801" s="27"/>
      <c r="B1801">
        <v>1</v>
      </c>
    </row>
    <row r="1802" spans="1:2" x14ac:dyDescent="0.25">
      <c r="A1802" s="26"/>
      <c r="B1802">
        <v>1</v>
      </c>
    </row>
    <row r="1803" spans="1:2" x14ac:dyDescent="0.25">
      <c r="A1803" s="27"/>
      <c r="B1803">
        <v>1</v>
      </c>
    </row>
    <row r="1804" spans="1:2" x14ac:dyDescent="0.25">
      <c r="A1804" s="26"/>
      <c r="B1804">
        <v>1</v>
      </c>
    </row>
    <row r="1805" spans="1:2" x14ac:dyDescent="0.25">
      <c r="A1805" s="27"/>
      <c r="B1805">
        <v>1</v>
      </c>
    </row>
    <row r="1806" spans="1:2" x14ac:dyDescent="0.25">
      <c r="A1806" s="26"/>
      <c r="B1806">
        <v>1</v>
      </c>
    </row>
    <row r="1807" spans="1:2" x14ac:dyDescent="0.25">
      <c r="A1807" s="27"/>
      <c r="B1807">
        <v>1</v>
      </c>
    </row>
    <row r="1808" spans="1:2" x14ac:dyDescent="0.25">
      <c r="A1808" s="26"/>
      <c r="B1808">
        <v>1</v>
      </c>
    </row>
    <row r="1809" spans="1:2" x14ac:dyDescent="0.25">
      <c r="A1809" s="27"/>
      <c r="B1809">
        <v>1</v>
      </c>
    </row>
    <row r="1810" spans="1:2" x14ac:dyDescent="0.25">
      <c r="A1810" s="26"/>
      <c r="B1810">
        <v>1</v>
      </c>
    </row>
    <row r="1811" spans="1:2" x14ac:dyDescent="0.25">
      <c r="A1811" s="27"/>
      <c r="B1811">
        <v>1</v>
      </c>
    </row>
    <row r="1812" spans="1:2" x14ac:dyDescent="0.25">
      <c r="A1812" s="26"/>
      <c r="B1812">
        <v>1</v>
      </c>
    </row>
    <row r="1813" spans="1:2" x14ac:dyDescent="0.25">
      <c r="A1813" s="27"/>
      <c r="B1813">
        <v>1</v>
      </c>
    </row>
    <row r="1814" spans="1:2" x14ac:dyDescent="0.25">
      <c r="A1814" s="26"/>
      <c r="B1814">
        <v>1</v>
      </c>
    </row>
    <row r="1815" spans="1:2" x14ac:dyDescent="0.25">
      <c r="A1815" s="27"/>
      <c r="B1815">
        <v>1</v>
      </c>
    </row>
    <row r="1816" spans="1:2" x14ac:dyDescent="0.25">
      <c r="A1816" s="26"/>
      <c r="B1816">
        <v>1</v>
      </c>
    </row>
    <row r="1817" spans="1:2" x14ac:dyDescent="0.25">
      <c r="A1817" s="27"/>
      <c r="B1817">
        <v>1</v>
      </c>
    </row>
    <row r="1818" spans="1:2" x14ac:dyDescent="0.25">
      <c r="A1818" s="26"/>
      <c r="B1818">
        <v>1</v>
      </c>
    </row>
    <row r="1819" spans="1:2" x14ac:dyDescent="0.25">
      <c r="A1819" s="27"/>
      <c r="B1819">
        <v>1</v>
      </c>
    </row>
    <row r="1820" spans="1:2" x14ac:dyDescent="0.25">
      <c r="A1820" s="26"/>
      <c r="B1820">
        <v>1</v>
      </c>
    </row>
    <row r="1821" spans="1:2" x14ac:dyDescent="0.25">
      <c r="A1821" s="27"/>
      <c r="B1821">
        <v>1</v>
      </c>
    </row>
    <row r="1822" spans="1:2" x14ac:dyDescent="0.25">
      <c r="A1822" s="26"/>
      <c r="B1822">
        <v>1</v>
      </c>
    </row>
    <row r="1823" spans="1:2" x14ac:dyDescent="0.25">
      <c r="A1823" s="27"/>
      <c r="B1823">
        <v>1</v>
      </c>
    </row>
    <row r="1824" spans="1:2" x14ac:dyDescent="0.25">
      <c r="A1824" s="26"/>
      <c r="B1824">
        <v>1</v>
      </c>
    </row>
    <row r="1825" spans="1:2" x14ac:dyDescent="0.25">
      <c r="A1825" s="27"/>
      <c r="B1825">
        <v>1</v>
      </c>
    </row>
    <row r="1826" spans="1:2" x14ac:dyDescent="0.25">
      <c r="A1826" s="26"/>
      <c r="B1826">
        <v>1</v>
      </c>
    </row>
    <row r="1827" spans="1:2" x14ac:dyDescent="0.25">
      <c r="A1827" s="27"/>
      <c r="B1827">
        <v>1</v>
      </c>
    </row>
    <row r="1828" spans="1:2" x14ac:dyDescent="0.25">
      <c r="A1828" s="26"/>
      <c r="B1828">
        <v>1</v>
      </c>
    </row>
    <row r="1829" spans="1:2" x14ac:dyDescent="0.25">
      <c r="A1829" s="27"/>
      <c r="B1829">
        <v>1</v>
      </c>
    </row>
    <row r="1830" spans="1:2" x14ac:dyDescent="0.25">
      <c r="A1830" s="26"/>
      <c r="B1830">
        <v>1</v>
      </c>
    </row>
    <row r="1831" spans="1:2" x14ac:dyDescent="0.25">
      <c r="A1831" s="27"/>
      <c r="B1831">
        <v>1</v>
      </c>
    </row>
    <row r="1832" spans="1:2" x14ac:dyDescent="0.25">
      <c r="A1832" s="26"/>
      <c r="B1832">
        <v>1</v>
      </c>
    </row>
    <row r="1833" spans="1:2" x14ac:dyDescent="0.25">
      <c r="A1833" s="27"/>
      <c r="B1833">
        <v>1</v>
      </c>
    </row>
    <row r="1834" spans="1:2" x14ac:dyDescent="0.25">
      <c r="A1834" s="26"/>
      <c r="B1834">
        <v>1</v>
      </c>
    </row>
    <row r="1835" spans="1:2" x14ac:dyDescent="0.25">
      <c r="A1835" s="27"/>
      <c r="B1835">
        <v>1</v>
      </c>
    </row>
    <row r="1836" spans="1:2" x14ac:dyDescent="0.25">
      <c r="A1836" s="26"/>
      <c r="B1836">
        <v>1</v>
      </c>
    </row>
    <row r="1837" spans="1:2" x14ac:dyDescent="0.25">
      <c r="A1837" s="27"/>
      <c r="B1837">
        <v>1</v>
      </c>
    </row>
    <row r="1838" spans="1:2" x14ac:dyDescent="0.25">
      <c r="A1838" s="26"/>
      <c r="B1838">
        <v>1</v>
      </c>
    </row>
    <row r="1839" spans="1:2" x14ac:dyDescent="0.25">
      <c r="A1839" s="27"/>
      <c r="B1839">
        <v>1</v>
      </c>
    </row>
    <row r="1840" spans="1:2" x14ac:dyDescent="0.25">
      <c r="A1840" s="26"/>
      <c r="B1840">
        <v>1</v>
      </c>
    </row>
    <row r="1841" spans="1:2" x14ac:dyDescent="0.25">
      <c r="A1841" s="27"/>
      <c r="B1841">
        <v>1</v>
      </c>
    </row>
    <row r="1842" spans="1:2" x14ac:dyDescent="0.25">
      <c r="A1842" s="26"/>
      <c r="B1842">
        <v>1</v>
      </c>
    </row>
    <row r="1843" spans="1:2" x14ac:dyDescent="0.25">
      <c r="A1843" s="27"/>
      <c r="B1843">
        <v>1</v>
      </c>
    </row>
    <row r="1844" spans="1:2" x14ac:dyDescent="0.25">
      <c r="A1844" s="26"/>
      <c r="B1844">
        <v>1</v>
      </c>
    </row>
    <row r="1845" spans="1:2" x14ac:dyDescent="0.25">
      <c r="A1845" s="27"/>
      <c r="B1845">
        <v>1</v>
      </c>
    </row>
    <row r="1846" spans="1:2" x14ac:dyDescent="0.25">
      <c r="A1846" s="26"/>
      <c r="B1846">
        <v>1</v>
      </c>
    </row>
    <row r="1847" spans="1:2" x14ac:dyDescent="0.25">
      <c r="A1847" s="27"/>
      <c r="B1847">
        <v>1</v>
      </c>
    </row>
    <row r="1848" spans="1:2" x14ac:dyDescent="0.25">
      <c r="A1848" s="26"/>
      <c r="B1848">
        <v>1</v>
      </c>
    </row>
    <row r="1849" spans="1:2" x14ac:dyDescent="0.25">
      <c r="A1849" s="27"/>
      <c r="B1849">
        <v>1</v>
      </c>
    </row>
    <row r="1850" spans="1:2" x14ac:dyDescent="0.25">
      <c r="A1850" s="26"/>
      <c r="B1850">
        <v>1</v>
      </c>
    </row>
    <row r="1851" spans="1:2" x14ac:dyDescent="0.25">
      <c r="A1851" s="27"/>
      <c r="B1851">
        <v>1</v>
      </c>
    </row>
    <row r="1852" spans="1:2" x14ac:dyDescent="0.25">
      <c r="A1852" s="26"/>
      <c r="B1852">
        <v>1</v>
      </c>
    </row>
    <row r="1853" spans="1:2" x14ac:dyDescent="0.25">
      <c r="A1853" s="27"/>
      <c r="B1853">
        <v>1</v>
      </c>
    </row>
    <row r="1854" spans="1:2" x14ac:dyDescent="0.25">
      <c r="A1854" s="26"/>
      <c r="B1854">
        <v>1</v>
      </c>
    </row>
    <row r="1855" spans="1:2" x14ac:dyDescent="0.25">
      <c r="A1855" s="27"/>
      <c r="B1855">
        <v>1</v>
      </c>
    </row>
    <row r="1856" spans="1:2" x14ac:dyDescent="0.25">
      <c r="A1856" s="26"/>
      <c r="B1856">
        <v>1</v>
      </c>
    </row>
    <row r="1857" spans="1:2" x14ac:dyDescent="0.25">
      <c r="A1857" s="27"/>
      <c r="B1857">
        <v>1</v>
      </c>
    </row>
    <row r="1858" spans="1:2" x14ac:dyDescent="0.25">
      <c r="A1858" s="26"/>
      <c r="B1858">
        <v>1</v>
      </c>
    </row>
    <row r="1859" spans="1:2" x14ac:dyDescent="0.25">
      <c r="A1859" s="27"/>
      <c r="B1859">
        <v>1</v>
      </c>
    </row>
    <row r="1860" spans="1:2" x14ac:dyDescent="0.25">
      <c r="A1860" s="26"/>
      <c r="B1860">
        <v>1</v>
      </c>
    </row>
    <row r="1861" spans="1:2" x14ac:dyDescent="0.25">
      <c r="A1861" s="27"/>
      <c r="B1861">
        <v>1</v>
      </c>
    </row>
    <row r="1862" spans="1:2" x14ac:dyDescent="0.25">
      <c r="A1862" s="26"/>
      <c r="B1862">
        <v>1</v>
      </c>
    </row>
    <row r="1863" spans="1:2" x14ac:dyDescent="0.25">
      <c r="A1863" s="27"/>
      <c r="B1863">
        <v>1</v>
      </c>
    </row>
    <row r="1864" spans="1:2" x14ac:dyDescent="0.25">
      <c r="A1864" s="26"/>
      <c r="B1864">
        <v>1</v>
      </c>
    </row>
    <row r="1865" spans="1:2" x14ac:dyDescent="0.25">
      <c r="A1865" s="27"/>
      <c r="B1865">
        <v>1</v>
      </c>
    </row>
    <row r="1866" spans="1:2" x14ac:dyDescent="0.25">
      <c r="A1866" s="26"/>
      <c r="B1866">
        <v>1</v>
      </c>
    </row>
    <row r="1867" spans="1:2" x14ac:dyDescent="0.25">
      <c r="A1867" s="27"/>
      <c r="B1867">
        <v>1</v>
      </c>
    </row>
    <row r="1868" spans="1:2" x14ac:dyDescent="0.25">
      <c r="A1868" s="26"/>
      <c r="B1868">
        <v>1</v>
      </c>
    </row>
    <row r="1869" spans="1:2" x14ac:dyDescent="0.25">
      <c r="A1869" s="27"/>
      <c r="B1869">
        <v>1</v>
      </c>
    </row>
    <row r="1870" spans="1:2" x14ac:dyDescent="0.25">
      <c r="A1870" s="26"/>
      <c r="B1870">
        <v>1</v>
      </c>
    </row>
    <row r="1871" spans="1:2" x14ac:dyDescent="0.25">
      <c r="A1871" s="27"/>
      <c r="B1871">
        <v>1</v>
      </c>
    </row>
    <row r="1872" spans="1:2" x14ac:dyDescent="0.25">
      <c r="A1872" s="26"/>
      <c r="B1872">
        <v>1</v>
      </c>
    </row>
    <row r="1873" spans="1:2" x14ac:dyDescent="0.25">
      <c r="A1873" s="27"/>
      <c r="B1873">
        <v>1</v>
      </c>
    </row>
    <row r="1874" spans="1:2" x14ac:dyDescent="0.25">
      <c r="A1874" s="26"/>
      <c r="B1874">
        <v>1</v>
      </c>
    </row>
    <row r="1875" spans="1:2" x14ac:dyDescent="0.25">
      <c r="A1875" s="27"/>
      <c r="B1875">
        <v>1</v>
      </c>
    </row>
    <row r="1876" spans="1:2" x14ac:dyDescent="0.25">
      <c r="A1876" s="26"/>
      <c r="B1876">
        <v>1</v>
      </c>
    </row>
    <row r="1877" spans="1:2" x14ac:dyDescent="0.25">
      <c r="A1877" s="27"/>
      <c r="B1877">
        <v>1</v>
      </c>
    </row>
    <row r="1878" spans="1:2" x14ac:dyDescent="0.25">
      <c r="A1878" s="26"/>
      <c r="B1878">
        <v>1</v>
      </c>
    </row>
    <row r="1879" spans="1:2" x14ac:dyDescent="0.25">
      <c r="A1879" s="27"/>
      <c r="B1879">
        <v>1</v>
      </c>
    </row>
    <row r="1880" spans="1:2" x14ac:dyDescent="0.25">
      <c r="A1880" s="26"/>
      <c r="B1880">
        <v>1</v>
      </c>
    </row>
    <row r="1881" spans="1:2" x14ac:dyDescent="0.25">
      <c r="A1881" s="27"/>
      <c r="B1881">
        <v>1</v>
      </c>
    </row>
    <row r="1882" spans="1:2" x14ac:dyDescent="0.25">
      <c r="A1882" s="26"/>
      <c r="B1882">
        <v>1</v>
      </c>
    </row>
    <row r="1883" spans="1:2" x14ac:dyDescent="0.25">
      <c r="A1883" s="27"/>
      <c r="B1883">
        <v>1</v>
      </c>
    </row>
    <row r="1884" spans="1:2" x14ac:dyDescent="0.25">
      <c r="A1884" s="26"/>
      <c r="B1884">
        <v>1</v>
      </c>
    </row>
    <row r="1885" spans="1:2" x14ac:dyDescent="0.25">
      <c r="A1885" s="27"/>
      <c r="B1885">
        <v>1</v>
      </c>
    </row>
    <row r="1886" spans="1:2" x14ac:dyDescent="0.25">
      <c r="A1886" s="26"/>
      <c r="B1886">
        <v>1</v>
      </c>
    </row>
    <row r="1887" spans="1:2" x14ac:dyDescent="0.25">
      <c r="A1887" s="27"/>
      <c r="B1887">
        <v>1</v>
      </c>
    </row>
    <row r="1888" spans="1:2" x14ac:dyDescent="0.25">
      <c r="A1888" s="26"/>
      <c r="B1888">
        <v>1</v>
      </c>
    </row>
    <row r="1889" spans="1:2" x14ac:dyDescent="0.25">
      <c r="A1889" s="27"/>
      <c r="B1889">
        <v>1</v>
      </c>
    </row>
    <row r="1890" spans="1:2" x14ac:dyDescent="0.25">
      <c r="A1890" s="26"/>
      <c r="B1890">
        <v>1</v>
      </c>
    </row>
    <row r="1891" spans="1:2" x14ac:dyDescent="0.25">
      <c r="A1891" s="27"/>
      <c r="B1891">
        <v>1</v>
      </c>
    </row>
    <row r="1892" spans="1:2" x14ac:dyDescent="0.25">
      <c r="A1892" s="26"/>
      <c r="B1892">
        <v>1</v>
      </c>
    </row>
    <row r="1893" spans="1:2" x14ac:dyDescent="0.25">
      <c r="A1893" s="27"/>
      <c r="B1893">
        <v>1</v>
      </c>
    </row>
    <row r="1894" spans="1:2" x14ac:dyDescent="0.25">
      <c r="A1894" s="26"/>
      <c r="B1894">
        <v>1</v>
      </c>
    </row>
    <row r="1895" spans="1:2" x14ac:dyDescent="0.25">
      <c r="A1895" s="27"/>
      <c r="B1895">
        <v>1</v>
      </c>
    </row>
    <row r="1896" spans="1:2" x14ac:dyDescent="0.25">
      <c r="A1896" s="26"/>
      <c r="B1896">
        <v>1</v>
      </c>
    </row>
    <row r="1897" spans="1:2" x14ac:dyDescent="0.25">
      <c r="A1897" s="27"/>
      <c r="B1897">
        <v>1</v>
      </c>
    </row>
    <row r="1898" spans="1:2" x14ac:dyDescent="0.25">
      <c r="A1898" s="26"/>
      <c r="B1898">
        <v>1</v>
      </c>
    </row>
    <row r="1899" spans="1:2" x14ac:dyDescent="0.25">
      <c r="A1899" s="27"/>
      <c r="B1899">
        <v>1</v>
      </c>
    </row>
    <row r="1900" spans="1:2" x14ac:dyDescent="0.25">
      <c r="A1900" s="26"/>
      <c r="B1900">
        <v>1</v>
      </c>
    </row>
    <row r="1901" spans="1:2" x14ac:dyDescent="0.25">
      <c r="A1901" s="27"/>
      <c r="B1901">
        <v>1</v>
      </c>
    </row>
    <row r="1902" spans="1:2" x14ac:dyDescent="0.25">
      <c r="A1902" s="26"/>
      <c r="B1902">
        <v>1</v>
      </c>
    </row>
    <row r="1903" spans="1:2" x14ac:dyDescent="0.25">
      <c r="A1903" s="27"/>
      <c r="B1903">
        <v>1</v>
      </c>
    </row>
    <row r="1904" spans="1:2" x14ac:dyDescent="0.25">
      <c r="A1904" s="26"/>
      <c r="B1904">
        <v>1</v>
      </c>
    </row>
    <row r="1905" spans="1:2" x14ac:dyDescent="0.25">
      <c r="A1905" s="27"/>
      <c r="B1905">
        <v>1</v>
      </c>
    </row>
    <row r="1906" spans="1:2" x14ac:dyDescent="0.25">
      <c r="A1906" s="26"/>
      <c r="B1906">
        <v>1</v>
      </c>
    </row>
    <row r="1907" spans="1:2" x14ac:dyDescent="0.25">
      <c r="A1907" s="27"/>
      <c r="B1907">
        <v>1</v>
      </c>
    </row>
    <row r="1908" spans="1:2" x14ac:dyDescent="0.25">
      <c r="A1908" s="26"/>
      <c r="B1908">
        <v>1</v>
      </c>
    </row>
    <row r="1909" spans="1:2" x14ac:dyDescent="0.25">
      <c r="A1909" s="27"/>
      <c r="B1909">
        <v>1</v>
      </c>
    </row>
    <row r="1910" spans="1:2" x14ac:dyDescent="0.25">
      <c r="A1910" s="26"/>
      <c r="B1910">
        <v>1</v>
      </c>
    </row>
    <row r="1911" spans="1:2" x14ac:dyDescent="0.25">
      <c r="A1911" s="27"/>
      <c r="B1911">
        <v>1</v>
      </c>
    </row>
    <row r="1912" spans="1:2" x14ac:dyDescent="0.25">
      <c r="A1912" s="26"/>
      <c r="B1912">
        <v>1</v>
      </c>
    </row>
    <row r="1913" spans="1:2" x14ac:dyDescent="0.25">
      <c r="A1913" s="27"/>
      <c r="B1913">
        <v>1</v>
      </c>
    </row>
    <row r="1914" spans="1:2" x14ac:dyDescent="0.25">
      <c r="A1914" s="26"/>
      <c r="B1914">
        <v>1</v>
      </c>
    </row>
    <row r="1915" spans="1:2" x14ac:dyDescent="0.25">
      <c r="A1915" s="27"/>
      <c r="B1915">
        <v>1</v>
      </c>
    </row>
    <row r="1916" spans="1:2" x14ac:dyDescent="0.25">
      <c r="A1916" s="26"/>
      <c r="B1916">
        <v>1</v>
      </c>
    </row>
    <row r="1917" spans="1:2" x14ac:dyDescent="0.25">
      <c r="A1917" s="27"/>
      <c r="B1917">
        <v>1</v>
      </c>
    </row>
    <row r="1918" spans="1:2" x14ac:dyDescent="0.25">
      <c r="A1918" s="26"/>
      <c r="B1918">
        <v>1</v>
      </c>
    </row>
    <row r="1919" spans="1:2" x14ac:dyDescent="0.25">
      <c r="A1919" s="27"/>
      <c r="B1919">
        <v>1</v>
      </c>
    </row>
    <row r="1920" spans="1:2" x14ac:dyDescent="0.25">
      <c r="A1920" s="26"/>
      <c r="B1920">
        <v>1</v>
      </c>
    </row>
    <row r="1921" spans="1:2" x14ac:dyDescent="0.25">
      <c r="A1921" s="27"/>
      <c r="B1921">
        <v>1</v>
      </c>
    </row>
    <row r="1922" spans="1:2" x14ac:dyDescent="0.25">
      <c r="A1922" s="26"/>
      <c r="B1922">
        <v>1</v>
      </c>
    </row>
    <row r="1923" spans="1:2" x14ac:dyDescent="0.25">
      <c r="A1923" s="27"/>
      <c r="B1923">
        <v>1</v>
      </c>
    </row>
    <row r="1924" spans="1:2" x14ac:dyDescent="0.25">
      <c r="A1924" s="26"/>
      <c r="B1924">
        <v>1</v>
      </c>
    </row>
    <row r="1925" spans="1:2" x14ac:dyDescent="0.25">
      <c r="A1925" s="27"/>
      <c r="B1925">
        <v>1</v>
      </c>
    </row>
    <row r="1926" spans="1:2" x14ac:dyDescent="0.25">
      <c r="A1926" s="26"/>
      <c r="B1926">
        <v>1</v>
      </c>
    </row>
    <row r="1927" spans="1:2" x14ac:dyDescent="0.25">
      <c r="A1927" s="27"/>
      <c r="B1927">
        <v>1</v>
      </c>
    </row>
    <row r="1928" spans="1:2" x14ac:dyDescent="0.25">
      <c r="A1928" s="26"/>
      <c r="B1928">
        <v>1</v>
      </c>
    </row>
    <row r="1929" spans="1:2" x14ac:dyDescent="0.25">
      <c r="A1929" s="27"/>
      <c r="B1929">
        <v>1</v>
      </c>
    </row>
    <row r="1930" spans="1:2" x14ac:dyDescent="0.25">
      <c r="A1930" s="26"/>
      <c r="B1930">
        <v>1</v>
      </c>
    </row>
    <row r="1931" spans="1:2" x14ac:dyDescent="0.25">
      <c r="A1931" s="27"/>
      <c r="B1931">
        <v>1</v>
      </c>
    </row>
    <row r="1932" spans="1:2" x14ac:dyDescent="0.25">
      <c r="A1932" s="26"/>
      <c r="B1932">
        <v>1</v>
      </c>
    </row>
    <row r="1933" spans="1:2" x14ac:dyDescent="0.25">
      <c r="A1933" s="27"/>
      <c r="B1933">
        <v>1</v>
      </c>
    </row>
    <row r="1934" spans="1:2" x14ac:dyDescent="0.25">
      <c r="A1934" s="26"/>
      <c r="B1934">
        <v>1</v>
      </c>
    </row>
    <row r="1935" spans="1:2" x14ac:dyDescent="0.25">
      <c r="A1935" s="27"/>
      <c r="B1935">
        <v>1</v>
      </c>
    </row>
    <row r="1936" spans="1:2" x14ac:dyDescent="0.25">
      <c r="A1936" s="26"/>
      <c r="B1936">
        <v>1</v>
      </c>
    </row>
    <row r="1937" spans="1:2" x14ac:dyDescent="0.25">
      <c r="A1937" s="27"/>
      <c r="B1937">
        <v>1</v>
      </c>
    </row>
    <row r="1938" spans="1:2" x14ac:dyDescent="0.25">
      <c r="A1938" s="26"/>
      <c r="B1938">
        <v>1</v>
      </c>
    </row>
    <row r="1939" spans="1:2" x14ac:dyDescent="0.25">
      <c r="A1939" s="27"/>
      <c r="B1939">
        <v>1</v>
      </c>
    </row>
    <row r="1940" spans="1:2" x14ac:dyDescent="0.25">
      <c r="A1940" s="26"/>
      <c r="B1940">
        <v>1</v>
      </c>
    </row>
    <row r="1941" spans="1:2" x14ac:dyDescent="0.25">
      <c r="A1941" s="27"/>
      <c r="B1941">
        <v>1</v>
      </c>
    </row>
    <row r="1942" spans="1:2" x14ac:dyDescent="0.25">
      <c r="A1942" s="26"/>
      <c r="B1942">
        <v>1</v>
      </c>
    </row>
    <row r="1943" spans="1:2" x14ac:dyDescent="0.25">
      <c r="A1943" s="27"/>
      <c r="B1943">
        <v>1</v>
      </c>
    </row>
    <row r="1944" spans="1:2" x14ac:dyDescent="0.25">
      <c r="A1944" s="26"/>
      <c r="B1944">
        <v>1</v>
      </c>
    </row>
    <row r="1945" spans="1:2" x14ac:dyDescent="0.25">
      <c r="A1945" s="27"/>
      <c r="B1945">
        <v>1</v>
      </c>
    </row>
    <row r="1946" spans="1:2" x14ac:dyDescent="0.25">
      <c r="A1946" s="26"/>
      <c r="B1946">
        <v>1</v>
      </c>
    </row>
    <row r="1947" spans="1:2" x14ac:dyDescent="0.25">
      <c r="A1947" s="27"/>
      <c r="B1947">
        <v>1</v>
      </c>
    </row>
    <row r="1948" spans="1:2" x14ac:dyDescent="0.25">
      <c r="A1948" s="26"/>
      <c r="B1948">
        <v>1</v>
      </c>
    </row>
    <row r="1949" spans="1:2" x14ac:dyDescent="0.25">
      <c r="A1949" s="27"/>
      <c r="B1949">
        <v>1</v>
      </c>
    </row>
    <row r="1950" spans="1:2" x14ac:dyDescent="0.25">
      <c r="A1950" s="26"/>
      <c r="B1950">
        <v>1</v>
      </c>
    </row>
    <row r="1951" spans="1:2" x14ac:dyDescent="0.25">
      <c r="A1951" s="27"/>
      <c r="B1951">
        <v>1</v>
      </c>
    </row>
    <row r="1952" spans="1:2" x14ac:dyDescent="0.25">
      <c r="A1952" s="26"/>
      <c r="B1952">
        <v>1</v>
      </c>
    </row>
    <row r="1953" spans="1:2" x14ac:dyDescent="0.25">
      <c r="A1953" s="27"/>
      <c r="B1953">
        <v>1</v>
      </c>
    </row>
    <row r="1954" spans="1:2" x14ac:dyDescent="0.25">
      <c r="A1954" s="26"/>
      <c r="B1954">
        <v>1</v>
      </c>
    </row>
    <row r="1955" spans="1:2" x14ac:dyDescent="0.25">
      <c r="A1955" s="27"/>
      <c r="B1955">
        <v>1</v>
      </c>
    </row>
    <row r="1956" spans="1:2" x14ac:dyDescent="0.25">
      <c r="A1956" s="26"/>
      <c r="B1956">
        <v>1</v>
      </c>
    </row>
    <row r="1957" spans="1:2" x14ac:dyDescent="0.25">
      <c r="A1957" s="27"/>
      <c r="B1957">
        <v>1</v>
      </c>
    </row>
    <row r="1958" spans="1:2" x14ac:dyDescent="0.25">
      <c r="A1958" s="26"/>
      <c r="B1958">
        <v>1</v>
      </c>
    </row>
    <row r="1959" spans="1:2" x14ac:dyDescent="0.25">
      <c r="A1959" s="27"/>
      <c r="B1959">
        <v>1</v>
      </c>
    </row>
    <row r="1960" spans="1:2" x14ac:dyDescent="0.25">
      <c r="A1960" s="26"/>
      <c r="B1960">
        <v>1</v>
      </c>
    </row>
    <row r="1961" spans="1:2" x14ac:dyDescent="0.25">
      <c r="A1961" s="27"/>
      <c r="B1961">
        <v>1</v>
      </c>
    </row>
    <row r="1962" spans="1:2" x14ac:dyDescent="0.25">
      <c r="A1962" s="26"/>
      <c r="B1962">
        <v>1</v>
      </c>
    </row>
    <row r="1963" spans="1:2" x14ac:dyDescent="0.25">
      <c r="A1963" s="27"/>
      <c r="B1963">
        <v>1</v>
      </c>
    </row>
    <row r="1964" spans="1:2" x14ac:dyDescent="0.25">
      <c r="A1964" s="26"/>
      <c r="B1964">
        <v>1</v>
      </c>
    </row>
    <row r="1965" spans="1:2" x14ac:dyDescent="0.25">
      <c r="A1965" s="27"/>
      <c r="B1965">
        <v>1</v>
      </c>
    </row>
    <row r="1966" spans="1:2" x14ac:dyDescent="0.25">
      <c r="A1966" s="26"/>
      <c r="B1966">
        <v>1</v>
      </c>
    </row>
    <row r="1967" spans="1:2" x14ac:dyDescent="0.25">
      <c r="A1967" s="27"/>
      <c r="B1967">
        <v>1</v>
      </c>
    </row>
    <row r="1968" spans="1:2" x14ac:dyDescent="0.25">
      <c r="A1968" s="26"/>
      <c r="B1968">
        <v>1</v>
      </c>
    </row>
    <row r="1969" spans="1:2" x14ac:dyDescent="0.25">
      <c r="A1969" s="27"/>
      <c r="B1969">
        <v>1</v>
      </c>
    </row>
    <row r="1970" spans="1:2" x14ac:dyDescent="0.25">
      <c r="A1970" s="26"/>
      <c r="B1970">
        <v>1</v>
      </c>
    </row>
    <row r="1971" spans="1:2" x14ac:dyDescent="0.25">
      <c r="A1971" s="27"/>
      <c r="B1971">
        <v>1</v>
      </c>
    </row>
    <row r="1972" spans="1:2" x14ac:dyDescent="0.25">
      <c r="A1972" s="26"/>
      <c r="B1972">
        <v>1</v>
      </c>
    </row>
    <row r="1973" spans="1:2" x14ac:dyDescent="0.25">
      <c r="A1973" s="27"/>
      <c r="B1973">
        <v>1</v>
      </c>
    </row>
    <row r="1974" spans="1:2" x14ac:dyDescent="0.25">
      <c r="A1974" s="26"/>
      <c r="B1974">
        <v>1</v>
      </c>
    </row>
    <row r="1975" spans="1:2" x14ac:dyDescent="0.25">
      <c r="A1975" s="27"/>
      <c r="B1975">
        <v>1</v>
      </c>
    </row>
    <row r="1976" spans="1:2" x14ac:dyDescent="0.25">
      <c r="A1976" s="26"/>
      <c r="B1976">
        <v>1</v>
      </c>
    </row>
    <row r="1977" spans="1:2" x14ac:dyDescent="0.25">
      <c r="A1977" s="27"/>
      <c r="B1977">
        <v>1</v>
      </c>
    </row>
    <row r="1978" spans="1:2" x14ac:dyDescent="0.25">
      <c r="A1978" s="26"/>
      <c r="B1978">
        <v>1</v>
      </c>
    </row>
    <row r="1979" spans="1:2" x14ac:dyDescent="0.25">
      <c r="A1979" s="27"/>
      <c r="B1979">
        <v>1</v>
      </c>
    </row>
    <row r="1980" spans="1:2" x14ac:dyDescent="0.25">
      <c r="A1980" s="26"/>
      <c r="B1980">
        <v>1</v>
      </c>
    </row>
    <row r="1981" spans="1:2" x14ac:dyDescent="0.25">
      <c r="A1981" s="27"/>
      <c r="B1981">
        <v>1</v>
      </c>
    </row>
    <row r="1982" spans="1:2" x14ac:dyDescent="0.25">
      <c r="A1982" s="26"/>
      <c r="B1982">
        <v>1</v>
      </c>
    </row>
    <row r="1983" spans="1:2" x14ac:dyDescent="0.25">
      <c r="A1983" s="27"/>
      <c r="B1983">
        <v>1</v>
      </c>
    </row>
    <row r="1984" spans="1:2" x14ac:dyDescent="0.25">
      <c r="A1984" s="26"/>
      <c r="B1984">
        <v>1</v>
      </c>
    </row>
    <row r="1985" spans="1:2" x14ac:dyDescent="0.25">
      <c r="A1985" s="27"/>
      <c r="B1985">
        <v>1</v>
      </c>
    </row>
    <row r="1986" spans="1:2" x14ac:dyDescent="0.25">
      <c r="A1986" s="26"/>
      <c r="B1986">
        <v>1</v>
      </c>
    </row>
    <row r="1987" spans="1:2" x14ac:dyDescent="0.25">
      <c r="A1987" s="27"/>
      <c r="B1987">
        <v>1</v>
      </c>
    </row>
    <row r="1988" spans="1:2" x14ac:dyDescent="0.25">
      <c r="A1988" s="26"/>
      <c r="B1988">
        <v>1</v>
      </c>
    </row>
    <row r="1989" spans="1:2" x14ac:dyDescent="0.25">
      <c r="A1989" s="27"/>
      <c r="B1989">
        <v>1</v>
      </c>
    </row>
    <row r="1990" spans="1:2" x14ac:dyDescent="0.25">
      <c r="A1990" s="26"/>
      <c r="B1990">
        <v>1</v>
      </c>
    </row>
    <row r="1991" spans="1:2" x14ac:dyDescent="0.25">
      <c r="A1991" s="27"/>
      <c r="B1991">
        <v>1</v>
      </c>
    </row>
    <row r="1992" spans="1:2" x14ac:dyDescent="0.25">
      <c r="A1992" s="26"/>
      <c r="B1992">
        <v>1</v>
      </c>
    </row>
    <row r="1993" spans="1:2" x14ac:dyDescent="0.25">
      <c r="A1993" s="27"/>
      <c r="B1993">
        <v>1</v>
      </c>
    </row>
    <row r="1994" spans="1:2" x14ac:dyDescent="0.25">
      <c r="A1994" s="26"/>
      <c r="B1994">
        <v>1</v>
      </c>
    </row>
    <row r="1995" spans="1:2" x14ac:dyDescent="0.25">
      <c r="A1995" s="27"/>
      <c r="B1995">
        <v>1</v>
      </c>
    </row>
    <row r="1996" spans="1:2" x14ac:dyDescent="0.25">
      <c r="A1996" s="26"/>
      <c r="B1996">
        <v>1</v>
      </c>
    </row>
    <row r="1997" spans="1:2" x14ac:dyDescent="0.25">
      <c r="A1997" s="27"/>
      <c r="B1997">
        <v>1</v>
      </c>
    </row>
    <row r="1998" spans="1:2" x14ac:dyDescent="0.25">
      <c r="A1998" s="26"/>
      <c r="B1998">
        <v>1</v>
      </c>
    </row>
    <row r="1999" spans="1:2" x14ac:dyDescent="0.25">
      <c r="A1999" s="27"/>
      <c r="B1999">
        <v>1</v>
      </c>
    </row>
    <row r="2000" spans="1:2" x14ac:dyDescent="0.25">
      <c r="A2000" s="26"/>
      <c r="B2000">
        <v>1</v>
      </c>
    </row>
    <row r="2001" spans="1:2" x14ac:dyDescent="0.25">
      <c r="A2001" s="27"/>
      <c r="B2001">
        <v>1</v>
      </c>
    </row>
    <row r="2002" spans="1:2" x14ac:dyDescent="0.25">
      <c r="A2002" s="26"/>
      <c r="B2002">
        <v>1</v>
      </c>
    </row>
    <row r="2003" spans="1:2" x14ac:dyDescent="0.25">
      <c r="A2003" s="27"/>
      <c r="B2003">
        <v>1</v>
      </c>
    </row>
    <row r="2004" spans="1:2" x14ac:dyDescent="0.25">
      <c r="A2004" s="26"/>
      <c r="B2004">
        <v>1</v>
      </c>
    </row>
    <row r="2005" spans="1:2" x14ac:dyDescent="0.25">
      <c r="A2005" s="27"/>
      <c r="B2005">
        <v>1</v>
      </c>
    </row>
    <row r="2006" spans="1:2" x14ac:dyDescent="0.25">
      <c r="A2006" s="26"/>
      <c r="B2006">
        <v>1</v>
      </c>
    </row>
    <row r="2007" spans="1:2" x14ac:dyDescent="0.25">
      <c r="A2007" s="27"/>
      <c r="B2007">
        <v>1</v>
      </c>
    </row>
    <row r="2008" spans="1:2" x14ac:dyDescent="0.25">
      <c r="A2008" s="26"/>
      <c r="B2008">
        <v>1</v>
      </c>
    </row>
    <row r="2009" spans="1:2" x14ac:dyDescent="0.25">
      <c r="A2009" s="27"/>
      <c r="B2009">
        <v>1</v>
      </c>
    </row>
    <row r="2010" spans="1:2" x14ac:dyDescent="0.25">
      <c r="A2010" s="26"/>
      <c r="B2010">
        <v>1</v>
      </c>
    </row>
    <row r="2011" spans="1:2" x14ac:dyDescent="0.25">
      <c r="A2011" s="27"/>
      <c r="B2011">
        <v>1</v>
      </c>
    </row>
    <row r="2012" spans="1:2" x14ac:dyDescent="0.25">
      <c r="A2012" s="26"/>
      <c r="B2012">
        <v>1</v>
      </c>
    </row>
    <row r="2013" spans="1:2" x14ac:dyDescent="0.25">
      <c r="A2013" s="27"/>
      <c r="B2013">
        <v>1</v>
      </c>
    </row>
    <row r="2014" spans="1:2" x14ac:dyDescent="0.25">
      <c r="A2014" s="26"/>
      <c r="B2014">
        <v>1</v>
      </c>
    </row>
    <row r="2015" spans="1:2" x14ac:dyDescent="0.25">
      <c r="A2015" s="27"/>
      <c r="B2015">
        <v>1</v>
      </c>
    </row>
    <row r="2016" spans="1:2" x14ac:dyDescent="0.25">
      <c r="A2016" s="26"/>
      <c r="B2016">
        <v>1</v>
      </c>
    </row>
    <row r="2017" spans="1:2" x14ac:dyDescent="0.25">
      <c r="A2017" s="27"/>
      <c r="B2017">
        <v>1</v>
      </c>
    </row>
    <row r="2018" spans="1:2" x14ac:dyDescent="0.25">
      <c r="A2018" s="26"/>
      <c r="B2018">
        <v>1</v>
      </c>
    </row>
    <row r="2019" spans="1:2" x14ac:dyDescent="0.25">
      <c r="A2019" s="27"/>
      <c r="B2019">
        <v>1</v>
      </c>
    </row>
    <row r="2020" spans="1:2" x14ac:dyDescent="0.25">
      <c r="A2020" s="26"/>
      <c r="B2020">
        <v>1</v>
      </c>
    </row>
    <row r="2021" spans="1:2" x14ac:dyDescent="0.25">
      <c r="A2021" s="27"/>
      <c r="B2021">
        <v>1</v>
      </c>
    </row>
    <row r="2022" spans="1:2" x14ac:dyDescent="0.25">
      <c r="A2022" s="26"/>
      <c r="B2022">
        <v>1</v>
      </c>
    </row>
    <row r="2023" spans="1:2" x14ac:dyDescent="0.25">
      <c r="A2023" s="27"/>
      <c r="B2023">
        <v>1</v>
      </c>
    </row>
    <row r="2024" spans="1:2" x14ac:dyDescent="0.25">
      <c r="A2024" s="26"/>
      <c r="B2024">
        <v>1</v>
      </c>
    </row>
    <row r="2025" spans="1:2" x14ac:dyDescent="0.25">
      <c r="A2025" s="27"/>
      <c r="B2025">
        <v>1</v>
      </c>
    </row>
    <row r="2026" spans="1:2" x14ac:dyDescent="0.25">
      <c r="A2026" s="26"/>
      <c r="B2026">
        <v>1</v>
      </c>
    </row>
    <row r="2027" spans="1:2" x14ac:dyDescent="0.25">
      <c r="A2027" s="27"/>
      <c r="B2027">
        <v>1</v>
      </c>
    </row>
    <row r="2028" spans="1:2" x14ac:dyDescent="0.25">
      <c r="A2028" s="26"/>
      <c r="B2028">
        <v>1</v>
      </c>
    </row>
    <row r="2029" spans="1:2" x14ac:dyDescent="0.25">
      <c r="A2029" s="27"/>
      <c r="B2029">
        <v>1</v>
      </c>
    </row>
    <row r="2030" spans="1:2" x14ac:dyDescent="0.25">
      <c r="A2030" s="26"/>
      <c r="B2030">
        <v>1</v>
      </c>
    </row>
    <row r="2031" spans="1:2" x14ac:dyDescent="0.25">
      <c r="A2031" s="27"/>
      <c r="B2031">
        <v>1</v>
      </c>
    </row>
    <row r="2032" spans="1:2" x14ac:dyDescent="0.25">
      <c r="A2032" s="26"/>
      <c r="B2032">
        <v>1</v>
      </c>
    </row>
    <row r="2033" spans="1:2" x14ac:dyDescent="0.25">
      <c r="A2033" s="27"/>
      <c r="B2033">
        <v>1</v>
      </c>
    </row>
    <row r="2034" spans="1:2" x14ac:dyDescent="0.25">
      <c r="A2034" s="26"/>
      <c r="B2034">
        <v>1</v>
      </c>
    </row>
    <row r="2035" spans="1:2" x14ac:dyDescent="0.25">
      <c r="A2035" s="27"/>
      <c r="B2035">
        <v>1</v>
      </c>
    </row>
    <row r="2036" spans="1:2" x14ac:dyDescent="0.25">
      <c r="A2036" s="26"/>
      <c r="B2036">
        <v>1</v>
      </c>
    </row>
    <row r="2037" spans="1:2" x14ac:dyDescent="0.25">
      <c r="A2037" s="27"/>
      <c r="B2037">
        <v>1</v>
      </c>
    </row>
    <row r="2038" spans="1:2" x14ac:dyDescent="0.25">
      <c r="A2038" s="26"/>
      <c r="B2038">
        <v>1</v>
      </c>
    </row>
    <row r="2039" spans="1:2" x14ac:dyDescent="0.25">
      <c r="A2039" s="27"/>
      <c r="B2039">
        <v>1</v>
      </c>
    </row>
    <row r="2040" spans="1:2" x14ac:dyDescent="0.25">
      <c r="A2040" s="26"/>
      <c r="B2040">
        <v>1</v>
      </c>
    </row>
    <row r="2041" spans="1:2" x14ac:dyDescent="0.25">
      <c r="A2041" s="27"/>
      <c r="B2041">
        <v>1</v>
      </c>
    </row>
    <row r="2042" spans="1:2" x14ac:dyDescent="0.25">
      <c r="A2042" s="26"/>
      <c r="B2042">
        <v>1</v>
      </c>
    </row>
    <row r="2043" spans="1:2" x14ac:dyDescent="0.25">
      <c r="A2043" s="27"/>
      <c r="B2043">
        <v>1</v>
      </c>
    </row>
    <row r="2044" spans="1:2" x14ac:dyDescent="0.25">
      <c r="A2044" s="26"/>
      <c r="B2044">
        <v>1</v>
      </c>
    </row>
    <row r="2045" spans="1:2" x14ac:dyDescent="0.25">
      <c r="A2045" s="27"/>
      <c r="B2045">
        <v>1</v>
      </c>
    </row>
    <row r="2046" spans="1:2" x14ac:dyDescent="0.25">
      <c r="A2046" s="26"/>
      <c r="B2046">
        <v>1</v>
      </c>
    </row>
    <row r="2047" spans="1:2" x14ac:dyDescent="0.25">
      <c r="A2047" s="27"/>
      <c r="B2047">
        <v>1</v>
      </c>
    </row>
    <row r="2048" spans="1:2" x14ac:dyDescent="0.25">
      <c r="A2048" s="26"/>
      <c r="B2048">
        <v>1</v>
      </c>
    </row>
    <row r="2049" spans="1:2" x14ac:dyDescent="0.25">
      <c r="A2049" s="27"/>
      <c r="B2049">
        <v>1</v>
      </c>
    </row>
    <row r="2050" spans="1:2" x14ac:dyDescent="0.25">
      <c r="A2050" s="26"/>
      <c r="B2050">
        <v>1</v>
      </c>
    </row>
    <row r="2051" spans="1:2" x14ac:dyDescent="0.25">
      <c r="A2051" s="27"/>
      <c r="B2051">
        <v>1</v>
      </c>
    </row>
    <row r="2052" spans="1:2" x14ac:dyDescent="0.25">
      <c r="A2052" s="26"/>
      <c r="B2052">
        <v>1</v>
      </c>
    </row>
    <row r="2053" spans="1:2" x14ac:dyDescent="0.25">
      <c r="A2053" s="27"/>
      <c r="B2053">
        <v>1</v>
      </c>
    </row>
    <row r="2054" spans="1:2" x14ac:dyDescent="0.25">
      <c r="A2054" s="26"/>
      <c r="B2054">
        <v>1</v>
      </c>
    </row>
    <row r="2055" spans="1:2" x14ac:dyDescent="0.25">
      <c r="A2055" s="27"/>
      <c r="B2055">
        <v>1</v>
      </c>
    </row>
    <row r="2056" spans="1:2" x14ac:dyDescent="0.25">
      <c r="A2056" s="26"/>
      <c r="B2056">
        <v>1</v>
      </c>
    </row>
    <row r="2057" spans="1:2" x14ac:dyDescent="0.25">
      <c r="A2057" s="27"/>
      <c r="B2057">
        <v>1</v>
      </c>
    </row>
    <row r="2058" spans="1:2" x14ac:dyDescent="0.25">
      <c r="A2058" s="26"/>
      <c r="B2058">
        <v>1</v>
      </c>
    </row>
    <row r="2059" spans="1:2" x14ac:dyDescent="0.25">
      <c r="A2059" s="27"/>
      <c r="B2059">
        <v>1</v>
      </c>
    </row>
    <row r="2060" spans="1:2" x14ac:dyDescent="0.25">
      <c r="A2060" s="26"/>
      <c r="B2060">
        <v>1</v>
      </c>
    </row>
    <row r="2061" spans="1:2" x14ac:dyDescent="0.25">
      <c r="A2061" s="27"/>
      <c r="B2061">
        <v>1</v>
      </c>
    </row>
    <row r="2062" spans="1:2" x14ac:dyDescent="0.25">
      <c r="A2062" s="26"/>
      <c r="B2062">
        <v>1</v>
      </c>
    </row>
    <row r="2063" spans="1:2" x14ac:dyDescent="0.25">
      <c r="A2063" s="27"/>
      <c r="B2063">
        <v>1</v>
      </c>
    </row>
    <row r="2064" spans="1:2" x14ac:dyDescent="0.25">
      <c r="A2064" s="26"/>
      <c r="B2064">
        <v>1</v>
      </c>
    </row>
    <row r="2065" spans="1:2" x14ac:dyDescent="0.25">
      <c r="A2065" s="27"/>
      <c r="B2065">
        <v>1</v>
      </c>
    </row>
    <row r="2066" spans="1:2" x14ac:dyDescent="0.25">
      <c r="A2066" s="26"/>
      <c r="B2066">
        <v>1</v>
      </c>
    </row>
    <row r="2067" spans="1:2" x14ac:dyDescent="0.25">
      <c r="A2067" s="27"/>
      <c r="B2067">
        <v>1</v>
      </c>
    </row>
    <row r="2068" spans="1:2" x14ac:dyDescent="0.25">
      <c r="A2068" s="26"/>
      <c r="B2068">
        <v>1</v>
      </c>
    </row>
    <row r="2069" spans="1:2" x14ac:dyDescent="0.25">
      <c r="A2069" s="27"/>
      <c r="B2069">
        <v>1</v>
      </c>
    </row>
    <row r="2070" spans="1:2" x14ac:dyDescent="0.25">
      <c r="A2070" s="26"/>
      <c r="B2070">
        <v>1</v>
      </c>
    </row>
    <row r="2071" spans="1:2" x14ac:dyDescent="0.25">
      <c r="A2071" s="27"/>
      <c r="B2071">
        <v>1</v>
      </c>
    </row>
    <row r="2072" spans="1:2" x14ac:dyDescent="0.25">
      <c r="A2072" s="26"/>
      <c r="B2072">
        <v>1</v>
      </c>
    </row>
    <row r="2073" spans="1:2" x14ac:dyDescent="0.25">
      <c r="A2073" s="27"/>
      <c r="B2073">
        <v>1</v>
      </c>
    </row>
    <row r="2074" spans="1:2" x14ac:dyDescent="0.25">
      <c r="A2074" s="26"/>
      <c r="B2074">
        <v>1</v>
      </c>
    </row>
    <row r="2075" spans="1:2" x14ac:dyDescent="0.25">
      <c r="A2075" s="27"/>
      <c r="B2075">
        <v>1</v>
      </c>
    </row>
    <row r="2076" spans="1:2" x14ac:dyDescent="0.25">
      <c r="A2076" s="26"/>
      <c r="B2076">
        <v>1</v>
      </c>
    </row>
    <row r="2077" spans="1:2" x14ac:dyDescent="0.25">
      <c r="A2077" s="27"/>
      <c r="B2077">
        <v>1</v>
      </c>
    </row>
    <row r="2078" spans="1:2" x14ac:dyDescent="0.25">
      <c r="A2078" s="26"/>
      <c r="B2078">
        <v>1</v>
      </c>
    </row>
    <row r="2079" spans="1:2" x14ac:dyDescent="0.25">
      <c r="A2079" s="27"/>
      <c r="B2079">
        <v>1</v>
      </c>
    </row>
    <row r="2080" spans="1:2" x14ac:dyDescent="0.25">
      <c r="A2080" s="26"/>
      <c r="B2080">
        <v>1</v>
      </c>
    </row>
    <row r="2081" spans="1:2" x14ac:dyDescent="0.25">
      <c r="A2081" s="27"/>
      <c r="B2081">
        <v>1</v>
      </c>
    </row>
    <row r="2082" spans="1:2" x14ac:dyDescent="0.25">
      <c r="A2082" s="26"/>
      <c r="B2082">
        <v>1</v>
      </c>
    </row>
    <row r="2083" spans="1:2" x14ac:dyDescent="0.25">
      <c r="A2083" s="27"/>
      <c r="B2083">
        <v>1</v>
      </c>
    </row>
    <row r="2084" spans="1:2" x14ac:dyDescent="0.25">
      <c r="A2084" s="26"/>
      <c r="B2084">
        <v>1</v>
      </c>
    </row>
    <row r="2085" spans="1:2" x14ac:dyDescent="0.25">
      <c r="A2085" s="27"/>
      <c r="B2085">
        <v>1</v>
      </c>
    </row>
    <row r="2086" spans="1:2" x14ac:dyDescent="0.25">
      <c r="A2086" s="26"/>
      <c r="B2086">
        <v>1</v>
      </c>
    </row>
    <row r="2087" spans="1:2" x14ac:dyDescent="0.25">
      <c r="A2087" s="27"/>
      <c r="B2087">
        <v>1</v>
      </c>
    </row>
    <row r="2088" spans="1:2" x14ac:dyDescent="0.25">
      <c r="A2088" s="26"/>
      <c r="B2088">
        <v>1</v>
      </c>
    </row>
    <row r="2089" spans="1:2" x14ac:dyDescent="0.25">
      <c r="A2089" s="27"/>
      <c r="B2089">
        <v>1</v>
      </c>
    </row>
    <row r="2090" spans="1:2" x14ac:dyDescent="0.25">
      <c r="A2090" s="26"/>
      <c r="B2090">
        <v>1</v>
      </c>
    </row>
    <row r="2091" spans="1:2" x14ac:dyDescent="0.25">
      <c r="A2091" s="27"/>
      <c r="B2091">
        <v>1</v>
      </c>
    </row>
    <row r="2092" spans="1:2" x14ac:dyDescent="0.25">
      <c r="A2092" s="26"/>
      <c r="B2092">
        <v>1</v>
      </c>
    </row>
    <row r="2093" spans="1:2" x14ac:dyDescent="0.25">
      <c r="A2093" s="27"/>
      <c r="B2093">
        <v>1</v>
      </c>
    </row>
    <row r="2094" spans="1:2" x14ac:dyDescent="0.25">
      <c r="A2094" s="26"/>
      <c r="B2094">
        <v>1</v>
      </c>
    </row>
    <row r="2095" spans="1:2" x14ac:dyDescent="0.25">
      <c r="A2095" s="27"/>
      <c r="B2095">
        <v>1</v>
      </c>
    </row>
    <row r="2096" spans="1:2" x14ac:dyDescent="0.25">
      <c r="A2096" s="26"/>
      <c r="B2096">
        <v>1</v>
      </c>
    </row>
    <row r="2097" spans="1:2" x14ac:dyDescent="0.25">
      <c r="A2097" s="27"/>
      <c r="B2097">
        <v>1</v>
      </c>
    </row>
    <row r="2098" spans="1:2" x14ac:dyDescent="0.25">
      <c r="A2098" s="26"/>
      <c r="B2098">
        <v>1</v>
      </c>
    </row>
    <row r="2099" spans="1:2" x14ac:dyDescent="0.25">
      <c r="A2099" s="27"/>
      <c r="B2099">
        <v>1</v>
      </c>
    </row>
    <row r="2100" spans="1:2" x14ac:dyDescent="0.25">
      <c r="A2100" s="26"/>
      <c r="B2100">
        <v>1</v>
      </c>
    </row>
    <row r="2101" spans="1:2" x14ac:dyDescent="0.25">
      <c r="A2101" s="27"/>
      <c r="B2101">
        <v>1</v>
      </c>
    </row>
    <row r="2102" spans="1:2" x14ac:dyDescent="0.25">
      <c r="A2102" s="26"/>
      <c r="B2102">
        <v>1</v>
      </c>
    </row>
    <row r="2103" spans="1:2" x14ac:dyDescent="0.25">
      <c r="A2103" s="27"/>
      <c r="B2103">
        <v>1</v>
      </c>
    </row>
    <row r="2104" spans="1:2" x14ac:dyDescent="0.25">
      <c r="A2104" s="26"/>
      <c r="B2104">
        <v>1</v>
      </c>
    </row>
    <row r="2105" spans="1:2" x14ac:dyDescent="0.25">
      <c r="A2105" s="27"/>
      <c r="B2105">
        <v>1</v>
      </c>
    </row>
    <row r="2106" spans="1:2" x14ac:dyDescent="0.25">
      <c r="A2106" s="26"/>
      <c r="B2106">
        <v>1</v>
      </c>
    </row>
    <row r="2107" spans="1:2" x14ac:dyDescent="0.25">
      <c r="A2107" s="27"/>
      <c r="B2107">
        <v>1</v>
      </c>
    </row>
    <row r="2108" spans="1:2" x14ac:dyDescent="0.25">
      <c r="A2108" s="26"/>
      <c r="B2108">
        <v>1</v>
      </c>
    </row>
    <row r="2109" spans="1:2" x14ac:dyDescent="0.25">
      <c r="A2109" s="27"/>
      <c r="B2109">
        <v>1</v>
      </c>
    </row>
    <row r="2110" spans="1:2" x14ac:dyDescent="0.25">
      <c r="A2110" s="26"/>
      <c r="B2110">
        <v>1</v>
      </c>
    </row>
    <row r="2111" spans="1:2" x14ac:dyDescent="0.25">
      <c r="A2111" s="27"/>
      <c r="B2111">
        <v>1</v>
      </c>
    </row>
    <row r="2112" spans="1:2" x14ac:dyDescent="0.25">
      <c r="A2112" s="26"/>
      <c r="B2112">
        <v>1</v>
      </c>
    </row>
    <row r="2113" spans="1:2" x14ac:dyDescent="0.25">
      <c r="A2113" s="27"/>
      <c r="B2113">
        <v>1</v>
      </c>
    </row>
    <row r="2114" spans="1:2" x14ac:dyDescent="0.25">
      <c r="A2114" s="26"/>
      <c r="B2114">
        <v>1</v>
      </c>
    </row>
    <row r="2115" spans="1:2" x14ac:dyDescent="0.25">
      <c r="A2115" s="27"/>
      <c r="B2115">
        <v>1</v>
      </c>
    </row>
    <row r="2116" spans="1:2" x14ac:dyDescent="0.25">
      <c r="A2116" s="26"/>
      <c r="B2116">
        <v>1</v>
      </c>
    </row>
    <row r="2117" spans="1:2" x14ac:dyDescent="0.25">
      <c r="A2117" s="27"/>
      <c r="B2117">
        <v>1</v>
      </c>
    </row>
    <row r="2118" spans="1:2" x14ac:dyDescent="0.25">
      <c r="A2118" s="26"/>
      <c r="B2118">
        <v>1</v>
      </c>
    </row>
    <row r="2119" spans="1:2" x14ac:dyDescent="0.25">
      <c r="A2119" s="27"/>
      <c r="B2119">
        <v>1</v>
      </c>
    </row>
    <row r="2120" spans="1:2" x14ac:dyDescent="0.25">
      <c r="A2120" s="26"/>
      <c r="B2120">
        <v>1</v>
      </c>
    </row>
    <row r="2121" spans="1:2" x14ac:dyDescent="0.25">
      <c r="A2121" s="27"/>
      <c r="B2121">
        <v>1</v>
      </c>
    </row>
    <row r="2122" spans="1:2" x14ac:dyDescent="0.25">
      <c r="A2122" s="26"/>
      <c r="B2122">
        <v>1</v>
      </c>
    </row>
    <row r="2123" spans="1:2" x14ac:dyDescent="0.25">
      <c r="A2123" s="27"/>
      <c r="B2123">
        <v>1</v>
      </c>
    </row>
    <row r="2124" spans="1:2" x14ac:dyDescent="0.25">
      <c r="A2124" s="26"/>
      <c r="B2124">
        <v>1</v>
      </c>
    </row>
    <row r="2125" spans="1:2" x14ac:dyDescent="0.25">
      <c r="A2125" s="27"/>
      <c r="B2125">
        <v>1</v>
      </c>
    </row>
    <row r="2126" spans="1:2" x14ac:dyDescent="0.25">
      <c r="A2126" s="26"/>
      <c r="B2126">
        <v>1</v>
      </c>
    </row>
    <row r="2127" spans="1:2" x14ac:dyDescent="0.25">
      <c r="A2127" s="27"/>
      <c r="B2127">
        <v>1</v>
      </c>
    </row>
    <row r="2128" spans="1:2" x14ac:dyDescent="0.25">
      <c r="A2128" s="26"/>
      <c r="B2128">
        <v>1</v>
      </c>
    </row>
    <row r="2129" spans="1:2" x14ac:dyDescent="0.25">
      <c r="A2129" s="27"/>
      <c r="B2129">
        <v>1</v>
      </c>
    </row>
    <row r="2130" spans="1:2" x14ac:dyDescent="0.25">
      <c r="A2130" s="26"/>
      <c r="B2130">
        <v>1</v>
      </c>
    </row>
    <row r="2131" spans="1:2" x14ac:dyDescent="0.25">
      <c r="A2131" s="27"/>
      <c r="B2131">
        <v>1</v>
      </c>
    </row>
    <row r="2132" spans="1:2" x14ac:dyDescent="0.25">
      <c r="A2132" s="26"/>
      <c r="B2132">
        <v>1</v>
      </c>
    </row>
    <row r="2133" spans="1:2" x14ac:dyDescent="0.25">
      <c r="A2133" s="27"/>
      <c r="B2133">
        <v>1</v>
      </c>
    </row>
    <row r="2134" spans="1:2" x14ac:dyDescent="0.25">
      <c r="A2134" s="26"/>
      <c r="B2134">
        <v>1</v>
      </c>
    </row>
    <row r="2135" spans="1:2" x14ac:dyDescent="0.25">
      <c r="A2135" s="27"/>
      <c r="B2135">
        <v>1</v>
      </c>
    </row>
    <row r="2136" spans="1:2" x14ac:dyDescent="0.25">
      <c r="A2136" s="26"/>
      <c r="B2136">
        <v>1</v>
      </c>
    </row>
    <row r="2137" spans="1:2" x14ac:dyDescent="0.25">
      <c r="A2137" s="27"/>
      <c r="B2137">
        <v>1</v>
      </c>
    </row>
    <row r="2138" spans="1:2" x14ac:dyDescent="0.25">
      <c r="A2138" s="26"/>
      <c r="B2138">
        <v>1</v>
      </c>
    </row>
    <row r="2139" spans="1:2" x14ac:dyDescent="0.25">
      <c r="A2139" s="27"/>
      <c r="B2139">
        <v>1</v>
      </c>
    </row>
    <row r="2140" spans="1:2" x14ac:dyDescent="0.25">
      <c r="A2140" s="26"/>
      <c r="B2140">
        <v>1</v>
      </c>
    </row>
    <row r="2141" spans="1:2" x14ac:dyDescent="0.25">
      <c r="A2141" s="27"/>
      <c r="B2141">
        <v>1</v>
      </c>
    </row>
    <row r="2142" spans="1:2" x14ac:dyDescent="0.25">
      <c r="A2142" s="26"/>
      <c r="B2142">
        <v>1</v>
      </c>
    </row>
    <row r="2143" spans="1:2" x14ac:dyDescent="0.25">
      <c r="A2143" s="27"/>
      <c r="B2143">
        <v>1</v>
      </c>
    </row>
    <row r="2144" spans="1:2" x14ac:dyDescent="0.25">
      <c r="A2144" s="26"/>
      <c r="B2144">
        <v>1</v>
      </c>
    </row>
    <row r="2145" spans="1:2" x14ac:dyDescent="0.25">
      <c r="A2145" s="27"/>
      <c r="B2145">
        <v>1</v>
      </c>
    </row>
    <row r="2146" spans="1:2" x14ac:dyDescent="0.25">
      <c r="A2146" s="26"/>
      <c r="B2146">
        <v>1</v>
      </c>
    </row>
    <row r="2147" spans="1:2" x14ac:dyDescent="0.25">
      <c r="A2147" s="27"/>
      <c r="B2147">
        <v>1</v>
      </c>
    </row>
    <row r="2148" spans="1:2" x14ac:dyDescent="0.25">
      <c r="A2148" s="26"/>
      <c r="B2148">
        <v>1</v>
      </c>
    </row>
    <row r="2149" spans="1:2" x14ac:dyDescent="0.25">
      <c r="A2149" s="27"/>
      <c r="B2149">
        <v>1</v>
      </c>
    </row>
    <row r="2150" spans="1:2" x14ac:dyDescent="0.25">
      <c r="A2150" s="26"/>
      <c r="B2150">
        <v>1</v>
      </c>
    </row>
    <row r="2151" spans="1:2" x14ac:dyDescent="0.25">
      <c r="A2151" s="27"/>
      <c r="B2151">
        <v>1</v>
      </c>
    </row>
    <row r="2152" spans="1:2" x14ac:dyDescent="0.25">
      <c r="A2152" s="26"/>
      <c r="B2152">
        <v>1</v>
      </c>
    </row>
    <row r="2153" spans="1:2" x14ac:dyDescent="0.25">
      <c r="A2153" s="27"/>
      <c r="B2153">
        <v>1</v>
      </c>
    </row>
    <row r="2154" spans="1:2" x14ac:dyDescent="0.25">
      <c r="A2154" s="26"/>
      <c r="B2154">
        <v>1</v>
      </c>
    </row>
    <row r="2155" spans="1:2" x14ac:dyDescent="0.25">
      <c r="A2155" s="27"/>
      <c r="B2155">
        <v>1</v>
      </c>
    </row>
    <row r="2156" spans="1:2" x14ac:dyDescent="0.25">
      <c r="A2156" s="26"/>
      <c r="B2156">
        <v>1</v>
      </c>
    </row>
    <row r="2157" spans="1:2" x14ac:dyDescent="0.25">
      <c r="A2157" s="27"/>
      <c r="B2157">
        <v>1</v>
      </c>
    </row>
    <row r="2158" spans="1:2" x14ac:dyDescent="0.25">
      <c r="A2158" s="26"/>
      <c r="B2158">
        <v>1</v>
      </c>
    </row>
    <row r="2159" spans="1:2" x14ac:dyDescent="0.25">
      <c r="A2159" s="27"/>
      <c r="B2159">
        <v>1</v>
      </c>
    </row>
    <row r="2160" spans="1:2" x14ac:dyDescent="0.25">
      <c r="A2160" s="26"/>
      <c r="B2160">
        <v>1</v>
      </c>
    </row>
    <row r="2161" spans="1:2" x14ac:dyDescent="0.25">
      <c r="A2161" s="27"/>
      <c r="B2161">
        <v>1</v>
      </c>
    </row>
    <row r="2162" spans="1:2" x14ac:dyDescent="0.25">
      <c r="A2162" s="26"/>
      <c r="B2162">
        <v>1</v>
      </c>
    </row>
    <row r="2163" spans="1:2" x14ac:dyDescent="0.25">
      <c r="A2163" s="27"/>
      <c r="B2163">
        <v>1</v>
      </c>
    </row>
    <row r="2164" spans="1:2" x14ac:dyDescent="0.25">
      <c r="A2164" s="26"/>
      <c r="B2164">
        <v>1</v>
      </c>
    </row>
    <row r="2165" spans="1:2" x14ac:dyDescent="0.25">
      <c r="A2165" s="27"/>
      <c r="B2165">
        <v>1</v>
      </c>
    </row>
    <row r="2166" spans="1:2" x14ac:dyDescent="0.25">
      <c r="A2166" s="26"/>
      <c r="B2166">
        <v>1</v>
      </c>
    </row>
    <row r="2167" spans="1:2" x14ac:dyDescent="0.25">
      <c r="A2167" s="27"/>
      <c r="B2167">
        <v>1</v>
      </c>
    </row>
    <row r="2168" spans="1:2" x14ac:dyDescent="0.25">
      <c r="A2168" s="26"/>
      <c r="B2168">
        <v>1</v>
      </c>
    </row>
    <row r="2169" spans="1:2" x14ac:dyDescent="0.25">
      <c r="A2169" s="27"/>
      <c r="B2169">
        <v>1</v>
      </c>
    </row>
    <row r="2170" spans="1:2" x14ac:dyDescent="0.25">
      <c r="A2170" s="26"/>
      <c r="B2170">
        <v>1</v>
      </c>
    </row>
    <row r="2171" spans="1:2" x14ac:dyDescent="0.25">
      <c r="A2171" s="27"/>
      <c r="B2171">
        <v>1</v>
      </c>
    </row>
    <row r="2172" spans="1:2" x14ac:dyDescent="0.25">
      <c r="A2172" s="26"/>
      <c r="B2172">
        <v>1</v>
      </c>
    </row>
    <row r="2173" spans="1:2" x14ac:dyDescent="0.25">
      <c r="A2173" s="27"/>
      <c r="B2173">
        <v>1</v>
      </c>
    </row>
    <row r="2174" spans="1:2" x14ac:dyDescent="0.25">
      <c r="A2174" s="26"/>
      <c r="B2174">
        <v>1</v>
      </c>
    </row>
    <row r="2175" spans="1:2" x14ac:dyDescent="0.25">
      <c r="A2175" s="27"/>
      <c r="B2175">
        <v>1</v>
      </c>
    </row>
    <row r="2176" spans="1:2" x14ac:dyDescent="0.25">
      <c r="A2176" s="26"/>
      <c r="B2176">
        <v>1</v>
      </c>
    </row>
    <row r="2177" spans="1:2" x14ac:dyDescent="0.25">
      <c r="A2177" s="27"/>
      <c r="B2177">
        <v>1</v>
      </c>
    </row>
    <row r="2178" spans="1:2" x14ac:dyDescent="0.25">
      <c r="A2178" s="26"/>
      <c r="B2178">
        <v>1</v>
      </c>
    </row>
    <row r="2179" spans="1:2" x14ac:dyDescent="0.25">
      <c r="A2179" s="27"/>
      <c r="B2179">
        <v>1</v>
      </c>
    </row>
    <row r="2180" spans="1:2" x14ac:dyDescent="0.25">
      <c r="A2180" s="26"/>
      <c r="B2180">
        <v>1</v>
      </c>
    </row>
    <row r="2181" spans="1:2" x14ac:dyDescent="0.25">
      <c r="A2181" s="27"/>
      <c r="B2181">
        <v>1</v>
      </c>
    </row>
    <row r="2182" spans="1:2" x14ac:dyDescent="0.25">
      <c r="A2182" s="26"/>
      <c r="B2182">
        <v>1</v>
      </c>
    </row>
    <row r="2183" spans="1:2" x14ac:dyDescent="0.25">
      <c r="A2183" s="27"/>
      <c r="B2183">
        <v>1</v>
      </c>
    </row>
    <row r="2184" spans="1:2" x14ac:dyDescent="0.25">
      <c r="A2184" s="26"/>
      <c r="B2184">
        <v>1</v>
      </c>
    </row>
    <row r="2185" spans="1:2" x14ac:dyDescent="0.25">
      <c r="A2185" s="27"/>
      <c r="B2185">
        <v>1</v>
      </c>
    </row>
    <row r="2186" spans="1:2" x14ac:dyDescent="0.25">
      <c r="A2186" s="26"/>
      <c r="B2186">
        <v>1</v>
      </c>
    </row>
    <row r="2187" spans="1:2" x14ac:dyDescent="0.25">
      <c r="A2187" s="27"/>
      <c r="B2187">
        <v>1</v>
      </c>
    </row>
    <row r="2188" spans="1:2" x14ac:dyDescent="0.25">
      <c r="A2188" s="26"/>
      <c r="B2188">
        <v>1</v>
      </c>
    </row>
    <row r="2189" spans="1:2" x14ac:dyDescent="0.25">
      <c r="A2189" s="27"/>
      <c r="B2189">
        <v>1</v>
      </c>
    </row>
    <row r="2190" spans="1:2" x14ac:dyDescent="0.25">
      <c r="A2190" s="26"/>
      <c r="B2190">
        <v>1</v>
      </c>
    </row>
    <row r="2191" spans="1:2" x14ac:dyDescent="0.25">
      <c r="A2191" s="27"/>
      <c r="B2191">
        <v>1</v>
      </c>
    </row>
    <row r="2192" spans="1:2" x14ac:dyDescent="0.25">
      <c r="A2192" s="26"/>
      <c r="B2192">
        <v>1</v>
      </c>
    </row>
    <row r="2193" spans="1:2" x14ac:dyDescent="0.25">
      <c r="A2193" s="27"/>
      <c r="B2193">
        <v>1</v>
      </c>
    </row>
    <row r="2194" spans="1:2" x14ac:dyDescent="0.25">
      <c r="A2194" s="26"/>
      <c r="B2194">
        <v>1</v>
      </c>
    </row>
    <row r="2195" spans="1:2" x14ac:dyDescent="0.25">
      <c r="A2195" s="27"/>
      <c r="B2195">
        <v>1</v>
      </c>
    </row>
    <row r="2196" spans="1:2" x14ac:dyDescent="0.25">
      <c r="A2196" s="26"/>
      <c r="B2196">
        <v>1</v>
      </c>
    </row>
    <row r="2197" spans="1:2" x14ac:dyDescent="0.25">
      <c r="A2197" s="27"/>
      <c r="B2197">
        <v>1</v>
      </c>
    </row>
    <row r="2198" spans="1:2" x14ac:dyDescent="0.25">
      <c r="A2198" s="26"/>
      <c r="B2198">
        <v>1</v>
      </c>
    </row>
    <row r="2199" spans="1:2" x14ac:dyDescent="0.25">
      <c r="A2199" s="27"/>
      <c r="B2199">
        <v>1</v>
      </c>
    </row>
    <row r="2200" spans="1:2" x14ac:dyDescent="0.25">
      <c r="A2200" s="26"/>
      <c r="B2200">
        <v>1</v>
      </c>
    </row>
    <row r="2201" spans="1:2" x14ac:dyDescent="0.25">
      <c r="A2201" s="27"/>
      <c r="B2201">
        <v>1</v>
      </c>
    </row>
    <row r="2202" spans="1:2" x14ac:dyDescent="0.25">
      <c r="A2202" s="26"/>
      <c r="B2202">
        <v>1</v>
      </c>
    </row>
    <row r="2203" spans="1:2" x14ac:dyDescent="0.25">
      <c r="A2203" s="27"/>
      <c r="B2203">
        <v>1</v>
      </c>
    </row>
    <row r="2204" spans="1:2" x14ac:dyDescent="0.25">
      <c r="A2204" s="26"/>
      <c r="B2204">
        <v>1</v>
      </c>
    </row>
    <row r="2205" spans="1:2" x14ac:dyDescent="0.25">
      <c r="A2205" s="27"/>
      <c r="B2205">
        <v>1</v>
      </c>
    </row>
    <row r="2206" spans="1:2" x14ac:dyDescent="0.25">
      <c r="A2206" s="26"/>
      <c r="B2206">
        <v>1</v>
      </c>
    </row>
    <row r="2207" spans="1:2" x14ac:dyDescent="0.25">
      <c r="A2207" s="27"/>
      <c r="B2207">
        <v>1</v>
      </c>
    </row>
    <row r="2208" spans="1:2" x14ac:dyDescent="0.25">
      <c r="A2208" s="26"/>
      <c r="B2208">
        <v>1</v>
      </c>
    </row>
    <row r="2209" spans="1:2" x14ac:dyDescent="0.25">
      <c r="A2209" s="27"/>
      <c r="B2209">
        <v>1</v>
      </c>
    </row>
    <row r="2210" spans="1:2" x14ac:dyDescent="0.25">
      <c r="A2210" s="26"/>
      <c r="B2210">
        <v>1</v>
      </c>
    </row>
    <row r="2211" spans="1:2" x14ac:dyDescent="0.25">
      <c r="A2211" s="27"/>
      <c r="B2211">
        <v>1</v>
      </c>
    </row>
    <row r="2212" spans="1:2" x14ac:dyDescent="0.25">
      <c r="A2212" s="26"/>
      <c r="B2212">
        <v>1</v>
      </c>
    </row>
    <row r="2213" spans="1:2" x14ac:dyDescent="0.25">
      <c r="A2213" s="27"/>
      <c r="B2213">
        <v>1</v>
      </c>
    </row>
    <row r="2214" spans="1:2" x14ac:dyDescent="0.25">
      <c r="A2214" s="26"/>
      <c r="B2214">
        <v>1</v>
      </c>
    </row>
    <row r="2215" spans="1:2" x14ac:dyDescent="0.25">
      <c r="A2215" s="27"/>
      <c r="B2215">
        <v>1</v>
      </c>
    </row>
    <row r="2216" spans="1:2" x14ac:dyDescent="0.25">
      <c r="A2216" s="26"/>
      <c r="B2216">
        <v>1</v>
      </c>
    </row>
    <row r="2217" spans="1:2" x14ac:dyDescent="0.25">
      <c r="A2217" s="27"/>
      <c r="B2217">
        <v>1</v>
      </c>
    </row>
    <row r="2218" spans="1:2" x14ac:dyDescent="0.25">
      <c r="A2218" s="26"/>
      <c r="B2218">
        <v>1</v>
      </c>
    </row>
    <row r="2219" spans="1:2" x14ac:dyDescent="0.25">
      <c r="A2219" s="27"/>
      <c r="B2219">
        <v>1</v>
      </c>
    </row>
    <row r="2220" spans="1:2" x14ac:dyDescent="0.25">
      <c r="A2220" s="26"/>
      <c r="B2220">
        <v>1</v>
      </c>
    </row>
    <row r="2221" spans="1:2" x14ac:dyDescent="0.25">
      <c r="A2221" s="27"/>
      <c r="B2221">
        <v>1</v>
      </c>
    </row>
    <row r="2222" spans="1:2" x14ac:dyDescent="0.25">
      <c r="A2222" s="26"/>
      <c r="B2222">
        <v>1</v>
      </c>
    </row>
    <row r="2223" spans="1:2" x14ac:dyDescent="0.25">
      <c r="A2223" s="27"/>
      <c r="B2223">
        <v>1</v>
      </c>
    </row>
    <row r="2224" spans="1:2" x14ac:dyDescent="0.25">
      <c r="A2224" s="26"/>
      <c r="B2224">
        <v>1</v>
      </c>
    </row>
    <row r="2225" spans="1:2" x14ac:dyDescent="0.25">
      <c r="A2225" s="27"/>
      <c r="B2225">
        <v>1</v>
      </c>
    </row>
    <row r="2226" spans="1:2" x14ac:dyDescent="0.25">
      <c r="A2226" s="26"/>
      <c r="B2226">
        <v>1</v>
      </c>
    </row>
    <row r="2227" spans="1:2" x14ac:dyDescent="0.25">
      <c r="A2227" s="27"/>
      <c r="B2227">
        <v>1</v>
      </c>
    </row>
    <row r="2228" spans="1:2" x14ac:dyDescent="0.25">
      <c r="A2228" s="26"/>
      <c r="B2228">
        <v>1</v>
      </c>
    </row>
    <row r="2229" spans="1:2" x14ac:dyDescent="0.25">
      <c r="A2229" s="27"/>
      <c r="B2229">
        <v>1</v>
      </c>
    </row>
    <row r="2230" spans="1:2" x14ac:dyDescent="0.25">
      <c r="A2230" s="26"/>
      <c r="B2230">
        <v>1</v>
      </c>
    </row>
    <row r="2231" spans="1:2" x14ac:dyDescent="0.25">
      <c r="A2231" s="27"/>
      <c r="B2231">
        <v>1</v>
      </c>
    </row>
    <row r="2232" spans="1:2" x14ac:dyDescent="0.25">
      <c r="A2232" s="26"/>
      <c r="B2232">
        <v>1</v>
      </c>
    </row>
    <row r="2233" spans="1:2" x14ac:dyDescent="0.25">
      <c r="A2233" s="27"/>
      <c r="B2233">
        <v>1</v>
      </c>
    </row>
    <row r="2234" spans="1:2" x14ac:dyDescent="0.25">
      <c r="A2234" s="26"/>
      <c r="B2234">
        <v>1</v>
      </c>
    </row>
    <row r="2235" spans="1:2" x14ac:dyDescent="0.25">
      <c r="A2235" s="27"/>
      <c r="B2235">
        <v>1</v>
      </c>
    </row>
    <row r="2236" spans="1:2" x14ac:dyDescent="0.25">
      <c r="A2236" s="26"/>
      <c r="B2236">
        <v>1</v>
      </c>
    </row>
    <row r="2237" spans="1:2" x14ac:dyDescent="0.25">
      <c r="A2237" s="27"/>
      <c r="B2237">
        <v>1</v>
      </c>
    </row>
    <row r="2238" spans="1:2" x14ac:dyDescent="0.25">
      <c r="A2238" s="26"/>
      <c r="B2238">
        <v>1</v>
      </c>
    </row>
    <row r="2239" spans="1:2" x14ac:dyDescent="0.25">
      <c r="A2239" s="27"/>
      <c r="B2239">
        <v>1</v>
      </c>
    </row>
    <row r="2240" spans="1:2" x14ac:dyDescent="0.25">
      <c r="A2240" s="26"/>
      <c r="B2240">
        <v>1</v>
      </c>
    </row>
    <row r="2241" spans="1:2" x14ac:dyDescent="0.25">
      <c r="A2241" s="27"/>
      <c r="B2241">
        <v>1</v>
      </c>
    </row>
    <row r="2242" spans="1:2" x14ac:dyDescent="0.25">
      <c r="A2242" s="26"/>
      <c r="B2242">
        <v>1</v>
      </c>
    </row>
    <row r="2243" spans="1:2" x14ac:dyDescent="0.25">
      <c r="A2243" s="27"/>
      <c r="B2243">
        <v>1</v>
      </c>
    </row>
    <row r="2244" spans="1:2" x14ac:dyDescent="0.25">
      <c r="A2244" s="26"/>
      <c r="B2244">
        <v>1</v>
      </c>
    </row>
    <row r="2245" spans="1:2" x14ac:dyDescent="0.25">
      <c r="A2245" s="27"/>
      <c r="B2245">
        <v>1</v>
      </c>
    </row>
    <row r="2246" spans="1:2" x14ac:dyDescent="0.25">
      <c r="A2246" s="26"/>
      <c r="B2246">
        <v>1</v>
      </c>
    </row>
    <row r="2247" spans="1:2" x14ac:dyDescent="0.25">
      <c r="A2247" s="27"/>
      <c r="B2247">
        <v>1</v>
      </c>
    </row>
    <row r="2248" spans="1:2" x14ac:dyDescent="0.25">
      <c r="A2248" s="26"/>
      <c r="B2248">
        <v>1</v>
      </c>
    </row>
    <row r="2249" spans="1:2" x14ac:dyDescent="0.25">
      <c r="A2249" s="27"/>
      <c r="B2249">
        <v>1</v>
      </c>
    </row>
    <row r="2250" spans="1:2" x14ac:dyDescent="0.25">
      <c r="A2250" s="26"/>
      <c r="B2250">
        <v>1</v>
      </c>
    </row>
    <row r="2251" spans="1:2" x14ac:dyDescent="0.25">
      <c r="A2251" s="27"/>
      <c r="B2251">
        <v>1</v>
      </c>
    </row>
    <row r="2252" spans="1:2" x14ac:dyDescent="0.25">
      <c r="A2252" s="26"/>
      <c r="B2252">
        <v>1</v>
      </c>
    </row>
    <row r="2253" spans="1:2" x14ac:dyDescent="0.25">
      <c r="A2253" s="27"/>
      <c r="B2253">
        <v>1</v>
      </c>
    </row>
    <row r="2254" spans="1:2" x14ac:dyDescent="0.25">
      <c r="A2254" s="26"/>
      <c r="B2254">
        <v>1</v>
      </c>
    </row>
    <row r="2255" spans="1:2" x14ac:dyDescent="0.25">
      <c r="A2255" s="27"/>
      <c r="B2255">
        <v>1</v>
      </c>
    </row>
    <row r="2256" spans="1:2" x14ac:dyDescent="0.25">
      <c r="A2256" s="26"/>
      <c r="B2256">
        <v>1</v>
      </c>
    </row>
    <row r="2257" spans="1:2" x14ac:dyDescent="0.25">
      <c r="A2257" s="27"/>
      <c r="B2257">
        <v>1</v>
      </c>
    </row>
    <row r="2258" spans="1:2" x14ac:dyDescent="0.25">
      <c r="A2258" s="26"/>
      <c r="B2258">
        <v>1</v>
      </c>
    </row>
    <row r="2259" spans="1:2" x14ac:dyDescent="0.25">
      <c r="A2259" s="27"/>
      <c r="B2259">
        <v>1</v>
      </c>
    </row>
    <row r="2260" spans="1:2" x14ac:dyDescent="0.25">
      <c r="A2260" s="26"/>
      <c r="B2260">
        <v>1</v>
      </c>
    </row>
    <row r="2261" spans="1:2" x14ac:dyDescent="0.25">
      <c r="A2261" s="27"/>
      <c r="B2261">
        <v>1</v>
      </c>
    </row>
    <row r="2262" spans="1:2" x14ac:dyDescent="0.25">
      <c r="A2262" s="26"/>
      <c r="B2262">
        <v>1</v>
      </c>
    </row>
    <row r="2263" spans="1:2" x14ac:dyDescent="0.25">
      <c r="A2263" s="27"/>
      <c r="B2263">
        <v>1</v>
      </c>
    </row>
    <row r="2264" spans="1:2" x14ac:dyDescent="0.25">
      <c r="A2264" s="26"/>
      <c r="B2264">
        <v>1</v>
      </c>
    </row>
    <row r="2265" spans="1:2" x14ac:dyDescent="0.25">
      <c r="A2265" s="27"/>
      <c r="B2265">
        <v>1</v>
      </c>
    </row>
    <row r="2266" spans="1:2" x14ac:dyDescent="0.25">
      <c r="A2266" s="26"/>
      <c r="B2266">
        <v>1</v>
      </c>
    </row>
    <row r="2267" spans="1:2" x14ac:dyDescent="0.25">
      <c r="A2267" s="27"/>
      <c r="B2267">
        <v>1</v>
      </c>
    </row>
    <row r="2268" spans="1:2" x14ac:dyDescent="0.25">
      <c r="A2268" s="26"/>
      <c r="B2268">
        <v>1</v>
      </c>
    </row>
    <row r="2269" spans="1:2" x14ac:dyDescent="0.25">
      <c r="A2269" s="27"/>
      <c r="B2269">
        <v>1</v>
      </c>
    </row>
    <row r="2270" spans="1:2" x14ac:dyDescent="0.25">
      <c r="A2270" s="26"/>
      <c r="B2270">
        <v>1</v>
      </c>
    </row>
    <row r="2271" spans="1:2" x14ac:dyDescent="0.25">
      <c r="A2271" s="27"/>
      <c r="B2271">
        <v>1</v>
      </c>
    </row>
    <row r="2272" spans="1:2" x14ac:dyDescent="0.25">
      <c r="A2272" s="26"/>
      <c r="B2272">
        <v>1</v>
      </c>
    </row>
    <row r="2273" spans="1:2" x14ac:dyDescent="0.25">
      <c r="A2273" s="27"/>
      <c r="B2273">
        <v>1</v>
      </c>
    </row>
    <row r="2274" spans="1:2" x14ac:dyDescent="0.25">
      <c r="A2274" s="26"/>
      <c r="B2274">
        <v>1</v>
      </c>
    </row>
    <row r="2275" spans="1:2" x14ac:dyDescent="0.25">
      <c r="A2275" s="27"/>
      <c r="B2275">
        <v>1</v>
      </c>
    </row>
    <row r="2276" spans="1:2" x14ac:dyDescent="0.25">
      <c r="A2276" s="26"/>
      <c r="B2276">
        <v>1</v>
      </c>
    </row>
    <row r="2277" spans="1:2" x14ac:dyDescent="0.25">
      <c r="A2277" s="27"/>
      <c r="B2277">
        <v>1</v>
      </c>
    </row>
    <row r="2278" spans="1:2" x14ac:dyDescent="0.25">
      <c r="A2278" s="26"/>
      <c r="B2278">
        <v>1</v>
      </c>
    </row>
    <row r="2279" spans="1:2" x14ac:dyDescent="0.25">
      <c r="A2279" s="27"/>
      <c r="B2279">
        <v>1</v>
      </c>
    </row>
    <row r="2280" spans="1:2" x14ac:dyDescent="0.25">
      <c r="A2280" s="26"/>
      <c r="B2280">
        <v>1</v>
      </c>
    </row>
    <row r="2281" spans="1:2" x14ac:dyDescent="0.25">
      <c r="A2281" s="27"/>
      <c r="B2281">
        <v>1</v>
      </c>
    </row>
    <row r="2282" spans="1:2" x14ac:dyDescent="0.25">
      <c r="A2282" s="26"/>
      <c r="B2282">
        <v>1</v>
      </c>
    </row>
    <row r="2283" spans="1:2" x14ac:dyDescent="0.25">
      <c r="A2283" s="27"/>
      <c r="B2283">
        <v>1</v>
      </c>
    </row>
    <row r="2284" spans="1:2" x14ac:dyDescent="0.25">
      <c r="A2284" s="26"/>
      <c r="B2284">
        <v>1</v>
      </c>
    </row>
    <row r="2285" spans="1:2" x14ac:dyDescent="0.25">
      <c r="A2285" s="27"/>
      <c r="B2285">
        <v>1</v>
      </c>
    </row>
    <row r="2286" spans="1:2" x14ac:dyDescent="0.25">
      <c r="A2286" s="26"/>
      <c r="B2286">
        <v>1</v>
      </c>
    </row>
    <row r="2287" spans="1:2" x14ac:dyDescent="0.25">
      <c r="A2287" s="27"/>
      <c r="B2287">
        <v>1</v>
      </c>
    </row>
    <row r="2288" spans="1:2" x14ac:dyDescent="0.25">
      <c r="A2288" s="26"/>
      <c r="B2288">
        <v>1</v>
      </c>
    </row>
    <row r="2289" spans="1:2" x14ac:dyDescent="0.25">
      <c r="A2289" s="27"/>
      <c r="B2289">
        <v>1</v>
      </c>
    </row>
    <row r="2290" spans="1:2" x14ac:dyDescent="0.25">
      <c r="A2290" s="26"/>
      <c r="B2290">
        <v>1</v>
      </c>
    </row>
    <row r="2291" spans="1:2" x14ac:dyDescent="0.25">
      <c r="A2291" s="27"/>
      <c r="B2291">
        <v>1</v>
      </c>
    </row>
    <row r="2292" spans="1:2" x14ac:dyDescent="0.25">
      <c r="A2292" s="26"/>
      <c r="B2292">
        <v>1</v>
      </c>
    </row>
    <row r="2293" spans="1:2" x14ac:dyDescent="0.25">
      <c r="A2293" s="27"/>
      <c r="B2293">
        <v>1</v>
      </c>
    </row>
    <row r="2294" spans="1:2" x14ac:dyDescent="0.25">
      <c r="A2294" s="26"/>
      <c r="B2294">
        <v>1</v>
      </c>
    </row>
    <row r="2295" spans="1:2" x14ac:dyDescent="0.25">
      <c r="A2295" s="27"/>
      <c r="B2295">
        <v>1</v>
      </c>
    </row>
    <row r="2296" spans="1:2" x14ac:dyDescent="0.25">
      <c r="A2296" s="26"/>
      <c r="B2296">
        <v>1</v>
      </c>
    </row>
    <row r="2297" spans="1:2" x14ac:dyDescent="0.25">
      <c r="A2297" s="27"/>
      <c r="B2297">
        <v>1</v>
      </c>
    </row>
    <row r="2298" spans="1:2" x14ac:dyDescent="0.25">
      <c r="A2298" s="26"/>
      <c r="B2298">
        <v>1</v>
      </c>
    </row>
    <row r="2299" spans="1:2" x14ac:dyDescent="0.25">
      <c r="A2299" s="27"/>
      <c r="B2299">
        <v>1</v>
      </c>
    </row>
    <row r="2300" spans="1:2" x14ac:dyDescent="0.25">
      <c r="A2300" s="26"/>
      <c r="B2300">
        <v>1</v>
      </c>
    </row>
    <row r="2301" spans="1:2" x14ac:dyDescent="0.25">
      <c r="A2301" s="27"/>
      <c r="B2301">
        <v>1</v>
      </c>
    </row>
    <row r="2302" spans="1:2" x14ac:dyDescent="0.25">
      <c r="A2302" s="26"/>
      <c r="B2302">
        <v>1</v>
      </c>
    </row>
    <row r="2303" spans="1:2" x14ac:dyDescent="0.25">
      <c r="A2303" s="27"/>
      <c r="B2303">
        <v>1</v>
      </c>
    </row>
    <row r="2304" spans="1:2" x14ac:dyDescent="0.25">
      <c r="A2304" s="26"/>
      <c r="B2304">
        <v>1</v>
      </c>
    </row>
    <row r="2305" spans="1:2" x14ac:dyDescent="0.25">
      <c r="A2305" s="27"/>
      <c r="B2305">
        <v>1</v>
      </c>
    </row>
    <row r="2306" spans="1:2" x14ac:dyDescent="0.25">
      <c r="A2306" s="26"/>
      <c r="B2306">
        <v>1</v>
      </c>
    </row>
    <row r="2307" spans="1:2" x14ac:dyDescent="0.25">
      <c r="A2307" s="27"/>
      <c r="B2307">
        <v>1</v>
      </c>
    </row>
    <row r="2308" spans="1:2" x14ac:dyDescent="0.25">
      <c r="A2308" s="26"/>
      <c r="B2308">
        <v>1</v>
      </c>
    </row>
    <row r="2309" spans="1:2" x14ac:dyDescent="0.25">
      <c r="A2309" s="27"/>
      <c r="B2309">
        <v>1</v>
      </c>
    </row>
    <row r="2310" spans="1:2" x14ac:dyDescent="0.25">
      <c r="A2310" s="26"/>
      <c r="B2310">
        <v>1</v>
      </c>
    </row>
    <row r="2311" spans="1:2" x14ac:dyDescent="0.25">
      <c r="A2311" s="27"/>
      <c r="B2311">
        <v>1</v>
      </c>
    </row>
    <row r="2312" spans="1:2" x14ac:dyDescent="0.25">
      <c r="A2312" s="26"/>
      <c r="B2312">
        <v>1</v>
      </c>
    </row>
    <row r="2313" spans="1:2" x14ac:dyDescent="0.25">
      <c r="A2313" s="27"/>
      <c r="B2313">
        <v>1</v>
      </c>
    </row>
    <row r="2314" spans="1:2" x14ac:dyDescent="0.25">
      <c r="A2314" s="26"/>
      <c r="B2314">
        <v>1</v>
      </c>
    </row>
    <row r="2315" spans="1:2" x14ac:dyDescent="0.25">
      <c r="A2315" s="27"/>
      <c r="B2315">
        <v>1</v>
      </c>
    </row>
    <row r="2316" spans="1:2" x14ac:dyDescent="0.25">
      <c r="A2316" s="26"/>
      <c r="B2316">
        <v>1</v>
      </c>
    </row>
    <row r="2317" spans="1:2" x14ac:dyDescent="0.25">
      <c r="A2317" s="27"/>
      <c r="B2317">
        <v>1</v>
      </c>
    </row>
    <row r="2318" spans="1:2" x14ac:dyDescent="0.25">
      <c r="A2318" s="26"/>
      <c r="B2318">
        <v>1</v>
      </c>
    </row>
    <row r="2319" spans="1:2" x14ac:dyDescent="0.25">
      <c r="A2319" s="27"/>
      <c r="B2319">
        <v>1</v>
      </c>
    </row>
    <row r="2320" spans="1:2" x14ac:dyDescent="0.25">
      <c r="A2320" s="26"/>
      <c r="B2320">
        <v>1</v>
      </c>
    </row>
    <row r="2321" spans="1:2" x14ac:dyDescent="0.25">
      <c r="A2321" s="27"/>
      <c r="B2321">
        <v>1</v>
      </c>
    </row>
    <row r="2322" spans="1:2" x14ac:dyDescent="0.25">
      <c r="A2322" s="26"/>
      <c r="B2322">
        <v>1</v>
      </c>
    </row>
    <row r="2323" spans="1:2" x14ac:dyDescent="0.25">
      <c r="A2323" s="27"/>
      <c r="B2323">
        <v>1</v>
      </c>
    </row>
    <row r="2324" spans="1:2" x14ac:dyDescent="0.25">
      <c r="A2324" s="26"/>
      <c r="B2324">
        <v>1</v>
      </c>
    </row>
    <row r="2325" spans="1:2" x14ac:dyDescent="0.25">
      <c r="A2325" s="27"/>
      <c r="B2325">
        <v>1</v>
      </c>
    </row>
    <row r="2326" spans="1:2" x14ac:dyDescent="0.25">
      <c r="A2326" s="26"/>
      <c r="B2326">
        <v>1</v>
      </c>
    </row>
    <row r="2327" spans="1:2" x14ac:dyDescent="0.25">
      <c r="A2327" s="27"/>
      <c r="B2327">
        <v>1</v>
      </c>
    </row>
    <row r="2328" spans="1:2" x14ac:dyDescent="0.25">
      <c r="A2328" s="26"/>
      <c r="B2328">
        <v>1</v>
      </c>
    </row>
    <row r="2329" spans="1:2" x14ac:dyDescent="0.25">
      <c r="A2329" s="27"/>
      <c r="B2329">
        <v>1</v>
      </c>
    </row>
    <row r="2330" spans="1:2" x14ac:dyDescent="0.25">
      <c r="A2330" s="26"/>
      <c r="B2330">
        <v>1</v>
      </c>
    </row>
    <row r="2331" spans="1:2" x14ac:dyDescent="0.25">
      <c r="A2331" s="27"/>
      <c r="B2331">
        <v>1</v>
      </c>
    </row>
    <row r="2332" spans="1:2" x14ac:dyDescent="0.25">
      <c r="A2332" s="26"/>
      <c r="B2332">
        <v>1</v>
      </c>
    </row>
    <row r="2333" spans="1:2" x14ac:dyDescent="0.25">
      <c r="A2333" s="27"/>
      <c r="B2333">
        <v>1</v>
      </c>
    </row>
    <row r="2334" spans="1:2" x14ac:dyDescent="0.25">
      <c r="A2334" s="26"/>
      <c r="B2334">
        <v>1</v>
      </c>
    </row>
    <row r="2335" spans="1:2" x14ac:dyDescent="0.25">
      <c r="A2335" s="27"/>
      <c r="B2335">
        <v>1</v>
      </c>
    </row>
    <row r="2336" spans="1:2" x14ac:dyDescent="0.25">
      <c r="A2336" s="26"/>
      <c r="B2336">
        <v>1</v>
      </c>
    </row>
    <row r="2337" spans="1:2" x14ac:dyDescent="0.25">
      <c r="A2337" s="27"/>
      <c r="B2337">
        <v>1</v>
      </c>
    </row>
    <row r="2338" spans="1:2" x14ac:dyDescent="0.25">
      <c r="A2338" s="26"/>
      <c r="B2338">
        <v>1</v>
      </c>
    </row>
    <row r="2339" spans="1:2" x14ac:dyDescent="0.25">
      <c r="A2339" s="27"/>
      <c r="B2339">
        <v>1</v>
      </c>
    </row>
    <row r="2340" spans="1:2" x14ac:dyDescent="0.25">
      <c r="A2340" s="26"/>
      <c r="B2340">
        <v>1</v>
      </c>
    </row>
    <row r="2341" spans="1:2" x14ac:dyDescent="0.25">
      <c r="A2341" s="27"/>
      <c r="B2341">
        <v>1</v>
      </c>
    </row>
    <row r="2342" spans="1:2" x14ac:dyDescent="0.25">
      <c r="A2342" s="26"/>
      <c r="B2342">
        <v>1</v>
      </c>
    </row>
    <row r="2343" spans="1:2" x14ac:dyDescent="0.25">
      <c r="A2343" s="27"/>
      <c r="B2343">
        <v>1</v>
      </c>
    </row>
    <row r="2344" spans="1:2" x14ac:dyDescent="0.25">
      <c r="A2344" s="26"/>
      <c r="B2344">
        <v>1</v>
      </c>
    </row>
    <row r="2345" spans="1:2" x14ac:dyDescent="0.25">
      <c r="A2345" s="27"/>
      <c r="B2345">
        <v>1</v>
      </c>
    </row>
    <row r="2346" spans="1:2" x14ac:dyDescent="0.25">
      <c r="A2346" s="26"/>
      <c r="B2346">
        <v>1</v>
      </c>
    </row>
    <row r="2347" spans="1:2" x14ac:dyDescent="0.25">
      <c r="A2347" s="27"/>
      <c r="B2347">
        <v>1</v>
      </c>
    </row>
    <row r="2348" spans="1:2" x14ac:dyDescent="0.25">
      <c r="A2348" s="26"/>
      <c r="B2348">
        <v>1</v>
      </c>
    </row>
    <row r="2349" spans="1:2" x14ac:dyDescent="0.25">
      <c r="A2349" s="27"/>
      <c r="B2349">
        <v>1</v>
      </c>
    </row>
    <row r="2350" spans="1:2" x14ac:dyDescent="0.25">
      <c r="A2350" s="26"/>
      <c r="B2350">
        <v>1</v>
      </c>
    </row>
    <row r="2351" spans="1:2" x14ac:dyDescent="0.25">
      <c r="A2351" s="27"/>
      <c r="B2351">
        <v>1</v>
      </c>
    </row>
    <row r="2352" spans="1:2" x14ac:dyDescent="0.25">
      <c r="A2352" s="26"/>
      <c r="B2352">
        <v>1</v>
      </c>
    </row>
    <row r="2353" spans="1:2" x14ac:dyDescent="0.25">
      <c r="A2353" s="27"/>
      <c r="B2353">
        <v>1</v>
      </c>
    </row>
    <row r="2354" spans="1:2" x14ac:dyDescent="0.25">
      <c r="A2354" s="26"/>
      <c r="B2354">
        <v>1</v>
      </c>
    </row>
    <row r="2355" spans="1:2" x14ac:dyDescent="0.25">
      <c r="A2355" s="27"/>
      <c r="B2355">
        <v>1</v>
      </c>
    </row>
    <row r="2356" spans="1:2" x14ac:dyDescent="0.25">
      <c r="A2356" s="26"/>
      <c r="B2356">
        <v>1</v>
      </c>
    </row>
    <row r="2357" spans="1:2" x14ac:dyDescent="0.25">
      <c r="A2357" s="27"/>
      <c r="B2357">
        <v>1</v>
      </c>
    </row>
    <row r="2358" spans="1:2" x14ac:dyDescent="0.25">
      <c r="A2358" s="26"/>
      <c r="B2358">
        <v>1</v>
      </c>
    </row>
    <row r="2359" spans="1:2" x14ac:dyDescent="0.25">
      <c r="A2359" s="27"/>
      <c r="B2359">
        <v>1</v>
      </c>
    </row>
    <row r="2360" spans="1:2" x14ac:dyDescent="0.25">
      <c r="A2360" s="26"/>
      <c r="B2360">
        <v>1</v>
      </c>
    </row>
    <row r="2361" spans="1:2" x14ac:dyDescent="0.25">
      <c r="A2361" s="27"/>
      <c r="B2361">
        <v>1</v>
      </c>
    </row>
    <row r="2362" spans="1:2" x14ac:dyDescent="0.25">
      <c r="A2362" s="26"/>
      <c r="B2362">
        <v>1</v>
      </c>
    </row>
    <row r="2363" spans="1:2" x14ac:dyDescent="0.25">
      <c r="A2363" s="27"/>
      <c r="B2363">
        <v>1</v>
      </c>
    </row>
    <row r="2364" spans="1:2" x14ac:dyDescent="0.25">
      <c r="A2364" s="26"/>
      <c r="B2364">
        <v>1</v>
      </c>
    </row>
    <row r="2365" spans="1:2" x14ac:dyDescent="0.25">
      <c r="A2365" s="27"/>
      <c r="B2365">
        <v>1</v>
      </c>
    </row>
    <row r="2366" spans="1:2" x14ac:dyDescent="0.25">
      <c r="A2366" s="26"/>
      <c r="B2366">
        <v>1</v>
      </c>
    </row>
    <row r="2367" spans="1:2" x14ac:dyDescent="0.25">
      <c r="A2367" s="27"/>
      <c r="B2367">
        <v>1</v>
      </c>
    </row>
    <row r="2368" spans="1:2" x14ac:dyDescent="0.25">
      <c r="A2368" s="26"/>
      <c r="B2368">
        <v>1</v>
      </c>
    </row>
    <row r="2369" spans="1:2" x14ac:dyDescent="0.25">
      <c r="A2369" s="27"/>
      <c r="B2369">
        <v>1</v>
      </c>
    </row>
    <row r="2370" spans="1:2" x14ac:dyDescent="0.25">
      <c r="A2370" s="26"/>
      <c r="B2370">
        <v>1</v>
      </c>
    </row>
    <row r="2371" spans="1:2" x14ac:dyDescent="0.25">
      <c r="A2371" s="27"/>
      <c r="B2371">
        <v>1</v>
      </c>
    </row>
    <row r="2372" spans="1:2" x14ac:dyDescent="0.25">
      <c r="A2372" s="26"/>
      <c r="B2372">
        <v>1</v>
      </c>
    </row>
    <row r="2373" spans="1:2" x14ac:dyDescent="0.25">
      <c r="A2373" s="27"/>
      <c r="B2373">
        <v>1</v>
      </c>
    </row>
    <row r="2374" spans="1:2" x14ac:dyDescent="0.25">
      <c r="A2374" s="26"/>
      <c r="B2374">
        <v>1</v>
      </c>
    </row>
    <row r="2375" spans="1:2" x14ac:dyDescent="0.25">
      <c r="A2375" s="27"/>
      <c r="B2375">
        <v>1</v>
      </c>
    </row>
    <row r="2376" spans="1:2" x14ac:dyDescent="0.25">
      <c r="A2376" s="26"/>
      <c r="B2376">
        <v>1</v>
      </c>
    </row>
    <row r="2377" spans="1:2" x14ac:dyDescent="0.25">
      <c r="A2377" s="27"/>
      <c r="B2377">
        <v>1</v>
      </c>
    </row>
    <row r="2378" spans="1:2" x14ac:dyDescent="0.25">
      <c r="A2378" s="26"/>
      <c r="B2378">
        <v>1</v>
      </c>
    </row>
    <row r="2379" spans="1:2" x14ac:dyDescent="0.25">
      <c r="A2379" s="27"/>
      <c r="B2379">
        <v>1</v>
      </c>
    </row>
    <row r="2380" spans="1:2" x14ac:dyDescent="0.25">
      <c r="A2380" s="26"/>
      <c r="B2380">
        <v>1</v>
      </c>
    </row>
    <row r="2381" spans="1:2" x14ac:dyDescent="0.25">
      <c r="A2381" s="27"/>
      <c r="B2381">
        <v>1</v>
      </c>
    </row>
    <row r="2382" spans="1:2" x14ac:dyDescent="0.25">
      <c r="A2382" s="26"/>
      <c r="B2382">
        <v>1</v>
      </c>
    </row>
    <row r="2383" spans="1:2" x14ac:dyDescent="0.25">
      <c r="A2383" s="27"/>
      <c r="B2383">
        <v>1</v>
      </c>
    </row>
    <row r="2384" spans="1:2" x14ac:dyDescent="0.25">
      <c r="A2384" s="26"/>
      <c r="B2384">
        <v>1</v>
      </c>
    </row>
    <row r="2385" spans="1:2" x14ac:dyDescent="0.25">
      <c r="A2385" s="27"/>
      <c r="B2385">
        <v>1</v>
      </c>
    </row>
    <row r="2386" spans="1:2" x14ac:dyDescent="0.25">
      <c r="A2386" s="26"/>
      <c r="B2386">
        <v>1</v>
      </c>
    </row>
    <row r="2387" spans="1:2" x14ac:dyDescent="0.25">
      <c r="A2387" s="27"/>
      <c r="B2387">
        <v>1</v>
      </c>
    </row>
    <row r="2388" spans="1:2" x14ac:dyDescent="0.25">
      <c r="A2388" s="26"/>
      <c r="B2388">
        <v>1</v>
      </c>
    </row>
    <row r="2389" spans="1:2" x14ac:dyDescent="0.25">
      <c r="A2389" s="27"/>
      <c r="B2389">
        <v>1</v>
      </c>
    </row>
    <row r="2390" spans="1:2" x14ac:dyDescent="0.25">
      <c r="A2390" s="26"/>
      <c r="B2390">
        <v>1</v>
      </c>
    </row>
    <row r="2391" spans="1:2" x14ac:dyDescent="0.25">
      <c r="A2391" s="27"/>
      <c r="B2391">
        <v>1</v>
      </c>
    </row>
    <row r="2392" spans="1:2" x14ac:dyDescent="0.25">
      <c r="A2392" s="26"/>
      <c r="B2392">
        <v>1</v>
      </c>
    </row>
    <row r="2393" spans="1:2" x14ac:dyDescent="0.25">
      <c r="A2393" s="27"/>
      <c r="B2393">
        <v>1</v>
      </c>
    </row>
    <row r="2394" spans="1:2" x14ac:dyDescent="0.25">
      <c r="A2394" s="26"/>
      <c r="B2394">
        <v>1</v>
      </c>
    </row>
    <row r="2395" spans="1:2" x14ac:dyDescent="0.25">
      <c r="A2395" s="27"/>
      <c r="B2395">
        <v>1</v>
      </c>
    </row>
    <row r="2396" spans="1:2" x14ac:dyDescent="0.25">
      <c r="A2396" s="26"/>
      <c r="B2396">
        <v>1</v>
      </c>
    </row>
    <row r="2397" spans="1:2" x14ac:dyDescent="0.25">
      <c r="A2397" s="27"/>
      <c r="B2397">
        <v>1</v>
      </c>
    </row>
    <row r="2398" spans="1:2" x14ac:dyDescent="0.25">
      <c r="A2398" s="26"/>
      <c r="B2398">
        <v>1</v>
      </c>
    </row>
    <row r="2399" spans="1:2" x14ac:dyDescent="0.25">
      <c r="A2399" s="27"/>
      <c r="B2399">
        <v>1</v>
      </c>
    </row>
    <row r="2400" spans="1:2" x14ac:dyDescent="0.25">
      <c r="A2400" s="26"/>
      <c r="B2400">
        <v>1</v>
      </c>
    </row>
    <row r="2401" spans="1:2" x14ac:dyDescent="0.25">
      <c r="A2401" s="27"/>
      <c r="B2401">
        <v>1</v>
      </c>
    </row>
    <row r="2402" spans="1:2" x14ac:dyDescent="0.25">
      <c r="A2402" s="26"/>
      <c r="B2402">
        <v>1</v>
      </c>
    </row>
    <row r="2403" spans="1:2" x14ac:dyDescent="0.25">
      <c r="A2403" s="27"/>
      <c r="B2403">
        <v>1</v>
      </c>
    </row>
    <row r="2404" spans="1:2" x14ac:dyDescent="0.25">
      <c r="A2404" s="26"/>
      <c r="B2404">
        <v>1</v>
      </c>
    </row>
    <row r="2405" spans="1:2" x14ac:dyDescent="0.25">
      <c r="A2405" s="27"/>
      <c r="B2405">
        <v>1</v>
      </c>
    </row>
    <row r="2406" spans="1:2" x14ac:dyDescent="0.25">
      <c r="A2406" s="26"/>
      <c r="B2406">
        <v>1</v>
      </c>
    </row>
    <row r="2407" spans="1:2" x14ac:dyDescent="0.25">
      <c r="A2407" s="27"/>
      <c r="B2407">
        <v>1</v>
      </c>
    </row>
    <row r="2408" spans="1:2" x14ac:dyDescent="0.25">
      <c r="A2408" s="26"/>
      <c r="B2408">
        <v>1</v>
      </c>
    </row>
    <row r="2409" spans="1:2" x14ac:dyDescent="0.25">
      <c r="A2409" s="27"/>
      <c r="B2409">
        <v>1</v>
      </c>
    </row>
    <row r="2410" spans="1:2" x14ac:dyDescent="0.25">
      <c r="A2410" s="26"/>
      <c r="B2410">
        <v>1</v>
      </c>
    </row>
    <row r="2411" spans="1:2" x14ac:dyDescent="0.25">
      <c r="A2411" s="27"/>
      <c r="B2411">
        <v>1</v>
      </c>
    </row>
    <row r="2412" spans="1:2" x14ac:dyDescent="0.25">
      <c r="A2412" s="26"/>
      <c r="B2412">
        <v>1</v>
      </c>
    </row>
    <row r="2413" spans="1:2" x14ac:dyDescent="0.25">
      <c r="A2413" s="27"/>
      <c r="B2413">
        <v>1</v>
      </c>
    </row>
    <row r="2414" spans="1:2" x14ac:dyDescent="0.25">
      <c r="A2414" s="26"/>
      <c r="B2414">
        <v>1</v>
      </c>
    </row>
    <row r="2415" spans="1:2" x14ac:dyDescent="0.25">
      <c r="A2415" s="27"/>
      <c r="B2415">
        <v>1</v>
      </c>
    </row>
    <row r="2416" spans="1:2" x14ac:dyDescent="0.25">
      <c r="A2416" s="26"/>
      <c r="B2416">
        <v>1</v>
      </c>
    </row>
    <row r="2417" spans="1:2" x14ac:dyDescent="0.25">
      <c r="A2417" s="27"/>
      <c r="B2417">
        <v>1</v>
      </c>
    </row>
    <row r="2418" spans="1:2" x14ac:dyDescent="0.25">
      <c r="A2418" s="26"/>
      <c r="B2418">
        <v>1</v>
      </c>
    </row>
    <row r="2419" spans="1:2" x14ac:dyDescent="0.25">
      <c r="A2419" s="27"/>
      <c r="B2419">
        <v>1</v>
      </c>
    </row>
    <row r="2420" spans="1:2" x14ac:dyDescent="0.25">
      <c r="A2420" s="26"/>
      <c r="B2420">
        <v>1</v>
      </c>
    </row>
    <row r="2421" spans="1:2" x14ac:dyDescent="0.25">
      <c r="A2421" s="27"/>
      <c r="B2421">
        <v>1</v>
      </c>
    </row>
    <row r="2422" spans="1:2" x14ac:dyDescent="0.25">
      <c r="A2422" s="26"/>
      <c r="B2422">
        <v>1</v>
      </c>
    </row>
    <row r="2423" spans="1:2" x14ac:dyDescent="0.25">
      <c r="A2423" s="27"/>
      <c r="B2423">
        <v>1</v>
      </c>
    </row>
    <row r="2424" spans="1:2" x14ac:dyDescent="0.25">
      <c r="A2424" s="26"/>
      <c r="B2424">
        <v>1</v>
      </c>
    </row>
    <row r="2425" spans="1:2" x14ac:dyDescent="0.25">
      <c r="A2425" s="27"/>
      <c r="B2425">
        <v>1</v>
      </c>
    </row>
    <row r="2426" spans="1:2" x14ac:dyDescent="0.25">
      <c r="A2426" s="26"/>
      <c r="B2426">
        <v>1</v>
      </c>
    </row>
    <row r="2427" spans="1:2" x14ac:dyDescent="0.25">
      <c r="A2427" s="27"/>
      <c r="B2427">
        <v>1</v>
      </c>
    </row>
    <row r="2428" spans="1:2" x14ac:dyDescent="0.25">
      <c r="A2428" s="26"/>
      <c r="B2428">
        <v>1</v>
      </c>
    </row>
    <row r="2429" spans="1:2" x14ac:dyDescent="0.25">
      <c r="A2429" s="27"/>
      <c r="B2429">
        <v>1</v>
      </c>
    </row>
    <row r="2430" spans="1:2" x14ac:dyDescent="0.25">
      <c r="A2430" s="26"/>
      <c r="B2430">
        <v>1</v>
      </c>
    </row>
    <row r="2431" spans="1:2" x14ac:dyDescent="0.25">
      <c r="A2431" s="27"/>
      <c r="B2431">
        <v>1</v>
      </c>
    </row>
    <row r="2432" spans="1:2" x14ac:dyDescent="0.25">
      <c r="A2432" s="26"/>
      <c r="B2432">
        <v>1</v>
      </c>
    </row>
    <row r="2433" spans="1:2" x14ac:dyDescent="0.25">
      <c r="A2433" s="27"/>
      <c r="B2433">
        <v>1</v>
      </c>
    </row>
    <row r="2434" spans="1:2" x14ac:dyDescent="0.25">
      <c r="A2434" s="26"/>
      <c r="B2434">
        <v>1</v>
      </c>
    </row>
    <row r="2435" spans="1:2" x14ac:dyDescent="0.25">
      <c r="A2435" s="27"/>
      <c r="B2435">
        <v>1</v>
      </c>
    </row>
    <row r="2436" spans="1:2" x14ac:dyDescent="0.25">
      <c r="A2436" s="26"/>
      <c r="B2436">
        <v>1</v>
      </c>
    </row>
    <row r="2437" spans="1:2" x14ac:dyDescent="0.25">
      <c r="A2437" s="27"/>
      <c r="B2437">
        <v>1</v>
      </c>
    </row>
    <row r="2438" spans="1:2" x14ac:dyDescent="0.25">
      <c r="A2438" s="26"/>
      <c r="B2438">
        <v>1</v>
      </c>
    </row>
    <row r="2439" spans="1:2" x14ac:dyDescent="0.25">
      <c r="A2439" s="27"/>
      <c r="B2439">
        <v>1</v>
      </c>
    </row>
    <row r="2440" spans="1:2" x14ac:dyDescent="0.25">
      <c r="A2440" s="26"/>
      <c r="B2440">
        <v>1</v>
      </c>
    </row>
    <row r="2441" spans="1:2" x14ac:dyDescent="0.25">
      <c r="A2441" s="27"/>
      <c r="B2441">
        <v>1</v>
      </c>
    </row>
    <row r="2442" spans="1:2" x14ac:dyDescent="0.25">
      <c r="A2442" s="26"/>
      <c r="B2442">
        <v>1</v>
      </c>
    </row>
    <row r="2443" spans="1:2" x14ac:dyDescent="0.25">
      <c r="A2443" s="27"/>
      <c r="B2443">
        <v>1</v>
      </c>
    </row>
    <row r="2444" spans="1:2" x14ac:dyDescent="0.25">
      <c r="A2444" s="26"/>
      <c r="B2444">
        <v>1</v>
      </c>
    </row>
    <row r="2445" spans="1:2" x14ac:dyDescent="0.25">
      <c r="A2445" s="27"/>
      <c r="B2445">
        <v>1</v>
      </c>
    </row>
    <row r="2446" spans="1:2" x14ac:dyDescent="0.25">
      <c r="A2446" s="26"/>
      <c r="B2446">
        <v>1</v>
      </c>
    </row>
    <row r="2447" spans="1:2" x14ac:dyDescent="0.25">
      <c r="A2447" s="27"/>
      <c r="B2447">
        <v>1</v>
      </c>
    </row>
    <row r="2448" spans="1:2" x14ac:dyDescent="0.25">
      <c r="A2448" s="26"/>
      <c r="B2448">
        <v>1</v>
      </c>
    </row>
    <row r="2449" spans="1:2" x14ac:dyDescent="0.25">
      <c r="A2449" s="27"/>
      <c r="B2449">
        <v>1</v>
      </c>
    </row>
    <row r="2450" spans="1:2" x14ac:dyDescent="0.25">
      <c r="A2450" s="26"/>
      <c r="B2450">
        <v>1</v>
      </c>
    </row>
    <row r="2451" spans="1:2" x14ac:dyDescent="0.25">
      <c r="A2451" s="27"/>
      <c r="B2451">
        <v>1</v>
      </c>
    </row>
    <row r="2452" spans="1:2" x14ac:dyDescent="0.25">
      <c r="A2452" s="26"/>
      <c r="B2452">
        <v>1</v>
      </c>
    </row>
    <row r="2453" spans="1:2" x14ac:dyDescent="0.25">
      <c r="A2453" s="27"/>
      <c r="B2453">
        <v>1</v>
      </c>
    </row>
    <row r="2454" spans="1:2" x14ac:dyDescent="0.25">
      <c r="A2454" s="26"/>
      <c r="B2454">
        <v>1</v>
      </c>
    </row>
    <row r="2455" spans="1:2" x14ac:dyDescent="0.25">
      <c r="A2455" s="27"/>
      <c r="B2455">
        <v>1</v>
      </c>
    </row>
    <row r="2456" spans="1:2" x14ac:dyDescent="0.25">
      <c r="A2456" s="26"/>
      <c r="B2456">
        <v>1</v>
      </c>
    </row>
    <row r="2457" spans="1:2" x14ac:dyDescent="0.25">
      <c r="A2457" s="27"/>
      <c r="B2457">
        <v>1</v>
      </c>
    </row>
    <row r="2458" spans="1:2" x14ac:dyDescent="0.25">
      <c r="A2458" s="26"/>
      <c r="B2458">
        <v>1</v>
      </c>
    </row>
    <row r="2459" spans="1:2" x14ac:dyDescent="0.25">
      <c r="A2459" s="27"/>
      <c r="B2459">
        <v>1</v>
      </c>
    </row>
    <row r="2460" spans="1:2" x14ac:dyDescent="0.25">
      <c r="A2460" s="26"/>
      <c r="B2460">
        <v>1</v>
      </c>
    </row>
    <row r="2461" spans="1:2" x14ac:dyDescent="0.25">
      <c r="A2461" s="27"/>
      <c r="B2461">
        <v>1</v>
      </c>
    </row>
    <row r="2462" spans="1:2" x14ac:dyDescent="0.25">
      <c r="A2462" s="26"/>
      <c r="B2462">
        <v>1</v>
      </c>
    </row>
    <row r="2463" spans="1:2" x14ac:dyDescent="0.25">
      <c r="A2463" s="27"/>
      <c r="B2463">
        <v>1</v>
      </c>
    </row>
    <row r="2464" spans="1:2" x14ac:dyDescent="0.25">
      <c r="A2464" s="26"/>
      <c r="B2464">
        <v>1</v>
      </c>
    </row>
    <row r="2465" spans="1:2" x14ac:dyDescent="0.25">
      <c r="A2465" s="27"/>
      <c r="B2465">
        <v>1</v>
      </c>
    </row>
    <row r="2466" spans="1:2" x14ac:dyDescent="0.25">
      <c r="A2466" s="26"/>
      <c r="B2466">
        <v>1</v>
      </c>
    </row>
    <row r="2467" spans="1:2" x14ac:dyDescent="0.25">
      <c r="A2467" s="27"/>
      <c r="B2467">
        <v>1</v>
      </c>
    </row>
    <row r="2468" spans="1:2" x14ac:dyDescent="0.25">
      <c r="A2468" s="26"/>
      <c r="B2468">
        <v>1</v>
      </c>
    </row>
    <row r="2469" spans="1:2" x14ac:dyDescent="0.25">
      <c r="A2469" s="27"/>
      <c r="B2469">
        <v>1</v>
      </c>
    </row>
    <row r="2470" spans="1:2" x14ac:dyDescent="0.25">
      <c r="A2470" s="26"/>
      <c r="B2470">
        <v>1</v>
      </c>
    </row>
    <row r="2471" spans="1:2" x14ac:dyDescent="0.25">
      <c r="A2471" s="27"/>
      <c r="B2471">
        <v>1</v>
      </c>
    </row>
    <row r="2472" spans="1:2" x14ac:dyDescent="0.25">
      <c r="A2472" s="26"/>
      <c r="B2472">
        <v>1</v>
      </c>
    </row>
    <row r="2473" spans="1:2" x14ac:dyDescent="0.25">
      <c r="A2473" s="27"/>
      <c r="B2473">
        <v>1</v>
      </c>
    </row>
    <row r="2474" spans="1:2" x14ac:dyDescent="0.25">
      <c r="A2474" s="26"/>
      <c r="B2474">
        <v>1</v>
      </c>
    </row>
    <row r="2475" spans="1:2" x14ac:dyDescent="0.25">
      <c r="A2475" s="27"/>
      <c r="B2475">
        <v>1</v>
      </c>
    </row>
    <row r="2476" spans="1:2" x14ac:dyDescent="0.25">
      <c r="A2476" s="26"/>
      <c r="B2476">
        <v>1</v>
      </c>
    </row>
    <row r="2477" spans="1:2" x14ac:dyDescent="0.25">
      <c r="A2477" s="27"/>
      <c r="B2477">
        <v>1</v>
      </c>
    </row>
    <row r="2478" spans="1:2" x14ac:dyDescent="0.25">
      <c r="A2478" s="26"/>
      <c r="B2478">
        <v>1</v>
      </c>
    </row>
    <row r="2479" spans="1:2" x14ac:dyDescent="0.25">
      <c r="A2479" s="27"/>
      <c r="B2479">
        <v>1</v>
      </c>
    </row>
    <row r="2480" spans="1:2" x14ac:dyDescent="0.25">
      <c r="A2480" s="26"/>
      <c r="B2480">
        <v>1</v>
      </c>
    </row>
    <row r="2481" spans="1:2" x14ac:dyDescent="0.25">
      <c r="A2481" s="27"/>
      <c r="B2481">
        <v>1</v>
      </c>
    </row>
    <row r="2482" spans="1:2" x14ac:dyDescent="0.25">
      <c r="A2482" s="26"/>
      <c r="B2482">
        <v>1</v>
      </c>
    </row>
    <row r="2483" spans="1:2" x14ac:dyDescent="0.25">
      <c r="A2483" s="27"/>
      <c r="B2483">
        <v>1</v>
      </c>
    </row>
    <row r="2484" spans="1:2" x14ac:dyDescent="0.25">
      <c r="A2484" s="26"/>
      <c r="B2484">
        <v>1</v>
      </c>
    </row>
    <row r="2485" spans="1:2" x14ac:dyDescent="0.25">
      <c r="A2485" s="27"/>
      <c r="B2485">
        <v>1</v>
      </c>
    </row>
    <row r="2486" spans="1:2" x14ac:dyDescent="0.25">
      <c r="A2486" s="26"/>
      <c r="B2486">
        <v>1</v>
      </c>
    </row>
    <row r="2487" spans="1:2" x14ac:dyDescent="0.25">
      <c r="A2487" s="27"/>
      <c r="B2487">
        <v>1</v>
      </c>
    </row>
    <row r="2488" spans="1:2" x14ac:dyDescent="0.25">
      <c r="A2488" s="26"/>
      <c r="B2488">
        <v>1</v>
      </c>
    </row>
    <row r="2489" spans="1:2" x14ac:dyDescent="0.25">
      <c r="A2489" s="27"/>
      <c r="B2489">
        <v>1</v>
      </c>
    </row>
    <row r="2490" spans="1:2" x14ac:dyDescent="0.25">
      <c r="A2490" s="26"/>
      <c r="B2490">
        <v>1</v>
      </c>
    </row>
    <row r="2491" spans="1:2" x14ac:dyDescent="0.25">
      <c r="A2491" s="27"/>
      <c r="B2491">
        <v>1</v>
      </c>
    </row>
    <row r="2492" spans="1:2" x14ac:dyDescent="0.25">
      <c r="A2492" s="26"/>
      <c r="B2492">
        <v>1</v>
      </c>
    </row>
    <row r="2493" spans="1:2" x14ac:dyDescent="0.25">
      <c r="A2493" s="27"/>
      <c r="B2493">
        <v>1</v>
      </c>
    </row>
    <row r="2494" spans="1:2" x14ac:dyDescent="0.25">
      <c r="A2494" s="26"/>
      <c r="B2494">
        <v>1</v>
      </c>
    </row>
    <row r="2495" spans="1:2" x14ac:dyDescent="0.25">
      <c r="A2495" s="27"/>
      <c r="B2495">
        <v>1</v>
      </c>
    </row>
    <row r="2496" spans="1:2" x14ac:dyDescent="0.25">
      <c r="A2496" s="26"/>
      <c r="B2496">
        <v>1</v>
      </c>
    </row>
    <row r="2497" spans="1:2" x14ac:dyDescent="0.25">
      <c r="A2497" s="27"/>
      <c r="B2497">
        <v>1</v>
      </c>
    </row>
    <row r="2498" spans="1:2" x14ac:dyDescent="0.25">
      <c r="A2498" s="26"/>
      <c r="B2498">
        <v>1</v>
      </c>
    </row>
    <row r="2499" spans="1:2" x14ac:dyDescent="0.25">
      <c r="A2499" s="27"/>
      <c r="B2499">
        <v>1</v>
      </c>
    </row>
    <row r="2500" spans="1:2" x14ac:dyDescent="0.25">
      <c r="A2500" s="26"/>
      <c r="B2500">
        <v>1</v>
      </c>
    </row>
    <row r="2501" spans="1:2" x14ac:dyDescent="0.25">
      <c r="A2501" s="27"/>
      <c r="B2501">
        <v>1</v>
      </c>
    </row>
    <row r="2502" spans="1:2" x14ac:dyDescent="0.25">
      <c r="A2502" s="26"/>
      <c r="B2502">
        <v>1</v>
      </c>
    </row>
    <row r="2503" spans="1:2" x14ac:dyDescent="0.25">
      <c r="A2503" s="27"/>
      <c r="B2503">
        <v>1</v>
      </c>
    </row>
    <row r="2504" spans="1:2" x14ac:dyDescent="0.25">
      <c r="A2504" s="26"/>
      <c r="B2504">
        <v>1</v>
      </c>
    </row>
    <row r="2505" spans="1:2" x14ac:dyDescent="0.25">
      <c r="A2505" s="27"/>
      <c r="B2505">
        <v>1</v>
      </c>
    </row>
    <row r="2506" spans="1:2" x14ac:dyDescent="0.25">
      <c r="A2506" s="26"/>
      <c r="B2506">
        <v>1</v>
      </c>
    </row>
    <row r="2507" spans="1:2" x14ac:dyDescent="0.25">
      <c r="A2507" s="27"/>
      <c r="B2507">
        <v>1</v>
      </c>
    </row>
    <row r="2508" spans="1:2" x14ac:dyDescent="0.25">
      <c r="A2508" s="26"/>
      <c r="B2508">
        <v>1</v>
      </c>
    </row>
    <row r="2509" spans="1:2" x14ac:dyDescent="0.25">
      <c r="A2509" s="27"/>
      <c r="B2509">
        <v>1</v>
      </c>
    </row>
    <row r="2510" spans="1:2" x14ac:dyDescent="0.25">
      <c r="A2510" s="26"/>
      <c r="B2510">
        <v>1</v>
      </c>
    </row>
    <row r="2511" spans="1:2" x14ac:dyDescent="0.25">
      <c r="A2511" s="27"/>
      <c r="B2511">
        <v>1</v>
      </c>
    </row>
    <row r="2512" spans="1:2" x14ac:dyDescent="0.25">
      <c r="A2512" s="26"/>
      <c r="B2512">
        <v>1</v>
      </c>
    </row>
    <row r="2513" spans="1:2" x14ac:dyDescent="0.25">
      <c r="A2513" s="27"/>
      <c r="B2513">
        <v>1</v>
      </c>
    </row>
    <row r="2514" spans="1:2" x14ac:dyDescent="0.25">
      <c r="A2514" s="26"/>
      <c r="B2514">
        <v>1</v>
      </c>
    </row>
    <row r="2515" spans="1:2" x14ac:dyDescent="0.25">
      <c r="A2515" s="27"/>
      <c r="B2515">
        <v>1</v>
      </c>
    </row>
    <row r="2516" spans="1:2" x14ac:dyDescent="0.25">
      <c r="A2516" s="26"/>
      <c r="B2516">
        <v>1</v>
      </c>
    </row>
    <row r="2517" spans="1:2" x14ac:dyDescent="0.25">
      <c r="A2517" s="27"/>
      <c r="B2517">
        <v>1</v>
      </c>
    </row>
    <row r="2518" spans="1:2" x14ac:dyDescent="0.25">
      <c r="A2518" s="26"/>
      <c r="B2518">
        <v>1</v>
      </c>
    </row>
    <row r="2519" spans="1:2" x14ac:dyDescent="0.25">
      <c r="A2519" s="27"/>
      <c r="B2519">
        <v>1</v>
      </c>
    </row>
    <row r="2520" spans="1:2" x14ac:dyDescent="0.25">
      <c r="A2520" s="26"/>
      <c r="B2520">
        <v>1</v>
      </c>
    </row>
    <row r="2521" spans="1:2" x14ac:dyDescent="0.25">
      <c r="A2521" s="27"/>
      <c r="B2521">
        <v>1</v>
      </c>
    </row>
    <row r="2522" spans="1:2" x14ac:dyDescent="0.25">
      <c r="A2522" s="26"/>
      <c r="B2522">
        <v>1</v>
      </c>
    </row>
    <row r="2523" spans="1:2" x14ac:dyDescent="0.25">
      <c r="A2523" s="27"/>
      <c r="B2523">
        <v>1</v>
      </c>
    </row>
    <row r="2524" spans="1:2" x14ac:dyDescent="0.25">
      <c r="A2524" s="26"/>
      <c r="B2524">
        <v>1</v>
      </c>
    </row>
    <row r="2525" spans="1:2" x14ac:dyDescent="0.25">
      <c r="A2525" s="27"/>
      <c r="B2525">
        <v>1</v>
      </c>
    </row>
    <row r="2526" spans="1:2" x14ac:dyDescent="0.25">
      <c r="A2526" s="26"/>
      <c r="B2526">
        <v>1</v>
      </c>
    </row>
    <row r="2527" spans="1:2" x14ac:dyDescent="0.25">
      <c r="A2527" s="27"/>
      <c r="B2527">
        <v>1</v>
      </c>
    </row>
    <row r="2528" spans="1:2" x14ac:dyDescent="0.25">
      <c r="A2528" s="26"/>
      <c r="B2528">
        <v>1</v>
      </c>
    </row>
    <row r="2529" spans="1:2" x14ac:dyDescent="0.25">
      <c r="A2529" s="27"/>
      <c r="B2529">
        <v>1</v>
      </c>
    </row>
    <row r="2530" spans="1:2" x14ac:dyDescent="0.25">
      <c r="A2530" s="26"/>
      <c r="B2530">
        <v>1</v>
      </c>
    </row>
    <row r="2531" spans="1:2" x14ac:dyDescent="0.25">
      <c r="A2531" s="27"/>
      <c r="B2531">
        <v>1</v>
      </c>
    </row>
    <row r="2532" spans="1:2" x14ac:dyDescent="0.25">
      <c r="A2532" s="26"/>
      <c r="B2532">
        <v>1</v>
      </c>
    </row>
    <row r="2533" spans="1:2" x14ac:dyDescent="0.25">
      <c r="A2533" s="27"/>
      <c r="B2533">
        <v>1</v>
      </c>
    </row>
    <row r="2534" spans="1:2" x14ac:dyDescent="0.25">
      <c r="A2534" s="26"/>
      <c r="B2534">
        <v>1</v>
      </c>
    </row>
    <row r="2535" spans="1:2" x14ac:dyDescent="0.25">
      <c r="A2535" s="27"/>
      <c r="B2535">
        <v>1</v>
      </c>
    </row>
    <row r="2536" spans="1:2" x14ac:dyDescent="0.25">
      <c r="A2536" s="26"/>
      <c r="B2536">
        <v>1</v>
      </c>
    </row>
    <row r="2537" spans="1:2" x14ac:dyDescent="0.25">
      <c r="A2537" s="27"/>
      <c r="B2537">
        <v>1</v>
      </c>
    </row>
    <row r="2538" spans="1:2" x14ac:dyDescent="0.25">
      <c r="A2538" s="26"/>
      <c r="B2538">
        <v>1</v>
      </c>
    </row>
    <row r="2539" spans="1:2" x14ac:dyDescent="0.25">
      <c r="A2539" s="27"/>
      <c r="B2539">
        <v>1</v>
      </c>
    </row>
    <row r="2540" spans="1:2" x14ac:dyDescent="0.25">
      <c r="A2540" s="26"/>
      <c r="B2540">
        <v>1</v>
      </c>
    </row>
    <row r="2541" spans="1:2" x14ac:dyDescent="0.25">
      <c r="A2541" s="27"/>
      <c r="B2541">
        <v>1</v>
      </c>
    </row>
    <row r="2542" spans="1:2" x14ac:dyDescent="0.25">
      <c r="A2542" s="26"/>
      <c r="B2542">
        <v>1</v>
      </c>
    </row>
    <row r="2543" spans="1:2" x14ac:dyDescent="0.25">
      <c r="A2543" s="27"/>
      <c r="B2543">
        <v>1</v>
      </c>
    </row>
    <row r="2544" spans="1:2" x14ac:dyDescent="0.25">
      <c r="A2544" s="26"/>
      <c r="B2544">
        <v>1</v>
      </c>
    </row>
    <row r="2545" spans="1:2" x14ac:dyDescent="0.25">
      <c r="A2545" s="27"/>
      <c r="B2545">
        <v>1</v>
      </c>
    </row>
    <row r="2546" spans="1:2" x14ac:dyDescent="0.25">
      <c r="A2546" s="26"/>
      <c r="B2546">
        <v>1</v>
      </c>
    </row>
    <row r="2547" spans="1:2" x14ac:dyDescent="0.25">
      <c r="A2547" s="27"/>
      <c r="B2547">
        <v>1</v>
      </c>
    </row>
    <row r="2548" spans="1:2" x14ac:dyDescent="0.25">
      <c r="A2548" s="26"/>
      <c r="B2548">
        <v>1</v>
      </c>
    </row>
    <row r="2549" spans="1:2" x14ac:dyDescent="0.25">
      <c r="A2549" s="27"/>
      <c r="B2549">
        <v>1</v>
      </c>
    </row>
    <row r="2550" spans="1:2" x14ac:dyDescent="0.25">
      <c r="A2550" s="26"/>
      <c r="B2550">
        <v>1</v>
      </c>
    </row>
    <row r="2551" spans="1:2" x14ac:dyDescent="0.25">
      <c r="A2551" s="27"/>
      <c r="B2551">
        <v>1</v>
      </c>
    </row>
    <row r="2552" spans="1:2" x14ac:dyDescent="0.25">
      <c r="A2552" s="26"/>
      <c r="B2552">
        <v>1</v>
      </c>
    </row>
    <row r="2553" spans="1:2" x14ac:dyDescent="0.25">
      <c r="A2553" s="27"/>
      <c r="B2553">
        <v>1</v>
      </c>
    </row>
    <row r="2554" spans="1:2" x14ac:dyDescent="0.25">
      <c r="A2554" s="26"/>
      <c r="B2554">
        <v>1</v>
      </c>
    </row>
    <row r="2555" spans="1:2" x14ac:dyDescent="0.25">
      <c r="A2555" s="27"/>
      <c r="B2555">
        <v>1</v>
      </c>
    </row>
    <row r="2556" spans="1:2" x14ac:dyDescent="0.25">
      <c r="A2556" s="26"/>
      <c r="B2556">
        <v>1</v>
      </c>
    </row>
    <row r="2557" spans="1:2" x14ac:dyDescent="0.25">
      <c r="A2557" s="27"/>
      <c r="B2557">
        <v>1</v>
      </c>
    </row>
    <row r="2558" spans="1:2" x14ac:dyDescent="0.25">
      <c r="A2558" s="26"/>
      <c r="B2558">
        <v>1</v>
      </c>
    </row>
    <row r="2559" spans="1:2" x14ac:dyDescent="0.25">
      <c r="A2559" s="27"/>
      <c r="B2559">
        <v>1</v>
      </c>
    </row>
    <row r="2560" spans="1:2" x14ac:dyDescent="0.25">
      <c r="A2560" s="26"/>
      <c r="B2560">
        <v>1</v>
      </c>
    </row>
    <row r="2561" spans="1:2" x14ac:dyDescent="0.25">
      <c r="A2561" s="27"/>
      <c r="B2561">
        <v>1</v>
      </c>
    </row>
    <row r="2562" spans="1:2" x14ac:dyDescent="0.25">
      <c r="A2562" s="26"/>
      <c r="B2562">
        <v>1</v>
      </c>
    </row>
    <row r="2563" spans="1:2" x14ac:dyDescent="0.25">
      <c r="A2563" s="27"/>
      <c r="B2563">
        <v>1</v>
      </c>
    </row>
    <row r="2564" spans="1:2" x14ac:dyDescent="0.25">
      <c r="A2564" s="26"/>
      <c r="B2564">
        <v>1</v>
      </c>
    </row>
    <row r="2565" spans="1:2" x14ac:dyDescent="0.25">
      <c r="A2565" s="27"/>
      <c r="B2565">
        <v>1</v>
      </c>
    </row>
    <row r="2566" spans="1:2" x14ac:dyDescent="0.25">
      <c r="A2566" s="26"/>
      <c r="B2566">
        <v>1</v>
      </c>
    </row>
    <row r="2567" spans="1:2" x14ac:dyDescent="0.25">
      <c r="A2567" s="27"/>
      <c r="B2567">
        <v>1</v>
      </c>
    </row>
    <row r="2568" spans="1:2" x14ac:dyDescent="0.25">
      <c r="A2568" s="26"/>
      <c r="B2568">
        <v>1</v>
      </c>
    </row>
    <row r="2569" spans="1:2" x14ac:dyDescent="0.25">
      <c r="A2569" s="27"/>
      <c r="B2569">
        <v>1</v>
      </c>
    </row>
    <row r="2570" spans="1:2" x14ac:dyDescent="0.25">
      <c r="A2570" s="26"/>
      <c r="B2570">
        <v>1</v>
      </c>
    </row>
    <row r="2571" spans="1:2" x14ac:dyDescent="0.25">
      <c r="A2571" s="27"/>
      <c r="B2571">
        <v>1</v>
      </c>
    </row>
    <row r="2572" spans="1:2" x14ac:dyDescent="0.25">
      <c r="A2572" s="26"/>
      <c r="B2572">
        <v>1</v>
      </c>
    </row>
    <row r="2573" spans="1:2" x14ac:dyDescent="0.25">
      <c r="A2573" s="27"/>
      <c r="B2573">
        <v>1</v>
      </c>
    </row>
    <row r="2574" spans="1:2" x14ac:dyDescent="0.25">
      <c r="A2574" s="26"/>
      <c r="B2574">
        <v>1</v>
      </c>
    </row>
    <row r="2575" spans="1:2" x14ac:dyDescent="0.25">
      <c r="A2575" s="27"/>
      <c r="B2575">
        <v>1</v>
      </c>
    </row>
    <row r="2576" spans="1:2" x14ac:dyDescent="0.25">
      <c r="A2576" s="26"/>
      <c r="B2576">
        <v>1</v>
      </c>
    </row>
    <row r="2577" spans="1:2" x14ac:dyDescent="0.25">
      <c r="A2577" s="27"/>
      <c r="B2577">
        <v>1</v>
      </c>
    </row>
    <row r="2578" spans="1:2" x14ac:dyDescent="0.25">
      <c r="A2578" s="26"/>
      <c r="B2578">
        <v>1</v>
      </c>
    </row>
    <row r="2579" spans="1:2" x14ac:dyDescent="0.25">
      <c r="A2579" s="27"/>
      <c r="B2579">
        <v>1</v>
      </c>
    </row>
    <row r="2580" spans="1:2" x14ac:dyDescent="0.25">
      <c r="A2580" s="26"/>
      <c r="B2580">
        <v>1</v>
      </c>
    </row>
    <row r="2581" spans="1:2" x14ac:dyDescent="0.25">
      <c r="A2581" s="27"/>
      <c r="B2581">
        <v>1</v>
      </c>
    </row>
    <row r="2582" spans="1:2" x14ac:dyDescent="0.25">
      <c r="A2582" s="26"/>
      <c r="B2582">
        <v>1</v>
      </c>
    </row>
    <row r="2583" spans="1:2" x14ac:dyDescent="0.25">
      <c r="A2583" s="27"/>
      <c r="B2583">
        <v>1</v>
      </c>
    </row>
    <row r="2584" spans="1:2" x14ac:dyDescent="0.25">
      <c r="A2584" s="26"/>
      <c r="B2584">
        <v>1</v>
      </c>
    </row>
    <row r="2585" spans="1:2" x14ac:dyDescent="0.25">
      <c r="A2585" s="27"/>
      <c r="B2585">
        <v>1</v>
      </c>
    </row>
    <row r="2586" spans="1:2" x14ac:dyDescent="0.25">
      <c r="A2586" s="26"/>
      <c r="B2586">
        <v>1</v>
      </c>
    </row>
    <row r="2587" spans="1:2" x14ac:dyDescent="0.25">
      <c r="A2587" s="27"/>
      <c r="B2587">
        <v>1</v>
      </c>
    </row>
    <row r="2588" spans="1:2" x14ac:dyDescent="0.25">
      <c r="A2588" s="26"/>
      <c r="B2588">
        <v>1</v>
      </c>
    </row>
    <row r="2589" spans="1:2" x14ac:dyDescent="0.25">
      <c r="A2589" s="27"/>
      <c r="B2589">
        <v>1</v>
      </c>
    </row>
    <row r="2590" spans="1:2" x14ac:dyDescent="0.25">
      <c r="A2590" s="26"/>
      <c r="B2590">
        <v>1</v>
      </c>
    </row>
    <row r="2591" spans="1:2" x14ac:dyDescent="0.25">
      <c r="A2591" s="27"/>
      <c r="B2591">
        <v>1</v>
      </c>
    </row>
    <row r="2592" spans="1:2" x14ac:dyDescent="0.25">
      <c r="A2592" s="26"/>
      <c r="B2592">
        <v>1</v>
      </c>
    </row>
    <row r="2593" spans="1:2" x14ac:dyDescent="0.25">
      <c r="A2593" s="27"/>
      <c r="B2593">
        <v>1</v>
      </c>
    </row>
    <row r="2594" spans="1:2" x14ac:dyDescent="0.25">
      <c r="A2594" s="26"/>
      <c r="B2594">
        <v>1</v>
      </c>
    </row>
    <row r="2595" spans="1:2" x14ac:dyDescent="0.25">
      <c r="A2595" s="27"/>
      <c r="B2595">
        <v>1</v>
      </c>
    </row>
    <row r="2596" spans="1:2" x14ac:dyDescent="0.25">
      <c r="A2596" s="26"/>
      <c r="B2596">
        <v>1</v>
      </c>
    </row>
    <row r="2597" spans="1:2" x14ac:dyDescent="0.25">
      <c r="A2597" s="27"/>
      <c r="B2597">
        <v>1</v>
      </c>
    </row>
    <row r="2598" spans="1:2" x14ac:dyDescent="0.25">
      <c r="A2598" s="26"/>
      <c r="B2598">
        <v>1</v>
      </c>
    </row>
    <row r="2599" spans="1:2" x14ac:dyDescent="0.25">
      <c r="A2599" s="27"/>
      <c r="B2599">
        <v>1</v>
      </c>
    </row>
    <row r="2600" spans="1:2" x14ac:dyDescent="0.25">
      <c r="A2600" s="26"/>
      <c r="B2600">
        <v>1</v>
      </c>
    </row>
    <row r="2601" spans="1:2" x14ac:dyDescent="0.25">
      <c r="A2601" s="27"/>
      <c r="B2601">
        <v>1</v>
      </c>
    </row>
    <row r="2602" spans="1:2" x14ac:dyDescent="0.25">
      <c r="A2602" s="26"/>
      <c r="B2602">
        <v>1</v>
      </c>
    </row>
    <row r="2603" spans="1:2" x14ac:dyDescent="0.25">
      <c r="A2603" s="27"/>
      <c r="B2603">
        <v>1</v>
      </c>
    </row>
    <row r="2604" spans="1:2" x14ac:dyDescent="0.25">
      <c r="A2604" s="26"/>
      <c r="B2604">
        <v>1</v>
      </c>
    </row>
    <row r="2605" spans="1:2" x14ac:dyDescent="0.25">
      <c r="A2605" s="27"/>
      <c r="B2605">
        <v>1</v>
      </c>
    </row>
    <row r="2606" spans="1:2" x14ac:dyDescent="0.25">
      <c r="A2606" s="26"/>
      <c r="B2606">
        <v>1</v>
      </c>
    </row>
    <row r="2607" spans="1:2" x14ac:dyDescent="0.25">
      <c r="A2607" s="27"/>
      <c r="B2607">
        <v>1</v>
      </c>
    </row>
    <row r="2608" spans="1:2" x14ac:dyDescent="0.25">
      <c r="A2608" s="26"/>
      <c r="B2608">
        <v>1</v>
      </c>
    </row>
    <row r="2609" spans="1:2" x14ac:dyDescent="0.25">
      <c r="A2609" s="27"/>
      <c r="B2609">
        <v>1</v>
      </c>
    </row>
    <row r="2610" spans="1:2" x14ac:dyDescent="0.25">
      <c r="A2610" s="26"/>
      <c r="B2610">
        <v>1</v>
      </c>
    </row>
    <row r="2611" spans="1:2" x14ac:dyDescent="0.25">
      <c r="A2611" s="27"/>
      <c r="B2611">
        <v>1</v>
      </c>
    </row>
    <row r="2612" spans="1:2" x14ac:dyDescent="0.25">
      <c r="A2612" s="26"/>
      <c r="B2612">
        <v>1</v>
      </c>
    </row>
    <row r="2613" spans="1:2" x14ac:dyDescent="0.25">
      <c r="A2613" s="27"/>
      <c r="B2613">
        <v>1</v>
      </c>
    </row>
    <row r="2614" spans="1:2" x14ac:dyDescent="0.25">
      <c r="A2614" s="26"/>
      <c r="B2614">
        <v>1</v>
      </c>
    </row>
    <row r="2615" spans="1:2" x14ac:dyDescent="0.25">
      <c r="A2615" s="27"/>
      <c r="B2615">
        <v>1</v>
      </c>
    </row>
    <row r="2616" spans="1:2" x14ac:dyDescent="0.25">
      <c r="A2616" s="26"/>
      <c r="B2616">
        <v>1</v>
      </c>
    </row>
    <row r="2617" spans="1:2" x14ac:dyDescent="0.25">
      <c r="A2617" s="27"/>
      <c r="B2617">
        <v>1</v>
      </c>
    </row>
    <row r="2618" spans="1:2" x14ac:dyDescent="0.25">
      <c r="A2618" s="26"/>
      <c r="B2618">
        <v>1</v>
      </c>
    </row>
    <row r="2619" spans="1:2" x14ac:dyDescent="0.25">
      <c r="A2619" s="27"/>
      <c r="B2619">
        <v>1</v>
      </c>
    </row>
    <row r="2620" spans="1:2" x14ac:dyDescent="0.25">
      <c r="A2620" s="26"/>
      <c r="B2620">
        <v>1</v>
      </c>
    </row>
    <row r="2621" spans="1:2" x14ac:dyDescent="0.25">
      <c r="A2621" s="27"/>
      <c r="B2621">
        <v>1</v>
      </c>
    </row>
    <row r="2622" spans="1:2" x14ac:dyDescent="0.25">
      <c r="A2622" s="26"/>
      <c r="B2622">
        <v>1</v>
      </c>
    </row>
    <row r="2623" spans="1:2" x14ac:dyDescent="0.25">
      <c r="A2623" s="27"/>
      <c r="B2623">
        <v>1</v>
      </c>
    </row>
    <row r="2624" spans="1:2" x14ac:dyDescent="0.25">
      <c r="A2624" s="26"/>
      <c r="B2624">
        <v>1</v>
      </c>
    </row>
    <row r="2625" spans="1:2" x14ac:dyDescent="0.25">
      <c r="A2625" s="27"/>
      <c r="B2625">
        <v>1</v>
      </c>
    </row>
    <row r="2626" spans="1:2" x14ac:dyDescent="0.25">
      <c r="A2626" s="26"/>
      <c r="B2626">
        <v>1</v>
      </c>
    </row>
    <row r="2627" spans="1:2" x14ac:dyDescent="0.25">
      <c r="A2627" s="27"/>
      <c r="B2627">
        <v>1</v>
      </c>
    </row>
    <row r="2628" spans="1:2" x14ac:dyDescent="0.25">
      <c r="A2628" s="26"/>
      <c r="B2628">
        <v>1</v>
      </c>
    </row>
    <row r="2629" spans="1:2" x14ac:dyDescent="0.25">
      <c r="A2629" s="27"/>
      <c r="B2629">
        <v>1</v>
      </c>
    </row>
    <row r="2630" spans="1:2" x14ac:dyDescent="0.25">
      <c r="A2630" s="26"/>
      <c r="B2630">
        <v>1</v>
      </c>
    </row>
    <row r="2631" spans="1:2" x14ac:dyDescent="0.25">
      <c r="A2631" s="27"/>
      <c r="B2631">
        <v>1</v>
      </c>
    </row>
    <row r="2632" spans="1:2" x14ac:dyDescent="0.25">
      <c r="A2632" s="26"/>
      <c r="B2632">
        <v>1</v>
      </c>
    </row>
    <row r="2633" spans="1:2" x14ac:dyDescent="0.25">
      <c r="A2633" s="27"/>
      <c r="B2633">
        <v>1</v>
      </c>
    </row>
    <row r="2634" spans="1:2" x14ac:dyDescent="0.25">
      <c r="A2634" s="26"/>
      <c r="B2634">
        <v>1</v>
      </c>
    </row>
    <row r="2635" spans="1:2" x14ac:dyDescent="0.25">
      <c r="A2635" s="27"/>
      <c r="B2635">
        <v>1</v>
      </c>
    </row>
    <row r="2636" spans="1:2" x14ac:dyDescent="0.25">
      <c r="A2636" s="26"/>
      <c r="B2636">
        <v>1</v>
      </c>
    </row>
    <row r="2637" spans="1:2" x14ac:dyDescent="0.25">
      <c r="A2637" s="27"/>
      <c r="B2637">
        <v>1</v>
      </c>
    </row>
    <row r="2638" spans="1:2" x14ac:dyDescent="0.25">
      <c r="A2638" s="26"/>
      <c r="B2638">
        <v>1</v>
      </c>
    </row>
    <row r="2639" spans="1:2" x14ac:dyDescent="0.25">
      <c r="A2639" s="27"/>
      <c r="B2639">
        <v>1</v>
      </c>
    </row>
    <row r="2640" spans="1:2" x14ac:dyDescent="0.25">
      <c r="A2640" s="26"/>
      <c r="B2640">
        <v>1</v>
      </c>
    </row>
    <row r="2641" spans="1:2" x14ac:dyDescent="0.25">
      <c r="A2641" s="27"/>
      <c r="B2641">
        <v>1</v>
      </c>
    </row>
    <row r="2642" spans="1:2" x14ac:dyDescent="0.25">
      <c r="A2642" s="26"/>
      <c r="B2642">
        <v>1</v>
      </c>
    </row>
    <row r="2643" spans="1:2" x14ac:dyDescent="0.25">
      <c r="A2643" s="27"/>
      <c r="B2643">
        <v>1</v>
      </c>
    </row>
    <row r="2644" spans="1:2" x14ac:dyDescent="0.25">
      <c r="A2644" s="26"/>
      <c r="B2644">
        <v>1</v>
      </c>
    </row>
    <row r="2645" spans="1:2" x14ac:dyDescent="0.25">
      <c r="A2645" s="27"/>
      <c r="B2645">
        <v>1</v>
      </c>
    </row>
    <row r="2646" spans="1:2" x14ac:dyDescent="0.25">
      <c r="A2646" s="26"/>
      <c r="B2646">
        <v>1</v>
      </c>
    </row>
    <row r="2647" spans="1:2" x14ac:dyDescent="0.25">
      <c r="A2647" s="27"/>
      <c r="B2647">
        <v>1</v>
      </c>
    </row>
    <row r="2648" spans="1:2" x14ac:dyDescent="0.25">
      <c r="A2648" s="26"/>
      <c r="B2648">
        <v>1</v>
      </c>
    </row>
    <row r="2649" spans="1:2" x14ac:dyDescent="0.25">
      <c r="A2649" s="27"/>
      <c r="B2649">
        <v>1</v>
      </c>
    </row>
    <row r="2650" spans="1:2" x14ac:dyDescent="0.25">
      <c r="A2650" s="26"/>
      <c r="B2650">
        <v>1</v>
      </c>
    </row>
    <row r="2651" spans="1:2" x14ac:dyDescent="0.25">
      <c r="A2651" s="27"/>
      <c r="B2651">
        <v>1</v>
      </c>
    </row>
    <row r="2652" spans="1:2" x14ac:dyDescent="0.25">
      <c r="A2652" s="26"/>
      <c r="B2652">
        <v>1</v>
      </c>
    </row>
    <row r="2653" spans="1:2" x14ac:dyDescent="0.25">
      <c r="A2653" s="27"/>
      <c r="B2653">
        <v>1</v>
      </c>
    </row>
    <row r="2654" spans="1:2" x14ac:dyDescent="0.25">
      <c r="A2654" s="26"/>
      <c r="B2654">
        <v>1</v>
      </c>
    </row>
    <row r="2655" spans="1:2" x14ac:dyDescent="0.25">
      <c r="A2655" s="27"/>
      <c r="B2655">
        <v>1</v>
      </c>
    </row>
    <row r="2656" spans="1:2" x14ac:dyDescent="0.25">
      <c r="A2656" s="26"/>
      <c r="B2656">
        <v>1</v>
      </c>
    </row>
    <row r="2657" spans="1:2" x14ac:dyDescent="0.25">
      <c r="A2657" s="27"/>
      <c r="B2657">
        <v>1</v>
      </c>
    </row>
    <row r="2658" spans="1:2" x14ac:dyDescent="0.25">
      <c r="A2658" s="26"/>
      <c r="B2658">
        <v>1</v>
      </c>
    </row>
    <row r="2659" spans="1:2" x14ac:dyDescent="0.25">
      <c r="A2659" s="27"/>
      <c r="B2659">
        <v>1</v>
      </c>
    </row>
    <row r="2660" spans="1:2" x14ac:dyDescent="0.25">
      <c r="A2660" s="26"/>
      <c r="B2660">
        <v>1</v>
      </c>
    </row>
    <row r="2661" spans="1:2" x14ac:dyDescent="0.25">
      <c r="A2661" s="27"/>
      <c r="B2661">
        <v>1</v>
      </c>
    </row>
    <row r="2662" spans="1:2" x14ac:dyDescent="0.25">
      <c r="A2662" s="26"/>
      <c r="B2662">
        <v>1</v>
      </c>
    </row>
    <row r="2663" spans="1:2" x14ac:dyDescent="0.25">
      <c r="A2663" s="27"/>
      <c r="B2663">
        <v>1</v>
      </c>
    </row>
    <row r="2664" spans="1:2" x14ac:dyDescent="0.25">
      <c r="A2664" s="26"/>
      <c r="B2664">
        <v>1</v>
      </c>
    </row>
    <row r="2665" spans="1:2" x14ac:dyDescent="0.25">
      <c r="A2665" s="27"/>
      <c r="B2665">
        <v>1</v>
      </c>
    </row>
    <row r="2666" spans="1:2" x14ac:dyDescent="0.25">
      <c r="A2666" s="26"/>
      <c r="B2666">
        <v>1</v>
      </c>
    </row>
    <row r="2667" spans="1:2" x14ac:dyDescent="0.25">
      <c r="A2667" s="27"/>
      <c r="B2667">
        <v>1</v>
      </c>
    </row>
    <row r="2668" spans="1:2" x14ac:dyDescent="0.25">
      <c r="A2668" s="26"/>
      <c r="B2668">
        <v>1</v>
      </c>
    </row>
    <row r="2669" spans="1:2" x14ac:dyDescent="0.25">
      <c r="A2669" s="27"/>
      <c r="B2669">
        <v>1</v>
      </c>
    </row>
    <row r="2670" spans="1:2" x14ac:dyDescent="0.25">
      <c r="A2670" s="26"/>
      <c r="B2670">
        <v>1</v>
      </c>
    </row>
    <row r="2671" spans="1:2" x14ac:dyDescent="0.25">
      <c r="A2671" s="27"/>
      <c r="B2671">
        <v>1</v>
      </c>
    </row>
    <row r="2672" spans="1:2" x14ac:dyDescent="0.25">
      <c r="A2672" s="26"/>
      <c r="B2672">
        <v>1</v>
      </c>
    </row>
    <row r="2673" spans="1:2" x14ac:dyDescent="0.25">
      <c r="A2673" s="27"/>
      <c r="B2673">
        <v>1</v>
      </c>
    </row>
    <row r="2674" spans="1:2" x14ac:dyDescent="0.25">
      <c r="A2674" s="26"/>
      <c r="B2674">
        <v>1</v>
      </c>
    </row>
    <row r="2675" spans="1:2" x14ac:dyDescent="0.25">
      <c r="A2675" s="27"/>
      <c r="B2675">
        <v>1</v>
      </c>
    </row>
    <row r="2676" spans="1:2" x14ac:dyDescent="0.25">
      <c r="A2676" s="26"/>
      <c r="B2676">
        <v>1</v>
      </c>
    </row>
    <row r="2677" spans="1:2" x14ac:dyDescent="0.25">
      <c r="A2677" s="27"/>
      <c r="B2677">
        <v>1</v>
      </c>
    </row>
    <row r="2678" spans="1:2" x14ac:dyDescent="0.25">
      <c r="A2678" s="26"/>
      <c r="B2678">
        <v>1</v>
      </c>
    </row>
    <row r="2679" spans="1:2" x14ac:dyDescent="0.25">
      <c r="A2679" s="27"/>
      <c r="B2679">
        <v>1</v>
      </c>
    </row>
    <row r="2680" spans="1:2" x14ac:dyDescent="0.25">
      <c r="A2680" s="26"/>
      <c r="B2680">
        <v>1</v>
      </c>
    </row>
    <row r="2681" spans="1:2" x14ac:dyDescent="0.25">
      <c r="A2681" s="27"/>
      <c r="B2681">
        <v>1</v>
      </c>
    </row>
    <row r="2682" spans="1:2" x14ac:dyDescent="0.25">
      <c r="A2682" s="26"/>
      <c r="B2682">
        <v>1</v>
      </c>
    </row>
    <row r="2683" spans="1:2" x14ac:dyDescent="0.25">
      <c r="A2683" s="27"/>
      <c r="B2683">
        <v>1</v>
      </c>
    </row>
    <row r="2684" spans="1:2" x14ac:dyDescent="0.25">
      <c r="A2684" s="26"/>
      <c r="B2684">
        <v>1</v>
      </c>
    </row>
    <row r="2685" spans="1:2" x14ac:dyDescent="0.25">
      <c r="A2685" s="27"/>
      <c r="B2685">
        <v>1</v>
      </c>
    </row>
    <row r="2686" spans="1:2" x14ac:dyDescent="0.25">
      <c r="A2686" s="26"/>
      <c r="B2686">
        <v>1</v>
      </c>
    </row>
    <row r="2687" spans="1:2" x14ac:dyDescent="0.25">
      <c r="A2687" s="27"/>
      <c r="B2687">
        <v>1</v>
      </c>
    </row>
    <row r="2688" spans="1:2" x14ac:dyDescent="0.25">
      <c r="A2688" s="26"/>
      <c r="B2688">
        <v>1</v>
      </c>
    </row>
    <row r="2689" spans="1:2" x14ac:dyDescent="0.25">
      <c r="A2689" s="27"/>
      <c r="B2689">
        <v>1</v>
      </c>
    </row>
    <row r="2690" spans="1:2" x14ac:dyDescent="0.25">
      <c r="A2690" s="26"/>
      <c r="B2690">
        <v>1</v>
      </c>
    </row>
    <row r="2691" spans="1:2" x14ac:dyDescent="0.25">
      <c r="A2691" s="27"/>
      <c r="B2691">
        <v>1</v>
      </c>
    </row>
    <row r="2692" spans="1:2" x14ac:dyDescent="0.25">
      <c r="A2692" s="26"/>
      <c r="B2692">
        <v>1</v>
      </c>
    </row>
    <row r="2693" spans="1:2" x14ac:dyDescent="0.25">
      <c r="A2693" s="27"/>
      <c r="B2693">
        <v>1</v>
      </c>
    </row>
    <row r="2694" spans="1:2" x14ac:dyDescent="0.25">
      <c r="A2694" s="26"/>
      <c r="B2694">
        <v>1</v>
      </c>
    </row>
    <row r="2695" spans="1:2" x14ac:dyDescent="0.25">
      <c r="A2695" s="27"/>
      <c r="B2695">
        <v>1</v>
      </c>
    </row>
    <row r="2696" spans="1:2" x14ac:dyDescent="0.25">
      <c r="A2696" s="26"/>
      <c r="B2696">
        <v>1</v>
      </c>
    </row>
    <row r="2697" spans="1:2" x14ac:dyDescent="0.25">
      <c r="A2697" s="27"/>
      <c r="B2697">
        <v>1</v>
      </c>
    </row>
    <row r="2698" spans="1:2" x14ac:dyDescent="0.25">
      <c r="A2698" s="26"/>
      <c r="B2698">
        <v>1</v>
      </c>
    </row>
    <row r="2699" spans="1:2" x14ac:dyDescent="0.25">
      <c r="A2699" s="27"/>
      <c r="B2699">
        <v>1</v>
      </c>
    </row>
    <row r="2700" spans="1:2" x14ac:dyDescent="0.25">
      <c r="A2700" s="26"/>
      <c r="B2700">
        <v>1</v>
      </c>
    </row>
    <row r="2701" spans="1:2" x14ac:dyDescent="0.25">
      <c r="A2701" s="27"/>
      <c r="B2701">
        <v>1</v>
      </c>
    </row>
    <row r="2702" spans="1:2" x14ac:dyDescent="0.25">
      <c r="A2702" s="26"/>
      <c r="B2702">
        <v>1</v>
      </c>
    </row>
    <row r="2703" spans="1:2" x14ac:dyDescent="0.25">
      <c r="A2703" s="27"/>
      <c r="B2703">
        <v>1</v>
      </c>
    </row>
    <row r="2704" spans="1:2" x14ac:dyDescent="0.25">
      <c r="A2704" s="26"/>
      <c r="B2704">
        <v>1</v>
      </c>
    </row>
    <row r="2705" spans="1:2" x14ac:dyDescent="0.25">
      <c r="A2705" s="27"/>
      <c r="B2705">
        <v>1</v>
      </c>
    </row>
    <row r="2706" spans="1:2" x14ac:dyDescent="0.25">
      <c r="A2706" s="26"/>
      <c r="B2706">
        <v>1</v>
      </c>
    </row>
    <row r="2707" spans="1:2" x14ac:dyDescent="0.25">
      <c r="A2707" s="27"/>
      <c r="B2707">
        <v>1</v>
      </c>
    </row>
    <row r="2708" spans="1:2" x14ac:dyDescent="0.25">
      <c r="A2708" s="26"/>
      <c r="B2708">
        <v>1</v>
      </c>
    </row>
    <row r="2709" spans="1:2" x14ac:dyDescent="0.25">
      <c r="A2709" s="27"/>
      <c r="B2709">
        <v>1</v>
      </c>
    </row>
    <row r="2710" spans="1:2" x14ac:dyDescent="0.25">
      <c r="A2710" s="26"/>
      <c r="B2710">
        <v>1</v>
      </c>
    </row>
    <row r="2711" spans="1:2" x14ac:dyDescent="0.25">
      <c r="A2711" s="27"/>
      <c r="B2711">
        <v>1</v>
      </c>
    </row>
    <row r="2712" spans="1:2" x14ac:dyDescent="0.25">
      <c r="A2712" s="26"/>
      <c r="B2712">
        <v>1</v>
      </c>
    </row>
    <row r="2713" spans="1:2" x14ac:dyDescent="0.25">
      <c r="A2713" s="27"/>
      <c r="B2713">
        <v>1</v>
      </c>
    </row>
    <row r="2714" spans="1:2" x14ac:dyDescent="0.25">
      <c r="A2714" s="26"/>
      <c r="B2714">
        <v>1</v>
      </c>
    </row>
    <row r="2715" spans="1:2" x14ac:dyDescent="0.25">
      <c r="A2715" s="27"/>
      <c r="B2715">
        <v>1</v>
      </c>
    </row>
    <row r="2716" spans="1:2" x14ac:dyDescent="0.25">
      <c r="A2716" s="26"/>
      <c r="B2716">
        <v>1</v>
      </c>
    </row>
    <row r="2717" spans="1:2" x14ac:dyDescent="0.25">
      <c r="A2717" s="27"/>
      <c r="B2717">
        <v>1</v>
      </c>
    </row>
    <row r="2718" spans="1:2" x14ac:dyDescent="0.25">
      <c r="A2718" s="26"/>
      <c r="B2718">
        <v>1</v>
      </c>
    </row>
    <row r="2719" spans="1:2" x14ac:dyDescent="0.25">
      <c r="A2719" s="27"/>
      <c r="B2719">
        <v>1</v>
      </c>
    </row>
    <row r="2720" spans="1:2" x14ac:dyDescent="0.25">
      <c r="A2720" s="26"/>
      <c r="B2720">
        <v>1</v>
      </c>
    </row>
    <row r="2721" spans="1:2" x14ac:dyDescent="0.25">
      <c r="A2721" s="27"/>
      <c r="B2721">
        <v>1</v>
      </c>
    </row>
    <row r="2722" spans="1:2" x14ac:dyDescent="0.25">
      <c r="A2722" s="26"/>
      <c r="B2722">
        <v>1</v>
      </c>
    </row>
    <row r="2723" spans="1:2" x14ac:dyDescent="0.25">
      <c r="A2723" s="27"/>
      <c r="B2723">
        <v>1</v>
      </c>
    </row>
    <row r="2724" spans="1:2" x14ac:dyDescent="0.25">
      <c r="A2724" s="26"/>
      <c r="B2724">
        <v>1</v>
      </c>
    </row>
    <row r="2725" spans="1:2" x14ac:dyDescent="0.25">
      <c r="A2725" s="27"/>
      <c r="B2725">
        <v>1</v>
      </c>
    </row>
    <row r="2726" spans="1:2" x14ac:dyDescent="0.25">
      <c r="A2726" s="26"/>
      <c r="B2726">
        <v>1</v>
      </c>
    </row>
    <row r="2727" spans="1:2" x14ac:dyDescent="0.25">
      <c r="A2727" s="27"/>
      <c r="B2727">
        <v>1</v>
      </c>
    </row>
    <row r="2728" spans="1:2" x14ac:dyDescent="0.25">
      <c r="A2728" s="26"/>
      <c r="B2728">
        <v>1</v>
      </c>
    </row>
    <row r="2729" spans="1:2" x14ac:dyDescent="0.25">
      <c r="A2729" s="27"/>
      <c r="B2729">
        <v>1</v>
      </c>
    </row>
    <row r="2730" spans="1:2" x14ac:dyDescent="0.25">
      <c r="A2730" s="26"/>
      <c r="B2730">
        <v>1</v>
      </c>
    </row>
    <row r="2731" spans="1:2" x14ac:dyDescent="0.25">
      <c r="A2731" s="27"/>
      <c r="B2731">
        <v>1</v>
      </c>
    </row>
    <row r="2732" spans="1:2" x14ac:dyDescent="0.25">
      <c r="A2732" s="26"/>
      <c r="B2732">
        <v>1</v>
      </c>
    </row>
    <row r="2733" spans="1:2" x14ac:dyDescent="0.25">
      <c r="A2733" s="27"/>
      <c r="B2733">
        <v>1</v>
      </c>
    </row>
    <row r="2734" spans="1:2" x14ac:dyDescent="0.25">
      <c r="A2734" s="26"/>
      <c r="B2734">
        <v>1</v>
      </c>
    </row>
    <row r="2735" spans="1:2" x14ac:dyDescent="0.25">
      <c r="A2735" s="27"/>
      <c r="B2735">
        <v>1</v>
      </c>
    </row>
    <row r="2736" spans="1:2" x14ac:dyDescent="0.25">
      <c r="A2736" s="26"/>
      <c r="B2736">
        <v>1</v>
      </c>
    </row>
    <row r="2737" spans="1:2" x14ac:dyDescent="0.25">
      <c r="A2737" s="27"/>
      <c r="B2737">
        <v>1</v>
      </c>
    </row>
    <row r="2738" spans="1:2" x14ac:dyDescent="0.25">
      <c r="A2738" s="26"/>
      <c r="B2738">
        <v>1</v>
      </c>
    </row>
    <row r="2739" spans="1:2" x14ac:dyDescent="0.25">
      <c r="A2739" s="27"/>
      <c r="B2739">
        <v>1</v>
      </c>
    </row>
    <row r="2740" spans="1:2" x14ac:dyDescent="0.25">
      <c r="A2740" s="26"/>
      <c r="B2740">
        <v>1</v>
      </c>
    </row>
    <row r="2741" spans="1:2" x14ac:dyDescent="0.25">
      <c r="A2741" s="27"/>
      <c r="B2741">
        <v>1</v>
      </c>
    </row>
    <row r="2742" spans="1:2" x14ac:dyDescent="0.25">
      <c r="A2742" s="26"/>
      <c r="B2742">
        <v>1</v>
      </c>
    </row>
    <row r="2743" spans="1:2" x14ac:dyDescent="0.25">
      <c r="A2743" s="27"/>
      <c r="B2743">
        <v>1</v>
      </c>
    </row>
    <row r="2744" spans="1:2" x14ac:dyDescent="0.25">
      <c r="A2744" s="26"/>
      <c r="B2744">
        <v>1</v>
      </c>
    </row>
    <row r="2745" spans="1:2" x14ac:dyDescent="0.25">
      <c r="A2745" s="27"/>
      <c r="B2745">
        <v>1</v>
      </c>
    </row>
    <row r="2746" spans="1:2" x14ac:dyDescent="0.25">
      <c r="A2746" s="26"/>
      <c r="B2746">
        <v>1</v>
      </c>
    </row>
    <row r="2747" spans="1:2" x14ac:dyDescent="0.25">
      <c r="A2747" s="27"/>
      <c r="B2747">
        <v>1</v>
      </c>
    </row>
    <row r="2748" spans="1:2" x14ac:dyDescent="0.25">
      <c r="A2748" s="26"/>
      <c r="B2748">
        <v>1</v>
      </c>
    </row>
    <row r="2749" spans="1:2" x14ac:dyDescent="0.25">
      <c r="A2749" s="27"/>
      <c r="B2749">
        <v>1</v>
      </c>
    </row>
    <row r="2750" spans="1:2" x14ac:dyDescent="0.25">
      <c r="A2750" s="26"/>
      <c r="B2750">
        <v>1</v>
      </c>
    </row>
    <row r="2751" spans="1:2" x14ac:dyDescent="0.25">
      <c r="A2751" s="27"/>
      <c r="B2751">
        <v>1</v>
      </c>
    </row>
    <row r="2752" spans="1:2" x14ac:dyDescent="0.25">
      <c r="A2752" s="26"/>
      <c r="B2752">
        <v>1</v>
      </c>
    </row>
    <row r="2753" spans="1:2" x14ac:dyDescent="0.25">
      <c r="A2753" s="27"/>
      <c r="B2753">
        <v>1</v>
      </c>
    </row>
    <row r="2754" spans="1:2" x14ac:dyDescent="0.25">
      <c r="A2754" s="26"/>
      <c r="B2754">
        <v>1</v>
      </c>
    </row>
    <row r="2755" spans="1:2" x14ac:dyDescent="0.25">
      <c r="A2755" s="27"/>
      <c r="B2755">
        <v>1</v>
      </c>
    </row>
    <row r="2756" spans="1:2" x14ac:dyDescent="0.25">
      <c r="A2756" s="26"/>
      <c r="B2756">
        <v>1</v>
      </c>
    </row>
    <row r="2757" spans="1:2" x14ac:dyDescent="0.25">
      <c r="A2757" s="27"/>
      <c r="B2757">
        <v>1</v>
      </c>
    </row>
    <row r="2758" spans="1:2" x14ac:dyDescent="0.25">
      <c r="A2758" s="26"/>
      <c r="B2758">
        <v>1</v>
      </c>
    </row>
    <row r="2759" spans="1:2" x14ac:dyDescent="0.25">
      <c r="A2759" s="27"/>
      <c r="B2759">
        <v>1</v>
      </c>
    </row>
    <row r="2760" spans="1:2" x14ac:dyDescent="0.25">
      <c r="A2760" s="26"/>
      <c r="B2760">
        <v>1</v>
      </c>
    </row>
    <row r="2761" spans="1:2" x14ac:dyDescent="0.25">
      <c r="A2761" s="27"/>
      <c r="B2761">
        <v>1</v>
      </c>
    </row>
    <row r="2762" spans="1:2" x14ac:dyDescent="0.25">
      <c r="A2762" s="26"/>
      <c r="B2762">
        <v>1</v>
      </c>
    </row>
    <row r="2763" spans="1:2" x14ac:dyDescent="0.25">
      <c r="A2763" s="27"/>
      <c r="B2763">
        <v>1</v>
      </c>
    </row>
    <row r="2764" spans="1:2" x14ac:dyDescent="0.25">
      <c r="A2764" s="26"/>
      <c r="B2764">
        <v>1</v>
      </c>
    </row>
    <row r="2765" spans="1:2" x14ac:dyDescent="0.25">
      <c r="A2765" s="27"/>
      <c r="B2765">
        <v>1</v>
      </c>
    </row>
    <row r="2766" spans="1:2" x14ac:dyDescent="0.25">
      <c r="A2766" s="26"/>
      <c r="B2766">
        <v>1</v>
      </c>
    </row>
    <row r="2767" spans="1:2" x14ac:dyDescent="0.25">
      <c r="A2767" s="27"/>
      <c r="B2767">
        <v>1</v>
      </c>
    </row>
    <row r="2768" spans="1:2" x14ac:dyDescent="0.25">
      <c r="A2768" s="26"/>
      <c r="B2768">
        <v>1</v>
      </c>
    </row>
    <row r="2769" spans="1:2" x14ac:dyDescent="0.25">
      <c r="A2769" s="27"/>
      <c r="B2769">
        <v>1</v>
      </c>
    </row>
    <row r="2770" spans="1:2" x14ac:dyDescent="0.25">
      <c r="A2770" s="26"/>
      <c r="B2770">
        <v>1</v>
      </c>
    </row>
    <row r="2771" spans="1:2" x14ac:dyDescent="0.25">
      <c r="A2771" s="27"/>
      <c r="B2771">
        <v>1</v>
      </c>
    </row>
    <row r="2772" spans="1:2" x14ac:dyDescent="0.25">
      <c r="A2772" s="26"/>
      <c r="B2772">
        <v>1</v>
      </c>
    </row>
    <row r="2773" spans="1:2" x14ac:dyDescent="0.25">
      <c r="A2773" s="27"/>
      <c r="B2773">
        <v>1</v>
      </c>
    </row>
    <row r="2774" spans="1:2" x14ac:dyDescent="0.25">
      <c r="A2774" s="26"/>
      <c r="B2774">
        <v>1</v>
      </c>
    </row>
    <row r="2775" spans="1:2" x14ac:dyDescent="0.25">
      <c r="A2775" s="27"/>
      <c r="B2775">
        <v>1</v>
      </c>
    </row>
    <row r="2776" spans="1:2" x14ac:dyDescent="0.25">
      <c r="A2776" s="26"/>
      <c r="B2776">
        <v>1</v>
      </c>
    </row>
    <row r="2777" spans="1:2" x14ac:dyDescent="0.25">
      <c r="A2777" s="27"/>
      <c r="B2777">
        <v>1</v>
      </c>
    </row>
    <row r="2778" spans="1:2" x14ac:dyDescent="0.25">
      <c r="A2778" s="26"/>
      <c r="B2778">
        <v>1</v>
      </c>
    </row>
    <row r="2779" spans="1:2" x14ac:dyDescent="0.25">
      <c r="A2779" s="27"/>
      <c r="B2779">
        <v>1</v>
      </c>
    </row>
    <row r="2780" spans="1:2" x14ac:dyDescent="0.25">
      <c r="A2780" s="26"/>
      <c r="B2780">
        <v>1</v>
      </c>
    </row>
    <row r="2781" spans="1:2" x14ac:dyDescent="0.25">
      <c r="A2781" s="27"/>
      <c r="B2781">
        <v>1</v>
      </c>
    </row>
    <row r="2782" spans="1:2" x14ac:dyDescent="0.25">
      <c r="A2782" s="26"/>
      <c r="B2782">
        <v>1</v>
      </c>
    </row>
    <row r="2783" spans="1:2" x14ac:dyDescent="0.25">
      <c r="A2783" s="27"/>
      <c r="B2783">
        <v>1</v>
      </c>
    </row>
    <row r="2784" spans="1:2" x14ac:dyDescent="0.25">
      <c r="A2784" s="26"/>
      <c r="B2784">
        <v>1</v>
      </c>
    </row>
    <row r="2785" spans="1:2" x14ac:dyDescent="0.25">
      <c r="A2785" s="27"/>
      <c r="B2785">
        <v>1</v>
      </c>
    </row>
    <row r="2786" spans="1:2" x14ac:dyDescent="0.25">
      <c r="A2786" s="26"/>
      <c r="B2786">
        <v>1</v>
      </c>
    </row>
    <row r="2787" spans="1:2" x14ac:dyDescent="0.25">
      <c r="A2787" s="27"/>
      <c r="B2787">
        <v>1</v>
      </c>
    </row>
    <row r="2788" spans="1:2" x14ac:dyDescent="0.25">
      <c r="A2788" s="26"/>
      <c r="B2788">
        <v>1</v>
      </c>
    </row>
    <row r="2789" spans="1:2" x14ac:dyDescent="0.25">
      <c r="A2789" s="27"/>
      <c r="B2789">
        <v>1</v>
      </c>
    </row>
    <row r="2790" spans="1:2" x14ac:dyDescent="0.25">
      <c r="A2790" s="26"/>
      <c r="B2790">
        <v>1</v>
      </c>
    </row>
    <row r="2791" spans="1:2" x14ac:dyDescent="0.25">
      <c r="A2791" s="27"/>
      <c r="B2791">
        <v>1</v>
      </c>
    </row>
    <row r="2792" spans="1:2" x14ac:dyDescent="0.25">
      <c r="A2792" s="26"/>
      <c r="B2792">
        <v>1</v>
      </c>
    </row>
    <row r="2793" spans="1:2" x14ac:dyDescent="0.25">
      <c r="A2793" s="27"/>
      <c r="B2793">
        <v>1</v>
      </c>
    </row>
    <row r="2794" spans="1:2" x14ac:dyDescent="0.25">
      <c r="A2794" s="26"/>
      <c r="B2794">
        <v>1</v>
      </c>
    </row>
    <row r="2795" spans="1:2" x14ac:dyDescent="0.25">
      <c r="A2795" s="27"/>
      <c r="B2795">
        <v>1</v>
      </c>
    </row>
    <row r="2796" spans="1:2" x14ac:dyDescent="0.25">
      <c r="A2796" s="26"/>
      <c r="B2796">
        <v>1</v>
      </c>
    </row>
    <row r="2797" spans="1:2" x14ac:dyDescent="0.25">
      <c r="A2797" s="27"/>
      <c r="B2797">
        <v>1</v>
      </c>
    </row>
    <row r="2798" spans="1:2" x14ac:dyDescent="0.25">
      <c r="A2798" s="26"/>
      <c r="B2798">
        <v>1</v>
      </c>
    </row>
    <row r="2799" spans="1:2" x14ac:dyDescent="0.25">
      <c r="A2799" s="27"/>
      <c r="B2799">
        <v>1</v>
      </c>
    </row>
    <row r="2800" spans="1:2" x14ac:dyDescent="0.25">
      <c r="A2800" s="26"/>
      <c r="B2800">
        <v>1</v>
      </c>
    </row>
    <row r="2801" spans="1:2" x14ac:dyDescent="0.25">
      <c r="A2801" s="27"/>
      <c r="B2801">
        <v>1</v>
      </c>
    </row>
    <row r="2802" spans="1:2" x14ac:dyDescent="0.25">
      <c r="A2802" s="26"/>
      <c r="B2802">
        <v>1</v>
      </c>
    </row>
    <row r="2803" spans="1:2" x14ac:dyDescent="0.25">
      <c r="A2803" s="27"/>
      <c r="B2803">
        <v>1</v>
      </c>
    </row>
    <row r="2804" spans="1:2" x14ac:dyDescent="0.25">
      <c r="A2804" s="26"/>
      <c r="B2804">
        <v>1</v>
      </c>
    </row>
    <row r="2805" spans="1:2" x14ac:dyDescent="0.25">
      <c r="A2805" s="27"/>
      <c r="B2805">
        <v>1</v>
      </c>
    </row>
    <row r="2806" spans="1:2" x14ac:dyDescent="0.25">
      <c r="A2806" s="26"/>
      <c r="B2806">
        <v>1</v>
      </c>
    </row>
    <row r="2807" spans="1:2" x14ac:dyDescent="0.25">
      <c r="A2807" s="27"/>
      <c r="B2807">
        <v>1</v>
      </c>
    </row>
    <row r="2808" spans="1:2" x14ac:dyDescent="0.25">
      <c r="A2808" s="26"/>
      <c r="B2808">
        <v>1</v>
      </c>
    </row>
    <row r="2809" spans="1:2" x14ac:dyDescent="0.25">
      <c r="A2809" s="27"/>
      <c r="B2809">
        <v>1</v>
      </c>
    </row>
    <row r="2810" spans="1:2" x14ac:dyDescent="0.25">
      <c r="A2810" s="26"/>
      <c r="B2810">
        <v>1</v>
      </c>
    </row>
    <row r="2811" spans="1:2" x14ac:dyDescent="0.25">
      <c r="A2811" s="27"/>
      <c r="B2811">
        <v>1</v>
      </c>
    </row>
    <row r="2812" spans="1:2" x14ac:dyDescent="0.25">
      <c r="A2812" s="26"/>
      <c r="B2812">
        <v>1</v>
      </c>
    </row>
    <row r="2813" spans="1:2" x14ac:dyDescent="0.25">
      <c r="A2813" s="27"/>
      <c r="B2813">
        <v>1</v>
      </c>
    </row>
    <row r="2814" spans="1:2" x14ac:dyDescent="0.25">
      <c r="A2814" s="26"/>
      <c r="B2814">
        <v>1</v>
      </c>
    </row>
    <row r="2815" spans="1:2" x14ac:dyDescent="0.25">
      <c r="A2815" s="27"/>
      <c r="B2815">
        <v>1</v>
      </c>
    </row>
    <row r="2816" spans="1:2" x14ac:dyDescent="0.25">
      <c r="A2816" s="26"/>
      <c r="B2816">
        <v>1</v>
      </c>
    </row>
    <row r="2817" spans="1:2" x14ac:dyDescent="0.25">
      <c r="A2817" s="27"/>
      <c r="B2817">
        <v>1</v>
      </c>
    </row>
    <row r="2818" spans="1:2" x14ac:dyDescent="0.25">
      <c r="A2818" s="26"/>
      <c r="B2818">
        <v>1</v>
      </c>
    </row>
    <row r="2819" spans="1:2" x14ac:dyDescent="0.25">
      <c r="A2819" s="27"/>
      <c r="B2819">
        <v>1</v>
      </c>
    </row>
    <row r="2820" spans="1:2" x14ac:dyDescent="0.25">
      <c r="A2820" s="26"/>
      <c r="B2820">
        <v>1</v>
      </c>
    </row>
    <row r="2821" spans="1:2" x14ac:dyDescent="0.25">
      <c r="A2821" s="27"/>
      <c r="B2821">
        <v>1</v>
      </c>
    </row>
    <row r="2822" spans="1:2" x14ac:dyDescent="0.25">
      <c r="A2822" s="26"/>
      <c r="B2822">
        <v>1</v>
      </c>
    </row>
    <row r="2823" spans="1:2" x14ac:dyDescent="0.25">
      <c r="A2823" s="27"/>
      <c r="B2823">
        <v>1</v>
      </c>
    </row>
    <row r="2824" spans="1:2" x14ac:dyDescent="0.25">
      <c r="A2824" s="26"/>
      <c r="B2824">
        <v>1</v>
      </c>
    </row>
    <row r="2825" spans="1:2" x14ac:dyDescent="0.25">
      <c r="A2825" s="27"/>
      <c r="B2825">
        <v>1</v>
      </c>
    </row>
    <row r="2826" spans="1:2" x14ac:dyDescent="0.25">
      <c r="A2826" s="26"/>
      <c r="B2826">
        <v>1</v>
      </c>
    </row>
    <row r="2827" spans="1:2" x14ac:dyDescent="0.25">
      <c r="A2827" s="27"/>
      <c r="B2827">
        <v>1</v>
      </c>
    </row>
    <row r="2828" spans="1:2" x14ac:dyDescent="0.25">
      <c r="A2828" s="26"/>
      <c r="B2828">
        <v>1</v>
      </c>
    </row>
    <row r="2829" spans="1:2" x14ac:dyDescent="0.25">
      <c r="A2829" s="27"/>
      <c r="B2829">
        <v>1</v>
      </c>
    </row>
    <row r="2830" spans="1:2" x14ac:dyDescent="0.25">
      <c r="A2830" s="26"/>
      <c r="B2830">
        <v>1</v>
      </c>
    </row>
    <row r="2831" spans="1:2" x14ac:dyDescent="0.25">
      <c r="A2831" s="27"/>
      <c r="B2831">
        <v>1</v>
      </c>
    </row>
    <row r="2832" spans="1:2" x14ac:dyDescent="0.25">
      <c r="A2832" s="26"/>
      <c r="B2832">
        <v>1</v>
      </c>
    </row>
    <row r="2833" spans="1:2" x14ac:dyDescent="0.25">
      <c r="A2833" s="27"/>
      <c r="B2833">
        <v>1</v>
      </c>
    </row>
    <row r="2834" spans="1:2" x14ac:dyDescent="0.25">
      <c r="A2834" s="26"/>
      <c r="B2834">
        <v>1</v>
      </c>
    </row>
    <row r="2835" spans="1:2" x14ac:dyDescent="0.25">
      <c r="A2835" s="27"/>
      <c r="B2835">
        <v>1</v>
      </c>
    </row>
    <row r="2836" spans="1:2" x14ac:dyDescent="0.25">
      <c r="A2836" s="26"/>
      <c r="B2836">
        <v>1</v>
      </c>
    </row>
    <row r="2837" spans="1:2" x14ac:dyDescent="0.25">
      <c r="A2837" s="27"/>
      <c r="B2837">
        <v>1</v>
      </c>
    </row>
    <row r="2838" spans="1:2" x14ac:dyDescent="0.25">
      <c r="A2838" s="26"/>
      <c r="B2838">
        <v>1</v>
      </c>
    </row>
    <row r="2839" spans="1:2" x14ac:dyDescent="0.25">
      <c r="A2839" s="27"/>
      <c r="B2839">
        <v>1</v>
      </c>
    </row>
    <row r="2840" spans="1:2" x14ac:dyDescent="0.25">
      <c r="A2840" s="26"/>
      <c r="B2840">
        <v>1</v>
      </c>
    </row>
    <row r="2841" spans="1:2" x14ac:dyDescent="0.25">
      <c r="A2841" s="27"/>
      <c r="B2841">
        <v>1</v>
      </c>
    </row>
    <row r="2842" spans="1:2" x14ac:dyDescent="0.25">
      <c r="A2842" s="26"/>
      <c r="B2842">
        <v>1</v>
      </c>
    </row>
    <row r="2843" spans="1:2" x14ac:dyDescent="0.25">
      <c r="A2843" s="27"/>
      <c r="B2843">
        <v>1</v>
      </c>
    </row>
    <row r="2844" spans="1:2" x14ac:dyDescent="0.25">
      <c r="A2844" s="26"/>
      <c r="B2844">
        <v>1</v>
      </c>
    </row>
    <row r="2845" spans="1:2" x14ac:dyDescent="0.25">
      <c r="A2845" s="27"/>
      <c r="B2845">
        <v>1</v>
      </c>
    </row>
    <row r="2846" spans="1:2" x14ac:dyDescent="0.25">
      <c r="A2846" s="26"/>
      <c r="B2846">
        <v>1</v>
      </c>
    </row>
    <row r="2847" spans="1:2" x14ac:dyDescent="0.25">
      <c r="A2847" s="27"/>
      <c r="B2847">
        <v>1</v>
      </c>
    </row>
    <row r="2848" spans="1:2" x14ac:dyDescent="0.25">
      <c r="A2848" s="26"/>
      <c r="B2848">
        <v>1</v>
      </c>
    </row>
    <row r="2849" spans="1:2" x14ac:dyDescent="0.25">
      <c r="A2849" s="27"/>
      <c r="B2849">
        <v>1</v>
      </c>
    </row>
    <row r="2850" spans="1:2" x14ac:dyDescent="0.25">
      <c r="A2850" s="26"/>
      <c r="B2850">
        <v>1</v>
      </c>
    </row>
    <row r="2851" spans="1:2" x14ac:dyDescent="0.25">
      <c r="A2851" s="27"/>
      <c r="B2851">
        <v>1</v>
      </c>
    </row>
    <row r="2852" spans="1:2" x14ac:dyDescent="0.25">
      <c r="A2852" s="26"/>
      <c r="B2852">
        <v>1</v>
      </c>
    </row>
    <row r="2853" spans="1:2" x14ac:dyDescent="0.25">
      <c r="A2853" s="27"/>
      <c r="B2853">
        <v>1</v>
      </c>
    </row>
    <row r="2854" spans="1:2" x14ac:dyDescent="0.25">
      <c r="A2854" s="26"/>
      <c r="B2854">
        <v>1</v>
      </c>
    </row>
    <row r="2855" spans="1:2" x14ac:dyDescent="0.25">
      <c r="A2855" s="27"/>
      <c r="B2855">
        <v>1</v>
      </c>
    </row>
    <row r="2856" spans="1:2" x14ac:dyDescent="0.25">
      <c r="A2856" s="26"/>
      <c r="B2856">
        <v>1</v>
      </c>
    </row>
    <row r="2857" spans="1:2" x14ac:dyDescent="0.25">
      <c r="A2857" s="27"/>
      <c r="B2857">
        <v>1</v>
      </c>
    </row>
    <row r="2858" spans="1:2" x14ac:dyDescent="0.25">
      <c r="A2858" s="26"/>
      <c r="B2858">
        <v>1</v>
      </c>
    </row>
    <row r="2859" spans="1:2" x14ac:dyDescent="0.25">
      <c r="A2859" s="27"/>
      <c r="B2859">
        <v>1</v>
      </c>
    </row>
    <row r="2860" spans="1:2" x14ac:dyDescent="0.25">
      <c r="A2860" s="26"/>
      <c r="B2860">
        <v>1</v>
      </c>
    </row>
    <row r="2861" spans="1:2" x14ac:dyDescent="0.25">
      <c r="A2861" s="27"/>
      <c r="B2861">
        <v>1</v>
      </c>
    </row>
    <row r="2862" spans="1:2" x14ac:dyDescent="0.25">
      <c r="A2862" s="26"/>
      <c r="B2862">
        <v>1</v>
      </c>
    </row>
    <row r="2863" spans="1:2" x14ac:dyDescent="0.25">
      <c r="A2863" s="27"/>
      <c r="B2863">
        <v>1</v>
      </c>
    </row>
    <row r="2864" spans="1:2" x14ac:dyDescent="0.25">
      <c r="A2864" s="26"/>
      <c r="B2864">
        <v>1</v>
      </c>
    </row>
    <row r="2865" spans="1:2" x14ac:dyDescent="0.25">
      <c r="A2865" s="27"/>
      <c r="B2865">
        <v>1</v>
      </c>
    </row>
    <row r="2866" spans="1:2" x14ac:dyDescent="0.25">
      <c r="A2866" s="26"/>
      <c r="B2866">
        <v>1</v>
      </c>
    </row>
    <row r="2867" spans="1:2" x14ac:dyDescent="0.25">
      <c r="A2867" s="27"/>
      <c r="B2867">
        <v>1</v>
      </c>
    </row>
    <row r="2868" spans="1:2" x14ac:dyDescent="0.25">
      <c r="A2868" s="26"/>
      <c r="B2868">
        <v>1</v>
      </c>
    </row>
    <row r="2869" spans="1:2" x14ac:dyDescent="0.25">
      <c r="A2869" s="27"/>
      <c r="B2869">
        <v>1</v>
      </c>
    </row>
    <row r="2870" spans="1:2" x14ac:dyDescent="0.25">
      <c r="A2870" s="26"/>
      <c r="B2870">
        <v>1</v>
      </c>
    </row>
    <row r="2871" spans="1:2" x14ac:dyDescent="0.25">
      <c r="A2871" s="27"/>
      <c r="B2871">
        <v>1</v>
      </c>
    </row>
    <row r="2872" spans="1:2" x14ac:dyDescent="0.25">
      <c r="A2872" s="26"/>
      <c r="B2872">
        <v>1</v>
      </c>
    </row>
    <row r="2873" spans="1:2" x14ac:dyDescent="0.25">
      <c r="A2873" s="27"/>
      <c r="B2873">
        <v>1</v>
      </c>
    </row>
    <row r="2874" spans="1:2" x14ac:dyDescent="0.25">
      <c r="A2874" s="26"/>
      <c r="B2874">
        <v>1</v>
      </c>
    </row>
    <row r="2875" spans="1:2" x14ac:dyDescent="0.25">
      <c r="A2875" s="27"/>
      <c r="B2875">
        <v>1</v>
      </c>
    </row>
    <row r="2876" spans="1:2" x14ac:dyDescent="0.25">
      <c r="A2876" s="26"/>
      <c r="B2876">
        <v>1</v>
      </c>
    </row>
    <row r="2877" spans="1:2" x14ac:dyDescent="0.25">
      <c r="A2877" s="27"/>
      <c r="B2877">
        <v>1</v>
      </c>
    </row>
    <row r="2878" spans="1:2" x14ac:dyDescent="0.25">
      <c r="A2878" s="26"/>
      <c r="B2878">
        <v>1</v>
      </c>
    </row>
    <row r="2879" spans="1:2" x14ac:dyDescent="0.25">
      <c r="A2879" s="27"/>
      <c r="B2879">
        <v>1</v>
      </c>
    </row>
    <row r="2880" spans="1:2" x14ac:dyDescent="0.25">
      <c r="A2880" s="26"/>
      <c r="B2880">
        <v>1</v>
      </c>
    </row>
    <row r="2881" spans="1:2" x14ac:dyDescent="0.25">
      <c r="A2881" s="27"/>
      <c r="B2881">
        <v>1</v>
      </c>
    </row>
    <row r="2882" spans="1:2" x14ac:dyDescent="0.25">
      <c r="A2882" s="26"/>
      <c r="B2882">
        <v>1</v>
      </c>
    </row>
    <row r="2883" spans="1:2" x14ac:dyDescent="0.25">
      <c r="A2883" s="27"/>
      <c r="B2883">
        <v>1</v>
      </c>
    </row>
    <row r="2884" spans="1:2" x14ac:dyDescent="0.25">
      <c r="A2884" s="26"/>
      <c r="B2884">
        <v>1</v>
      </c>
    </row>
    <row r="2885" spans="1:2" x14ac:dyDescent="0.25">
      <c r="A2885" s="27"/>
      <c r="B2885">
        <v>1</v>
      </c>
    </row>
    <row r="2886" spans="1:2" x14ac:dyDescent="0.25">
      <c r="A2886" s="26"/>
      <c r="B2886">
        <v>1</v>
      </c>
    </row>
    <row r="2887" spans="1:2" x14ac:dyDescent="0.25">
      <c r="A2887" s="27"/>
      <c r="B2887">
        <v>1</v>
      </c>
    </row>
    <row r="2888" spans="1:2" x14ac:dyDescent="0.25">
      <c r="A2888" s="26"/>
      <c r="B2888">
        <v>1</v>
      </c>
    </row>
    <row r="2889" spans="1:2" x14ac:dyDescent="0.25">
      <c r="A2889" s="27"/>
      <c r="B2889">
        <v>1</v>
      </c>
    </row>
    <row r="2890" spans="1:2" x14ac:dyDescent="0.25">
      <c r="A2890" s="26"/>
      <c r="B2890">
        <v>1</v>
      </c>
    </row>
    <row r="2891" spans="1:2" x14ac:dyDescent="0.25">
      <c r="A2891" s="27"/>
      <c r="B2891">
        <v>1</v>
      </c>
    </row>
    <row r="2892" spans="1:2" x14ac:dyDescent="0.25">
      <c r="A2892" s="26"/>
      <c r="B2892">
        <v>1</v>
      </c>
    </row>
    <row r="2893" spans="1:2" x14ac:dyDescent="0.25">
      <c r="A2893" s="27"/>
      <c r="B2893">
        <v>1</v>
      </c>
    </row>
    <row r="2894" spans="1:2" x14ac:dyDescent="0.25">
      <c r="A2894" s="26"/>
      <c r="B2894">
        <v>1</v>
      </c>
    </row>
    <row r="2895" spans="1:2" x14ac:dyDescent="0.25">
      <c r="A2895" s="27"/>
      <c r="B2895">
        <v>1</v>
      </c>
    </row>
    <row r="2896" spans="1:2" x14ac:dyDescent="0.25">
      <c r="A2896" s="26"/>
      <c r="B2896">
        <v>1</v>
      </c>
    </row>
    <row r="2897" spans="1:2" x14ac:dyDescent="0.25">
      <c r="A2897" s="27"/>
      <c r="B2897">
        <v>1</v>
      </c>
    </row>
    <row r="2898" spans="1:2" x14ac:dyDescent="0.25">
      <c r="A2898" s="26"/>
      <c r="B2898">
        <v>1</v>
      </c>
    </row>
    <row r="2899" spans="1:2" x14ac:dyDescent="0.25">
      <c r="A2899" s="27"/>
      <c r="B2899">
        <v>1</v>
      </c>
    </row>
    <row r="2900" spans="1:2" x14ac:dyDescent="0.25">
      <c r="A2900" s="26"/>
      <c r="B2900">
        <v>1</v>
      </c>
    </row>
    <row r="2901" spans="1:2" x14ac:dyDescent="0.25">
      <c r="A2901" s="27"/>
      <c r="B2901">
        <v>1</v>
      </c>
    </row>
    <row r="2902" spans="1:2" x14ac:dyDescent="0.25">
      <c r="A2902" s="26"/>
      <c r="B2902">
        <v>1</v>
      </c>
    </row>
    <row r="2903" spans="1:2" x14ac:dyDescent="0.25">
      <c r="A2903" s="27"/>
      <c r="B2903">
        <v>1</v>
      </c>
    </row>
    <row r="2904" spans="1:2" x14ac:dyDescent="0.25">
      <c r="A2904" s="26"/>
      <c r="B2904">
        <v>1</v>
      </c>
    </row>
    <row r="2905" spans="1:2" x14ac:dyDescent="0.25">
      <c r="A2905" s="27"/>
      <c r="B2905">
        <v>1</v>
      </c>
    </row>
    <row r="2906" spans="1:2" x14ac:dyDescent="0.25">
      <c r="A2906" s="26"/>
      <c r="B2906">
        <v>1</v>
      </c>
    </row>
    <row r="2907" spans="1:2" x14ac:dyDescent="0.25">
      <c r="A2907" s="27"/>
      <c r="B2907">
        <v>1</v>
      </c>
    </row>
    <row r="2908" spans="1:2" x14ac:dyDescent="0.25">
      <c r="A2908" s="26"/>
      <c r="B2908">
        <v>1</v>
      </c>
    </row>
    <row r="2909" spans="1:2" x14ac:dyDescent="0.25">
      <c r="A2909" s="27"/>
      <c r="B2909">
        <v>1</v>
      </c>
    </row>
    <row r="2910" spans="1:2" x14ac:dyDescent="0.25">
      <c r="A2910" s="26"/>
      <c r="B2910">
        <v>1</v>
      </c>
    </row>
    <row r="2911" spans="1:2" x14ac:dyDescent="0.25">
      <c r="A2911" s="27"/>
      <c r="B2911">
        <v>1</v>
      </c>
    </row>
    <row r="2912" spans="1:2" x14ac:dyDescent="0.25">
      <c r="A2912" s="26"/>
      <c r="B2912">
        <v>1</v>
      </c>
    </row>
    <row r="2913" spans="1:2" x14ac:dyDescent="0.25">
      <c r="A2913" s="27"/>
      <c r="B2913">
        <v>1</v>
      </c>
    </row>
    <row r="2914" spans="1:2" x14ac:dyDescent="0.25">
      <c r="A2914" s="26"/>
      <c r="B2914">
        <v>1</v>
      </c>
    </row>
    <row r="2915" spans="1:2" x14ac:dyDescent="0.25">
      <c r="A2915" s="27"/>
      <c r="B2915">
        <v>1</v>
      </c>
    </row>
    <row r="2916" spans="1:2" x14ac:dyDescent="0.25">
      <c r="A2916" s="26"/>
      <c r="B2916">
        <v>1</v>
      </c>
    </row>
    <row r="2917" spans="1:2" x14ac:dyDescent="0.25">
      <c r="A2917" s="27"/>
      <c r="B2917">
        <v>1</v>
      </c>
    </row>
    <row r="2918" spans="1:2" x14ac:dyDescent="0.25">
      <c r="A2918" s="26"/>
      <c r="B2918">
        <v>1</v>
      </c>
    </row>
    <row r="2919" spans="1:2" x14ac:dyDescent="0.25">
      <c r="A2919" s="27"/>
      <c r="B2919">
        <v>1</v>
      </c>
    </row>
    <row r="2920" spans="1:2" x14ac:dyDescent="0.25">
      <c r="A2920" s="26"/>
      <c r="B2920">
        <v>1</v>
      </c>
    </row>
    <row r="2921" spans="1:2" x14ac:dyDescent="0.25">
      <c r="A2921" s="27"/>
      <c r="B2921">
        <v>1</v>
      </c>
    </row>
    <row r="2922" spans="1:2" x14ac:dyDescent="0.25">
      <c r="A2922" s="26"/>
      <c r="B2922">
        <v>1</v>
      </c>
    </row>
    <row r="2923" spans="1:2" x14ac:dyDescent="0.25">
      <c r="A2923" s="27"/>
      <c r="B2923">
        <v>1</v>
      </c>
    </row>
    <row r="2924" spans="1:2" x14ac:dyDescent="0.25">
      <c r="A2924" s="26"/>
      <c r="B2924">
        <v>1</v>
      </c>
    </row>
    <row r="2925" spans="1:2" x14ac:dyDescent="0.25">
      <c r="A2925" s="27"/>
      <c r="B2925">
        <v>1</v>
      </c>
    </row>
    <row r="2926" spans="1:2" x14ac:dyDescent="0.25">
      <c r="A2926" s="26"/>
      <c r="B2926">
        <v>1</v>
      </c>
    </row>
    <row r="2927" spans="1:2" x14ac:dyDescent="0.25">
      <c r="A2927" s="27"/>
      <c r="B2927">
        <v>1</v>
      </c>
    </row>
    <row r="2928" spans="1:2" x14ac:dyDescent="0.25">
      <c r="A2928" s="26"/>
      <c r="B2928">
        <v>1</v>
      </c>
    </row>
    <row r="2929" spans="1:2" x14ac:dyDescent="0.25">
      <c r="A2929" s="27"/>
      <c r="B2929">
        <v>1</v>
      </c>
    </row>
    <row r="2930" spans="1:2" x14ac:dyDescent="0.25">
      <c r="A2930" s="26"/>
      <c r="B2930">
        <v>1</v>
      </c>
    </row>
    <row r="2931" spans="1:2" x14ac:dyDescent="0.25">
      <c r="A2931" s="27"/>
      <c r="B2931">
        <v>1</v>
      </c>
    </row>
    <row r="2932" spans="1:2" x14ac:dyDescent="0.25">
      <c r="A2932" s="26"/>
      <c r="B2932">
        <v>1</v>
      </c>
    </row>
    <row r="2933" spans="1:2" x14ac:dyDescent="0.25">
      <c r="A2933" s="27"/>
      <c r="B2933">
        <v>1</v>
      </c>
    </row>
    <row r="2934" spans="1:2" x14ac:dyDescent="0.25">
      <c r="A2934" s="26"/>
      <c r="B2934">
        <v>1</v>
      </c>
    </row>
    <row r="2935" spans="1:2" x14ac:dyDescent="0.25">
      <c r="A2935" s="27"/>
      <c r="B2935">
        <v>1</v>
      </c>
    </row>
    <row r="2936" spans="1:2" x14ac:dyDescent="0.25">
      <c r="A2936" s="26"/>
      <c r="B2936">
        <v>1</v>
      </c>
    </row>
    <row r="2937" spans="1:2" x14ac:dyDescent="0.25">
      <c r="A2937" s="27"/>
      <c r="B2937">
        <v>1</v>
      </c>
    </row>
    <row r="2938" spans="1:2" x14ac:dyDescent="0.25">
      <c r="A2938" s="26"/>
      <c r="B2938">
        <v>1</v>
      </c>
    </row>
    <row r="2939" spans="1:2" x14ac:dyDescent="0.25">
      <c r="A2939" s="27"/>
      <c r="B2939">
        <v>1</v>
      </c>
    </row>
    <row r="2940" spans="1:2" x14ac:dyDescent="0.25">
      <c r="A2940" s="26"/>
      <c r="B2940">
        <v>1</v>
      </c>
    </row>
    <row r="2941" spans="1:2" x14ac:dyDescent="0.25">
      <c r="A2941" s="27"/>
      <c r="B2941">
        <v>1</v>
      </c>
    </row>
    <row r="2942" spans="1:2" x14ac:dyDescent="0.25">
      <c r="A2942" s="26"/>
      <c r="B2942">
        <v>1</v>
      </c>
    </row>
    <row r="2943" spans="1:2" x14ac:dyDescent="0.25">
      <c r="A2943" s="27"/>
      <c r="B2943">
        <v>1</v>
      </c>
    </row>
    <row r="2944" spans="1:2" x14ac:dyDescent="0.25">
      <c r="A2944" s="26"/>
      <c r="B2944">
        <v>1</v>
      </c>
    </row>
    <row r="2945" spans="1:2" x14ac:dyDescent="0.25">
      <c r="A2945" s="27"/>
      <c r="B2945">
        <v>1</v>
      </c>
    </row>
    <row r="2946" spans="1:2" x14ac:dyDescent="0.25">
      <c r="A2946" s="26"/>
      <c r="B2946">
        <v>1</v>
      </c>
    </row>
    <row r="2947" spans="1:2" x14ac:dyDescent="0.25">
      <c r="A2947" s="27"/>
      <c r="B2947">
        <v>1</v>
      </c>
    </row>
    <row r="2948" spans="1:2" x14ac:dyDescent="0.25">
      <c r="A2948" s="26"/>
      <c r="B2948">
        <v>1</v>
      </c>
    </row>
    <row r="2949" spans="1:2" x14ac:dyDescent="0.25">
      <c r="A2949" s="27"/>
      <c r="B2949">
        <v>1</v>
      </c>
    </row>
    <row r="2950" spans="1:2" x14ac:dyDescent="0.25">
      <c r="A2950" s="26"/>
      <c r="B2950">
        <v>1</v>
      </c>
    </row>
    <row r="2951" spans="1:2" x14ac:dyDescent="0.25">
      <c r="A2951" s="27"/>
      <c r="B2951">
        <v>1</v>
      </c>
    </row>
    <row r="2952" spans="1:2" x14ac:dyDescent="0.25">
      <c r="A2952" s="26"/>
      <c r="B2952">
        <v>1</v>
      </c>
    </row>
    <row r="2953" spans="1:2" x14ac:dyDescent="0.25">
      <c r="A2953" s="27"/>
      <c r="B2953">
        <v>1</v>
      </c>
    </row>
    <row r="2954" spans="1:2" x14ac:dyDescent="0.25">
      <c r="A2954" s="26"/>
      <c r="B2954">
        <v>1</v>
      </c>
    </row>
    <row r="2955" spans="1:2" x14ac:dyDescent="0.25">
      <c r="A2955" s="27"/>
      <c r="B2955">
        <v>1</v>
      </c>
    </row>
    <row r="2956" spans="1:2" x14ac:dyDescent="0.25">
      <c r="A2956" s="26"/>
      <c r="B2956">
        <v>1</v>
      </c>
    </row>
    <row r="2957" spans="1:2" x14ac:dyDescent="0.25">
      <c r="A2957" s="27"/>
      <c r="B2957">
        <v>1</v>
      </c>
    </row>
    <row r="2958" spans="1:2" x14ac:dyDescent="0.25">
      <c r="A2958" s="26"/>
      <c r="B2958">
        <v>1</v>
      </c>
    </row>
    <row r="2959" spans="1:2" x14ac:dyDescent="0.25">
      <c r="A2959" s="27"/>
      <c r="B2959">
        <v>1</v>
      </c>
    </row>
    <row r="2960" spans="1:2" x14ac:dyDescent="0.25">
      <c r="A2960" s="26"/>
      <c r="B2960">
        <v>1</v>
      </c>
    </row>
    <row r="2961" spans="1:2" x14ac:dyDescent="0.25">
      <c r="A2961" s="27"/>
      <c r="B2961">
        <v>1</v>
      </c>
    </row>
    <row r="2962" spans="1:2" x14ac:dyDescent="0.25">
      <c r="A2962" s="26"/>
      <c r="B2962">
        <v>1</v>
      </c>
    </row>
    <row r="2963" spans="1:2" x14ac:dyDescent="0.25">
      <c r="A2963" s="27"/>
      <c r="B2963">
        <v>1</v>
      </c>
    </row>
    <row r="2964" spans="1:2" x14ac:dyDescent="0.25">
      <c r="A2964" s="26"/>
      <c r="B2964">
        <v>1</v>
      </c>
    </row>
    <row r="2965" spans="1:2" x14ac:dyDescent="0.25">
      <c r="A2965" s="27"/>
      <c r="B2965">
        <v>1</v>
      </c>
    </row>
    <row r="2966" spans="1:2" x14ac:dyDescent="0.25">
      <c r="A2966" s="26"/>
      <c r="B2966">
        <v>1</v>
      </c>
    </row>
    <row r="2967" spans="1:2" x14ac:dyDescent="0.25">
      <c r="A2967" s="27"/>
      <c r="B2967">
        <v>1</v>
      </c>
    </row>
    <row r="2968" spans="1:2" x14ac:dyDescent="0.25">
      <c r="A2968" s="26"/>
      <c r="B2968">
        <v>1</v>
      </c>
    </row>
    <row r="2969" spans="1:2" x14ac:dyDescent="0.25">
      <c r="A2969" s="27"/>
      <c r="B2969">
        <v>1</v>
      </c>
    </row>
    <row r="2970" spans="1:2" x14ac:dyDescent="0.25">
      <c r="A2970" s="26"/>
      <c r="B2970">
        <v>1</v>
      </c>
    </row>
    <row r="2971" spans="1:2" x14ac:dyDescent="0.25">
      <c r="A2971" s="27"/>
      <c r="B2971">
        <v>1</v>
      </c>
    </row>
    <row r="2972" spans="1:2" x14ac:dyDescent="0.25">
      <c r="A2972" s="26"/>
      <c r="B2972">
        <v>1</v>
      </c>
    </row>
    <row r="2973" spans="1:2" x14ac:dyDescent="0.25">
      <c r="A2973" s="27"/>
      <c r="B2973">
        <v>1</v>
      </c>
    </row>
    <row r="2974" spans="1:2" x14ac:dyDescent="0.25">
      <c r="A2974" s="26"/>
      <c r="B2974">
        <v>1</v>
      </c>
    </row>
    <row r="2975" spans="1:2" x14ac:dyDescent="0.25">
      <c r="A2975" s="27"/>
      <c r="B2975">
        <v>1</v>
      </c>
    </row>
    <row r="2976" spans="1:2" x14ac:dyDescent="0.25">
      <c r="A2976" s="26"/>
      <c r="B2976">
        <v>1</v>
      </c>
    </row>
    <row r="2977" spans="1:2" x14ac:dyDescent="0.25">
      <c r="A2977" s="27"/>
      <c r="B2977">
        <v>1</v>
      </c>
    </row>
    <row r="2978" spans="1:2" x14ac:dyDescent="0.25">
      <c r="A2978" s="26"/>
      <c r="B2978">
        <v>1</v>
      </c>
    </row>
    <row r="2979" spans="1:2" x14ac:dyDescent="0.25">
      <c r="A2979" s="27"/>
      <c r="B2979">
        <v>1</v>
      </c>
    </row>
    <row r="2980" spans="1:2" x14ac:dyDescent="0.25">
      <c r="A2980" s="26"/>
      <c r="B2980">
        <v>1</v>
      </c>
    </row>
    <row r="2981" spans="1:2" x14ac:dyDescent="0.25">
      <c r="A2981" s="27"/>
      <c r="B2981">
        <v>1</v>
      </c>
    </row>
    <row r="2982" spans="1:2" x14ac:dyDescent="0.25">
      <c r="A2982" s="26"/>
      <c r="B2982">
        <v>1</v>
      </c>
    </row>
    <row r="2983" spans="1:2" x14ac:dyDescent="0.25">
      <c r="A2983" s="27"/>
      <c r="B2983">
        <v>1</v>
      </c>
    </row>
    <row r="2984" spans="1:2" x14ac:dyDescent="0.25">
      <c r="A2984" s="26"/>
      <c r="B2984">
        <v>1</v>
      </c>
    </row>
    <row r="2985" spans="1:2" x14ac:dyDescent="0.25">
      <c r="A2985" s="27"/>
      <c r="B2985">
        <v>1</v>
      </c>
    </row>
    <row r="2986" spans="1:2" x14ac:dyDescent="0.25">
      <c r="A2986" s="26"/>
      <c r="B2986">
        <v>1</v>
      </c>
    </row>
    <row r="2987" spans="1:2" x14ac:dyDescent="0.25">
      <c r="A2987" s="27"/>
      <c r="B2987">
        <v>1</v>
      </c>
    </row>
    <row r="2988" spans="1:2" x14ac:dyDescent="0.25">
      <c r="A2988" s="26"/>
      <c r="B2988">
        <v>1</v>
      </c>
    </row>
    <row r="2989" spans="1:2" x14ac:dyDescent="0.25">
      <c r="A2989" s="27"/>
      <c r="B2989">
        <v>1</v>
      </c>
    </row>
    <row r="2990" spans="1:2" x14ac:dyDescent="0.25">
      <c r="A2990" s="26"/>
      <c r="B2990">
        <v>1</v>
      </c>
    </row>
    <row r="2991" spans="1:2" x14ac:dyDescent="0.25">
      <c r="A2991" s="27"/>
      <c r="B2991">
        <v>1</v>
      </c>
    </row>
    <row r="2992" spans="1:2" x14ac:dyDescent="0.25">
      <c r="A2992" s="26"/>
      <c r="B2992">
        <v>1</v>
      </c>
    </row>
    <row r="2993" spans="1:2" x14ac:dyDescent="0.25">
      <c r="A2993" s="27"/>
      <c r="B2993">
        <v>1</v>
      </c>
    </row>
    <row r="2994" spans="1:2" x14ac:dyDescent="0.25">
      <c r="A2994" s="26"/>
      <c r="B2994">
        <v>1</v>
      </c>
    </row>
    <row r="2995" spans="1:2" x14ac:dyDescent="0.25">
      <c r="A2995" s="27"/>
      <c r="B2995">
        <v>1</v>
      </c>
    </row>
    <row r="2996" spans="1:2" x14ac:dyDescent="0.25">
      <c r="A2996" s="26"/>
      <c r="B2996">
        <v>1</v>
      </c>
    </row>
    <row r="2997" spans="1:2" x14ac:dyDescent="0.25">
      <c r="A2997" s="27"/>
      <c r="B2997">
        <v>1</v>
      </c>
    </row>
    <row r="2998" spans="1:2" x14ac:dyDescent="0.25">
      <c r="A2998" s="26"/>
      <c r="B2998">
        <v>1</v>
      </c>
    </row>
    <row r="2999" spans="1:2" x14ac:dyDescent="0.25">
      <c r="A2999" s="27"/>
      <c r="B2999">
        <v>1</v>
      </c>
    </row>
    <row r="3000" spans="1:2" x14ac:dyDescent="0.25">
      <c r="A3000" s="26"/>
      <c r="B3000">
        <v>1</v>
      </c>
    </row>
    <row r="3001" spans="1:2" x14ac:dyDescent="0.25">
      <c r="A3001" s="27"/>
      <c r="B3001">
        <v>1</v>
      </c>
    </row>
    <row r="3002" spans="1:2" x14ac:dyDescent="0.25">
      <c r="A3002" s="26"/>
      <c r="B3002">
        <v>1</v>
      </c>
    </row>
    <row r="3003" spans="1:2" x14ac:dyDescent="0.25">
      <c r="A3003" s="27"/>
      <c r="B3003">
        <v>1</v>
      </c>
    </row>
    <row r="3004" spans="1:2" x14ac:dyDescent="0.25">
      <c r="A3004" s="26"/>
      <c r="B3004">
        <v>1</v>
      </c>
    </row>
    <row r="3005" spans="1:2" x14ac:dyDescent="0.25">
      <c r="A3005" s="27"/>
      <c r="B3005">
        <v>1</v>
      </c>
    </row>
    <row r="3006" spans="1:2" x14ac:dyDescent="0.25">
      <c r="A3006" s="26"/>
      <c r="B3006">
        <v>1</v>
      </c>
    </row>
    <row r="3007" spans="1:2" x14ac:dyDescent="0.25">
      <c r="A3007" s="27"/>
      <c r="B3007">
        <v>1</v>
      </c>
    </row>
    <row r="3008" spans="1:2" x14ac:dyDescent="0.25">
      <c r="A3008" s="26"/>
      <c r="B3008">
        <v>1</v>
      </c>
    </row>
    <row r="3009" spans="1:2" x14ac:dyDescent="0.25">
      <c r="A3009" s="27"/>
      <c r="B3009">
        <v>1</v>
      </c>
    </row>
    <row r="3010" spans="1:2" x14ac:dyDescent="0.25">
      <c r="A3010" s="26"/>
      <c r="B3010">
        <v>1</v>
      </c>
    </row>
    <row r="3011" spans="1:2" x14ac:dyDescent="0.25">
      <c r="A3011" s="27"/>
      <c r="B3011">
        <v>1</v>
      </c>
    </row>
    <row r="3012" spans="1:2" x14ac:dyDescent="0.25">
      <c r="A3012" s="26"/>
      <c r="B3012">
        <v>1</v>
      </c>
    </row>
    <row r="3013" spans="1:2" x14ac:dyDescent="0.25">
      <c r="A3013" s="27"/>
      <c r="B3013">
        <v>1</v>
      </c>
    </row>
    <row r="3014" spans="1:2" x14ac:dyDescent="0.25">
      <c r="A3014" s="26"/>
      <c r="B3014">
        <v>1</v>
      </c>
    </row>
    <row r="3015" spans="1:2" x14ac:dyDescent="0.25">
      <c r="A3015" s="27"/>
      <c r="B3015">
        <v>1</v>
      </c>
    </row>
    <row r="3016" spans="1:2" x14ac:dyDescent="0.25">
      <c r="A3016" s="26"/>
      <c r="B3016">
        <v>1</v>
      </c>
    </row>
    <row r="3017" spans="1:2" x14ac:dyDescent="0.25">
      <c r="A3017" s="27"/>
      <c r="B3017">
        <v>1</v>
      </c>
    </row>
    <row r="3018" spans="1:2" x14ac:dyDescent="0.25">
      <c r="A3018" s="26"/>
      <c r="B3018">
        <v>1</v>
      </c>
    </row>
    <row r="3019" spans="1:2" x14ac:dyDescent="0.25">
      <c r="A3019" s="27"/>
      <c r="B3019">
        <v>1</v>
      </c>
    </row>
    <row r="3020" spans="1:2" x14ac:dyDescent="0.25">
      <c r="A3020" s="26"/>
      <c r="B3020">
        <v>1</v>
      </c>
    </row>
    <row r="3021" spans="1:2" x14ac:dyDescent="0.25">
      <c r="A3021" s="27"/>
      <c r="B3021">
        <v>1</v>
      </c>
    </row>
    <row r="3022" spans="1:2" x14ac:dyDescent="0.25">
      <c r="A3022" s="26"/>
      <c r="B3022">
        <v>1</v>
      </c>
    </row>
    <row r="3023" spans="1:2" x14ac:dyDescent="0.25">
      <c r="A3023" s="27"/>
      <c r="B3023">
        <v>1</v>
      </c>
    </row>
    <row r="3024" spans="1:2" x14ac:dyDescent="0.25">
      <c r="A3024" s="26"/>
      <c r="B3024">
        <v>1</v>
      </c>
    </row>
    <row r="3025" spans="1:2" x14ac:dyDescent="0.25">
      <c r="A3025" s="27"/>
      <c r="B3025">
        <v>1</v>
      </c>
    </row>
    <row r="3026" spans="1:2" x14ac:dyDescent="0.25">
      <c r="A3026" s="26"/>
      <c r="B3026">
        <v>1</v>
      </c>
    </row>
    <row r="3027" spans="1:2" x14ac:dyDescent="0.25">
      <c r="A3027" s="27"/>
      <c r="B3027">
        <v>1</v>
      </c>
    </row>
    <row r="3028" spans="1:2" x14ac:dyDescent="0.25">
      <c r="A3028" s="26"/>
      <c r="B3028">
        <v>1</v>
      </c>
    </row>
    <row r="3029" spans="1:2" x14ac:dyDescent="0.25">
      <c r="A3029" s="27"/>
      <c r="B3029">
        <v>1</v>
      </c>
    </row>
    <row r="3030" spans="1:2" x14ac:dyDescent="0.25">
      <c r="A3030" s="26"/>
      <c r="B3030">
        <v>1</v>
      </c>
    </row>
    <row r="3031" spans="1:2" x14ac:dyDescent="0.25">
      <c r="A3031" s="27"/>
      <c r="B3031">
        <v>1</v>
      </c>
    </row>
    <row r="3032" spans="1:2" x14ac:dyDescent="0.25">
      <c r="A3032" s="26"/>
      <c r="B3032">
        <v>1</v>
      </c>
    </row>
    <row r="3033" spans="1:2" x14ac:dyDescent="0.25">
      <c r="A3033" s="27"/>
      <c r="B3033">
        <v>1</v>
      </c>
    </row>
    <row r="3034" spans="1:2" x14ac:dyDescent="0.25">
      <c r="A3034" s="26"/>
      <c r="B3034">
        <v>1</v>
      </c>
    </row>
    <row r="3035" spans="1:2" x14ac:dyDescent="0.25">
      <c r="A3035" s="27"/>
      <c r="B3035">
        <v>1</v>
      </c>
    </row>
    <row r="3036" spans="1:2" x14ac:dyDescent="0.25">
      <c r="A3036" s="26"/>
      <c r="B3036">
        <v>1</v>
      </c>
    </row>
    <row r="3037" spans="1:2" x14ac:dyDescent="0.25">
      <c r="A3037" s="27"/>
      <c r="B3037">
        <v>1</v>
      </c>
    </row>
    <row r="3038" spans="1:2" x14ac:dyDescent="0.25">
      <c r="A3038" s="26"/>
      <c r="B3038">
        <v>1</v>
      </c>
    </row>
    <row r="3039" spans="1:2" x14ac:dyDescent="0.25">
      <c r="A3039" s="27"/>
      <c r="B3039">
        <v>1</v>
      </c>
    </row>
    <row r="3040" spans="1:2" x14ac:dyDescent="0.25">
      <c r="A3040" s="26"/>
      <c r="B3040">
        <v>1</v>
      </c>
    </row>
    <row r="3041" spans="1:2" x14ac:dyDescent="0.25">
      <c r="A3041" s="27"/>
      <c r="B3041">
        <v>1</v>
      </c>
    </row>
    <row r="3042" spans="1:2" x14ac:dyDescent="0.25">
      <c r="A3042" s="26"/>
      <c r="B3042">
        <v>1</v>
      </c>
    </row>
    <row r="3043" spans="1:2" x14ac:dyDescent="0.25">
      <c r="A3043" s="27"/>
      <c r="B3043">
        <v>1</v>
      </c>
    </row>
    <row r="3044" spans="1:2" x14ac:dyDescent="0.25">
      <c r="A3044" s="26"/>
      <c r="B3044">
        <v>1</v>
      </c>
    </row>
    <row r="3045" spans="1:2" x14ac:dyDescent="0.25">
      <c r="A3045" s="27"/>
      <c r="B3045">
        <v>1</v>
      </c>
    </row>
    <row r="3046" spans="1:2" x14ac:dyDescent="0.25">
      <c r="A3046" s="26"/>
      <c r="B3046">
        <v>1</v>
      </c>
    </row>
    <row r="3047" spans="1:2" x14ac:dyDescent="0.25">
      <c r="A3047" s="27"/>
      <c r="B3047">
        <v>1</v>
      </c>
    </row>
    <row r="3048" spans="1:2" x14ac:dyDescent="0.25">
      <c r="A3048" s="26"/>
      <c r="B3048">
        <v>1</v>
      </c>
    </row>
    <row r="3049" spans="1:2" x14ac:dyDescent="0.25">
      <c r="A3049" s="27"/>
      <c r="B3049">
        <v>1</v>
      </c>
    </row>
    <row r="3050" spans="1:2" x14ac:dyDescent="0.25">
      <c r="A3050" s="26"/>
      <c r="B3050">
        <v>1</v>
      </c>
    </row>
    <row r="3051" spans="1:2" x14ac:dyDescent="0.25">
      <c r="A3051" s="27"/>
      <c r="B3051">
        <v>1</v>
      </c>
    </row>
    <row r="3052" spans="1:2" x14ac:dyDescent="0.25">
      <c r="A3052" s="26"/>
      <c r="B3052">
        <v>1</v>
      </c>
    </row>
    <row r="3053" spans="1:2" x14ac:dyDescent="0.25">
      <c r="A3053" s="27"/>
      <c r="B3053">
        <v>1</v>
      </c>
    </row>
    <row r="3054" spans="1:2" x14ac:dyDescent="0.25">
      <c r="A3054" s="26"/>
      <c r="B3054">
        <v>1</v>
      </c>
    </row>
    <row r="3055" spans="1:2" x14ac:dyDescent="0.25">
      <c r="A3055" s="27"/>
      <c r="B3055">
        <v>1</v>
      </c>
    </row>
    <row r="3056" spans="1:2" x14ac:dyDescent="0.25">
      <c r="A3056" s="26"/>
      <c r="B3056">
        <v>1</v>
      </c>
    </row>
    <row r="3057" spans="1:2" x14ac:dyDescent="0.25">
      <c r="A3057" s="27"/>
      <c r="B3057">
        <v>1</v>
      </c>
    </row>
    <row r="3058" spans="1:2" x14ac:dyDescent="0.25">
      <c r="A3058" s="26"/>
      <c r="B3058">
        <v>1</v>
      </c>
    </row>
    <row r="3059" spans="1:2" x14ac:dyDescent="0.25">
      <c r="A3059" s="27"/>
      <c r="B3059">
        <v>1</v>
      </c>
    </row>
    <row r="3060" spans="1:2" x14ac:dyDescent="0.25">
      <c r="A3060" s="26"/>
      <c r="B3060">
        <v>1</v>
      </c>
    </row>
    <row r="3061" spans="1:2" x14ac:dyDescent="0.25">
      <c r="A3061" s="27"/>
      <c r="B3061">
        <v>1</v>
      </c>
    </row>
    <row r="3062" spans="1:2" x14ac:dyDescent="0.25">
      <c r="A3062" s="26"/>
      <c r="B3062">
        <v>1</v>
      </c>
    </row>
    <row r="3063" spans="1:2" x14ac:dyDescent="0.25">
      <c r="A3063" s="27"/>
      <c r="B3063">
        <v>1</v>
      </c>
    </row>
    <row r="3064" spans="1:2" x14ac:dyDescent="0.25">
      <c r="A3064" s="26"/>
      <c r="B3064">
        <v>1</v>
      </c>
    </row>
    <row r="3065" spans="1:2" x14ac:dyDescent="0.25">
      <c r="A3065" s="27"/>
      <c r="B3065">
        <v>1</v>
      </c>
    </row>
    <row r="3066" spans="1:2" x14ac:dyDescent="0.25">
      <c r="A3066" s="26"/>
      <c r="B3066">
        <v>1</v>
      </c>
    </row>
    <row r="3067" spans="1:2" x14ac:dyDescent="0.25">
      <c r="A3067" s="27"/>
      <c r="B3067">
        <v>1</v>
      </c>
    </row>
    <row r="3068" spans="1:2" x14ac:dyDescent="0.25">
      <c r="A3068" s="26"/>
      <c r="B3068">
        <v>1</v>
      </c>
    </row>
    <row r="3069" spans="1:2" x14ac:dyDescent="0.25">
      <c r="A3069" s="27"/>
      <c r="B3069">
        <v>1</v>
      </c>
    </row>
    <row r="3070" spans="1:2" x14ac:dyDescent="0.25">
      <c r="A3070" s="26"/>
      <c r="B3070">
        <v>1</v>
      </c>
    </row>
    <row r="3071" spans="1:2" x14ac:dyDescent="0.25">
      <c r="A3071" s="27"/>
      <c r="B3071">
        <v>1</v>
      </c>
    </row>
    <row r="3072" spans="1:2" x14ac:dyDescent="0.25">
      <c r="A3072" s="26"/>
      <c r="B3072">
        <v>1</v>
      </c>
    </row>
    <row r="3073" spans="1:2" x14ac:dyDescent="0.25">
      <c r="A3073" s="27"/>
      <c r="B3073">
        <v>1</v>
      </c>
    </row>
    <row r="3074" spans="1:2" x14ac:dyDescent="0.25">
      <c r="A3074" s="26"/>
      <c r="B3074">
        <v>1</v>
      </c>
    </row>
    <row r="3075" spans="1:2" x14ac:dyDescent="0.25">
      <c r="A3075" s="27"/>
      <c r="B3075">
        <v>1</v>
      </c>
    </row>
    <row r="3076" spans="1:2" x14ac:dyDescent="0.25">
      <c r="A3076" s="26"/>
      <c r="B3076">
        <v>1</v>
      </c>
    </row>
    <row r="3077" spans="1:2" x14ac:dyDescent="0.25">
      <c r="A3077" s="27"/>
      <c r="B3077">
        <v>1</v>
      </c>
    </row>
    <row r="3078" spans="1:2" x14ac:dyDescent="0.25">
      <c r="A3078" s="26"/>
      <c r="B3078">
        <v>1</v>
      </c>
    </row>
    <row r="3079" spans="1:2" x14ac:dyDescent="0.25">
      <c r="A3079" s="27"/>
      <c r="B3079">
        <v>1</v>
      </c>
    </row>
    <row r="3080" spans="1:2" x14ac:dyDescent="0.25">
      <c r="A3080" s="26"/>
      <c r="B3080">
        <v>1</v>
      </c>
    </row>
    <row r="3081" spans="1:2" x14ac:dyDescent="0.25">
      <c r="A3081" s="27"/>
      <c r="B3081">
        <v>1</v>
      </c>
    </row>
    <row r="3082" spans="1:2" x14ac:dyDescent="0.25">
      <c r="A3082" s="26"/>
      <c r="B3082">
        <v>1</v>
      </c>
    </row>
    <row r="3083" spans="1:2" x14ac:dyDescent="0.25">
      <c r="A3083" s="27"/>
      <c r="B3083">
        <v>1</v>
      </c>
    </row>
    <row r="3084" spans="1:2" x14ac:dyDescent="0.25">
      <c r="A3084" s="26"/>
      <c r="B3084">
        <v>1</v>
      </c>
    </row>
    <row r="3085" spans="1:2" x14ac:dyDescent="0.25">
      <c r="A3085" s="27"/>
      <c r="B3085">
        <v>1</v>
      </c>
    </row>
    <row r="3086" spans="1:2" x14ac:dyDescent="0.25">
      <c r="A3086" s="26"/>
      <c r="B3086">
        <v>1</v>
      </c>
    </row>
    <row r="3087" spans="1:2" x14ac:dyDescent="0.25">
      <c r="A3087" s="27"/>
      <c r="B3087">
        <v>1</v>
      </c>
    </row>
    <row r="3088" spans="1:2" x14ac:dyDescent="0.25">
      <c r="A3088" s="26"/>
      <c r="B3088">
        <v>1</v>
      </c>
    </row>
    <row r="3089" spans="1:2" x14ac:dyDescent="0.25">
      <c r="A3089" s="27"/>
      <c r="B3089">
        <v>1</v>
      </c>
    </row>
    <row r="3090" spans="1:2" x14ac:dyDescent="0.25">
      <c r="A3090" s="26"/>
      <c r="B3090">
        <v>1</v>
      </c>
    </row>
    <row r="3091" spans="1:2" x14ac:dyDescent="0.25">
      <c r="A3091" s="27"/>
      <c r="B3091">
        <v>1</v>
      </c>
    </row>
    <row r="3092" spans="1:2" x14ac:dyDescent="0.25">
      <c r="A3092" s="26"/>
      <c r="B3092">
        <v>1</v>
      </c>
    </row>
    <row r="3093" spans="1:2" x14ac:dyDescent="0.25">
      <c r="A3093" s="27"/>
      <c r="B3093">
        <v>1</v>
      </c>
    </row>
    <row r="3094" spans="1:2" x14ac:dyDescent="0.25">
      <c r="A3094" s="26"/>
      <c r="B3094">
        <v>1</v>
      </c>
    </row>
    <row r="3095" spans="1:2" x14ac:dyDescent="0.25">
      <c r="A3095" s="27"/>
      <c r="B3095">
        <v>1</v>
      </c>
    </row>
    <row r="3096" spans="1:2" x14ac:dyDescent="0.25">
      <c r="A3096" s="26"/>
      <c r="B3096">
        <v>1</v>
      </c>
    </row>
    <row r="3097" spans="1:2" x14ac:dyDescent="0.25">
      <c r="A3097" s="27"/>
      <c r="B3097">
        <v>1</v>
      </c>
    </row>
    <row r="3098" spans="1:2" x14ac:dyDescent="0.25">
      <c r="A3098" s="26"/>
      <c r="B3098">
        <v>1</v>
      </c>
    </row>
    <row r="3099" spans="1:2" x14ac:dyDescent="0.25">
      <c r="A3099" s="27"/>
      <c r="B3099">
        <v>1</v>
      </c>
    </row>
    <row r="3100" spans="1:2" x14ac:dyDescent="0.25">
      <c r="A3100" s="26"/>
      <c r="B3100">
        <v>1</v>
      </c>
    </row>
    <row r="3101" spans="1:2" x14ac:dyDescent="0.25">
      <c r="A3101" s="27"/>
      <c r="B3101">
        <v>1</v>
      </c>
    </row>
    <row r="3102" spans="1:2" x14ac:dyDescent="0.25">
      <c r="A3102" s="26"/>
      <c r="B3102">
        <v>1</v>
      </c>
    </row>
    <row r="3103" spans="1:2" x14ac:dyDescent="0.25">
      <c r="A3103" s="27"/>
      <c r="B3103">
        <v>1</v>
      </c>
    </row>
    <row r="3104" spans="1:2" x14ac:dyDescent="0.25">
      <c r="A3104" s="26"/>
      <c r="B3104">
        <v>1</v>
      </c>
    </row>
    <row r="3105" spans="1:2" x14ac:dyDescent="0.25">
      <c r="A3105" s="27"/>
      <c r="B3105">
        <v>1</v>
      </c>
    </row>
    <row r="3106" spans="1:2" x14ac:dyDescent="0.25">
      <c r="A3106" s="26"/>
      <c r="B3106">
        <v>1</v>
      </c>
    </row>
    <row r="3107" spans="1:2" x14ac:dyDescent="0.25">
      <c r="A3107" s="27"/>
      <c r="B3107">
        <v>1</v>
      </c>
    </row>
    <row r="3108" spans="1:2" x14ac:dyDescent="0.25">
      <c r="A3108" s="26"/>
      <c r="B3108">
        <v>1</v>
      </c>
    </row>
    <row r="3109" spans="1:2" x14ac:dyDescent="0.25">
      <c r="A3109" s="27"/>
      <c r="B3109">
        <v>1</v>
      </c>
    </row>
    <row r="3110" spans="1:2" x14ac:dyDescent="0.25">
      <c r="A3110" s="26"/>
      <c r="B3110">
        <v>1</v>
      </c>
    </row>
    <row r="3111" spans="1:2" x14ac:dyDescent="0.25">
      <c r="A3111" s="27"/>
      <c r="B3111">
        <v>1</v>
      </c>
    </row>
    <row r="3112" spans="1:2" x14ac:dyDescent="0.25">
      <c r="A3112" s="26"/>
      <c r="B3112">
        <v>1</v>
      </c>
    </row>
    <row r="3113" spans="1:2" x14ac:dyDescent="0.25">
      <c r="A3113" s="27"/>
      <c r="B3113">
        <v>1</v>
      </c>
    </row>
    <row r="3114" spans="1:2" x14ac:dyDescent="0.25">
      <c r="A3114" s="26"/>
      <c r="B3114">
        <v>1</v>
      </c>
    </row>
    <row r="3115" spans="1:2" x14ac:dyDescent="0.25">
      <c r="A3115" s="27"/>
      <c r="B3115">
        <v>1</v>
      </c>
    </row>
    <row r="3116" spans="1:2" x14ac:dyDescent="0.25">
      <c r="A3116" s="26"/>
      <c r="B3116">
        <v>1</v>
      </c>
    </row>
    <row r="3117" spans="1:2" x14ac:dyDescent="0.25">
      <c r="A3117" s="27"/>
      <c r="B3117">
        <v>1</v>
      </c>
    </row>
    <row r="3118" spans="1:2" x14ac:dyDescent="0.25">
      <c r="A3118" s="26"/>
      <c r="B3118">
        <v>1</v>
      </c>
    </row>
    <row r="3119" spans="1:2" x14ac:dyDescent="0.25">
      <c r="A3119" s="27"/>
      <c r="B3119">
        <v>1</v>
      </c>
    </row>
    <row r="3120" spans="1:2" x14ac:dyDescent="0.25">
      <c r="A3120" s="26"/>
      <c r="B3120">
        <v>1</v>
      </c>
    </row>
    <row r="3121" spans="1:2" x14ac:dyDescent="0.25">
      <c r="A3121" s="27"/>
      <c r="B3121">
        <v>1</v>
      </c>
    </row>
    <row r="3122" spans="1:2" x14ac:dyDescent="0.25">
      <c r="A3122" s="26"/>
      <c r="B3122">
        <v>1</v>
      </c>
    </row>
    <row r="3123" spans="1:2" x14ac:dyDescent="0.25">
      <c r="A3123" s="27"/>
      <c r="B3123">
        <v>1</v>
      </c>
    </row>
    <row r="3124" spans="1:2" x14ac:dyDescent="0.25">
      <c r="A3124" s="26"/>
      <c r="B3124">
        <v>1</v>
      </c>
    </row>
    <row r="3125" spans="1:2" x14ac:dyDescent="0.25">
      <c r="A3125" s="27"/>
      <c r="B3125">
        <v>1</v>
      </c>
    </row>
    <row r="3126" spans="1:2" x14ac:dyDescent="0.25">
      <c r="A3126" s="26"/>
      <c r="B3126">
        <v>1</v>
      </c>
    </row>
    <row r="3127" spans="1:2" x14ac:dyDescent="0.25">
      <c r="A3127" s="27"/>
      <c r="B3127">
        <v>1</v>
      </c>
    </row>
    <row r="3128" spans="1:2" x14ac:dyDescent="0.25">
      <c r="A3128" s="26"/>
      <c r="B3128">
        <v>1</v>
      </c>
    </row>
    <row r="3129" spans="1:2" x14ac:dyDescent="0.25">
      <c r="A3129" s="27"/>
      <c r="B3129">
        <v>1</v>
      </c>
    </row>
    <row r="3130" spans="1:2" x14ac:dyDescent="0.25">
      <c r="A3130" s="26"/>
      <c r="B3130">
        <v>1</v>
      </c>
    </row>
    <row r="3131" spans="1:2" x14ac:dyDescent="0.25">
      <c r="A3131" s="27"/>
      <c r="B3131">
        <v>1</v>
      </c>
    </row>
    <row r="3132" spans="1:2" x14ac:dyDescent="0.25">
      <c r="A3132" s="26"/>
      <c r="B3132">
        <v>1</v>
      </c>
    </row>
    <row r="3133" spans="1:2" x14ac:dyDescent="0.25">
      <c r="A3133" s="27"/>
      <c r="B3133">
        <v>1</v>
      </c>
    </row>
    <row r="3134" spans="1:2" x14ac:dyDescent="0.25">
      <c r="A3134" s="26"/>
      <c r="B3134">
        <v>1</v>
      </c>
    </row>
    <row r="3135" spans="1:2" x14ac:dyDescent="0.25">
      <c r="A3135" s="27"/>
      <c r="B3135">
        <v>1</v>
      </c>
    </row>
    <row r="3136" spans="1:2" x14ac:dyDescent="0.25">
      <c r="A3136" s="26"/>
      <c r="B3136">
        <v>1</v>
      </c>
    </row>
    <row r="3137" spans="1:2" x14ac:dyDescent="0.25">
      <c r="A3137" s="27"/>
      <c r="B3137">
        <v>1</v>
      </c>
    </row>
    <row r="3138" spans="1:2" x14ac:dyDescent="0.25">
      <c r="A3138" s="26"/>
      <c r="B3138">
        <v>1</v>
      </c>
    </row>
    <row r="3139" spans="1:2" x14ac:dyDescent="0.25">
      <c r="A3139" s="27"/>
      <c r="B3139">
        <v>1</v>
      </c>
    </row>
    <row r="3140" spans="1:2" x14ac:dyDescent="0.25">
      <c r="A3140" s="26"/>
      <c r="B3140">
        <v>1</v>
      </c>
    </row>
    <row r="3141" spans="1:2" x14ac:dyDescent="0.25">
      <c r="A3141" s="27"/>
      <c r="B3141">
        <v>1</v>
      </c>
    </row>
    <row r="3142" spans="1:2" x14ac:dyDescent="0.25">
      <c r="A3142" s="26"/>
      <c r="B3142">
        <v>1</v>
      </c>
    </row>
    <row r="3143" spans="1:2" x14ac:dyDescent="0.25">
      <c r="A3143" s="27"/>
      <c r="B3143">
        <v>1</v>
      </c>
    </row>
    <row r="3144" spans="1:2" x14ac:dyDescent="0.25">
      <c r="A3144" s="26"/>
      <c r="B3144">
        <v>1</v>
      </c>
    </row>
    <row r="3145" spans="1:2" x14ac:dyDescent="0.25">
      <c r="A3145" s="27"/>
      <c r="B3145">
        <v>1</v>
      </c>
    </row>
    <row r="3146" spans="1:2" x14ac:dyDescent="0.25">
      <c r="A3146" s="26"/>
      <c r="B3146">
        <v>1</v>
      </c>
    </row>
    <row r="3147" spans="1:2" x14ac:dyDescent="0.25">
      <c r="A3147" s="27"/>
      <c r="B3147">
        <v>1</v>
      </c>
    </row>
    <row r="3148" spans="1:2" x14ac:dyDescent="0.25">
      <c r="A3148" s="26"/>
      <c r="B3148">
        <v>1</v>
      </c>
    </row>
    <row r="3149" spans="1:2" x14ac:dyDescent="0.25">
      <c r="A3149" s="27"/>
      <c r="B3149">
        <v>1</v>
      </c>
    </row>
    <row r="3150" spans="1:2" x14ac:dyDescent="0.25">
      <c r="A3150" s="26"/>
      <c r="B3150">
        <v>1</v>
      </c>
    </row>
    <row r="3151" spans="1:2" x14ac:dyDescent="0.25">
      <c r="A3151" s="27"/>
      <c r="B3151">
        <v>1</v>
      </c>
    </row>
    <row r="3152" spans="1:2" x14ac:dyDescent="0.25">
      <c r="A3152" s="26"/>
      <c r="B3152">
        <v>1</v>
      </c>
    </row>
    <row r="3153" spans="1:2" x14ac:dyDescent="0.25">
      <c r="A3153" s="27"/>
      <c r="B3153">
        <v>1</v>
      </c>
    </row>
    <row r="3154" spans="1:2" x14ac:dyDescent="0.25">
      <c r="A3154" s="26"/>
      <c r="B3154">
        <v>1</v>
      </c>
    </row>
    <row r="3155" spans="1:2" x14ac:dyDescent="0.25">
      <c r="A3155" s="27"/>
      <c r="B3155">
        <v>1</v>
      </c>
    </row>
    <row r="3156" spans="1:2" x14ac:dyDescent="0.25">
      <c r="A3156" s="26"/>
      <c r="B3156">
        <v>1</v>
      </c>
    </row>
    <row r="3157" spans="1:2" x14ac:dyDescent="0.25">
      <c r="A3157" s="27"/>
      <c r="B3157">
        <v>1</v>
      </c>
    </row>
    <row r="3158" spans="1:2" x14ac:dyDescent="0.25">
      <c r="A3158" s="26"/>
      <c r="B3158">
        <v>1</v>
      </c>
    </row>
    <row r="3159" spans="1:2" x14ac:dyDescent="0.25">
      <c r="A3159" s="27"/>
      <c r="B3159">
        <v>1</v>
      </c>
    </row>
    <row r="3160" spans="1:2" x14ac:dyDescent="0.25">
      <c r="A3160" s="26"/>
      <c r="B3160">
        <v>1</v>
      </c>
    </row>
    <row r="3161" spans="1:2" x14ac:dyDescent="0.25">
      <c r="A3161" s="27"/>
      <c r="B3161">
        <v>1</v>
      </c>
    </row>
    <row r="3162" spans="1:2" x14ac:dyDescent="0.25">
      <c r="A3162" s="26"/>
      <c r="B3162">
        <v>1</v>
      </c>
    </row>
    <row r="3163" spans="1:2" x14ac:dyDescent="0.25">
      <c r="A3163" s="27"/>
      <c r="B3163">
        <v>1</v>
      </c>
    </row>
    <row r="3164" spans="1:2" x14ac:dyDescent="0.25">
      <c r="A3164" s="26"/>
      <c r="B3164">
        <v>1</v>
      </c>
    </row>
    <row r="3165" spans="1:2" x14ac:dyDescent="0.25">
      <c r="A3165" s="27"/>
      <c r="B3165">
        <v>1</v>
      </c>
    </row>
    <row r="3166" spans="1:2" x14ac:dyDescent="0.25">
      <c r="A3166" s="26"/>
      <c r="B3166">
        <v>1</v>
      </c>
    </row>
    <row r="3167" spans="1:2" x14ac:dyDescent="0.25">
      <c r="A3167" s="27"/>
      <c r="B3167">
        <v>1</v>
      </c>
    </row>
    <row r="3168" spans="1:2" x14ac:dyDescent="0.25">
      <c r="A3168" s="26"/>
      <c r="B3168">
        <v>1</v>
      </c>
    </row>
    <row r="3169" spans="1:2" x14ac:dyDescent="0.25">
      <c r="A3169" s="27"/>
      <c r="B3169">
        <v>1</v>
      </c>
    </row>
    <row r="3170" spans="1:2" x14ac:dyDescent="0.25">
      <c r="A3170" s="26"/>
      <c r="B3170">
        <v>1</v>
      </c>
    </row>
    <row r="3171" spans="1:2" x14ac:dyDescent="0.25">
      <c r="A3171" s="27"/>
      <c r="B3171">
        <v>1</v>
      </c>
    </row>
    <row r="3172" spans="1:2" x14ac:dyDescent="0.25">
      <c r="A3172" s="26"/>
      <c r="B3172">
        <v>1</v>
      </c>
    </row>
    <row r="3173" spans="1:2" x14ac:dyDescent="0.25">
      <c r="A3173" s="27"/>
      <c r="B3173">
        <v>1</v>
      </c>
    </row>
    <row r="3174" spans="1:2" x14ac:dyDescent="0.25">
      <c r="A3174" s="26"/>
      <c r="B3174">
        <v>1</v>
      </c>
    </row>
    <row r="3175" spans="1:2" x14ac:dyDescent="0.25">
      <c r="A3175" s="27"/>
      <c r="B3175">
        <v>1</v>
      </c>
    </row>
    <row r="3176" spans="1:2" x14ac:dyDescent="0.25">
      <c r="A3176" s="26"/>
      <c r="B3176">
        <v>1</v>
      </c>
    </row>
    <row r="3177" spans="1:2" x14ac:dyDescent="0.25">
      <c r="A3177" s="27"/>
      <c r="B3177">
        <v>1</v>
      </c>
    </row>
    <row r="3178" spans="1:2" x14ac:dyDescent="0.25">
      <c r="A3178" s="26"/>
      <c r="B3178">
        <v>1</v>
      </c>
    </row>
    <row r="3179" spans="1:2" x14ac:dyDescent="0.25">
      <c r="A3179" s="27"/>
      <c r="B3179">
        <v>1</v>
      </c>
    </row>
    <row r="3180" spans="1:2" x14ac:dyDescent="0.25">
      <c r="A3180" s="26"/>
      <c r="B3180">
        <v>1</v>
      </c>
    </row>
    <row r="3181" spans="1:2" x14ac:dyDescent="0.25">
      <c r="A3181" s="27"/>
      <c r="B3181">
        <v>1</v>
      </c>
    </row>
    <row r="3182" spans="1:2" x14ac:dyDescent="0.25">
      <c r="A3182" s="26"/>
      <c r="B3182">
        <v>1</v>
      </c>
    </row>
    <row r="3183" spans="1:2" x14ac:dyDescent="0.25">
      <c r="A3183" s="27"/>
      <c r="B3183">
        <v>1</v>
      </c>
    </row>
    <row r="3184" spans="1:2" x14ac:dyDescent="0.25">
      <c r="A3184" s="26"/>
      <c r="B3184">
        <v>1</v>
      </c>
    </row>
    <row r="3185" spans="1:2" x14ac:dyDescent="0.25">
      <c r="A3185" s="27"/>
      <c r="B3185">
        <v>1</v>
      </c>
    </row>
    <row r="3186" spans="1:2" x14ac:dyDescent="0.25">
      <c r="A3186" s="26"/>
      <c r="B3186">
        <v>1</v>
      </c>
    </row>
    <row r="3187" spans="1:2" x14ac:dyDescent="0.25">
      <c r="A3187" s="27"/>
      <c r="B3187">
        <v>1</v>
      </c>
    </row>
    <row r="3188" spans="1:2" x14ac:dyDescent="0.25">
      <c r="A3188" s="26"/>
      <c r="B3188">
        <v>1</v>
      </c>
    </row>
    <row r="3189" spans="1:2" x14ac:dyDescent="0.25">
      <c r="A3189" s="27"/>
      <c r="B3189">
        <v>1</v>
      </c>
    </row>
    <row r="3190" spans="1:2" x14ac:dyDescent="0.25">
      <c r="A3190" s="26"/>
      <c r="B3190">
        <v>1</v>
      </c>
    </row>
    <row r="3191" spans="1:2" x14ac:dyDescent="0.25">
      <c r="A3191" s="27"/>
      <c r="B3191">
        <v>1</v>
      </c>
    </row>
    <row r="3192" spans="1:2" x14ac:dyDescent="0.25">
      <c r="A3192" s="26"/>
      <c r="B3192">
        <v>1</v>
      </c>
    </row>
    <row r="3193" spans="1:2" x14ac:dyDescent="0.25">
      <c r="A3193" s="27"/>
      <c r="B3193">
        <v>1</v>
      </c>
    </row>
    <row r="3194" spans="1:2" x14ac:dyDescent="0.25">
      <c r="A3194" s="26"/>
      <c r="B3194">
        <v>1</v>
      </c>
    </row>
    <row r="3195" spans="1:2" x14ac:dyDescent="0.25">
      <c r="A3195" s="27"/>
      <c r="B3195">
        <v>1</v>
      </c>
    </row>
    <row r="3196" spans="1:2" x14ac:dyDescent="0.25">
      <c r="A3196" s="26"/>
      <c r="B3196">
        <v>1</v>
      </c>
    </row>
    <row r="3197" spans="1:2" x14ac:dyDescent="0.25">
      <c r="A3197" s="27"/>
      <c r="B3197">
        <v>1</v>
      </c>
    </row>
    <row r="3198" spans="1:2" x14ac:dyDescent="0.25">
      <c r="A3198" s="26"/>
      <c r="B3198">
        <v>1</v>
      </c>
    </row>
    <row r="3199" spans="1:2" x14ac:dyDescent="0.25">
      <c r="A3199" s="27"/>
      <c r="B3199">
        <v>1</v>
      </c>
    </row>
    <row r="3200" spans="1:2" x14ac:dyDescent="0.25">
      <c r="A3200" s="26"/>
      <c r="B3200">
        <v>1</v>
      </c>
    </row>
    <row r="3201" spans="1:2" x14ac:dyDescent="0.25">
      <c r="A3201" s="27"/>
      <c r="B3201">
        <v>1</v>
      </c>
    </row>
    <row r="3202" spans="1:2" x14ac:dyDescent="0.25">
      <c r="A3202" s="26"/>
      <c r="B3202">
        <v>1</v>
      </c>
    </row>
    <row r="3203" spans="1:2" x14ac:dyDescent="0.25">
      <c r="A3203" s="27"/>
      <c r="B3203">
        <v>1</v>
      </c>
    </row>
    <row r="3204" spans="1:2" x14ac:dyDescent="0.25">
      <c r="A3204" s="26"/>
      <c r="B3204">
        <v>1</v>
      </c>
    </row>
    <row r="3205" spans="1:2" x14ac:dyDescent="0.25">
      <c r="A3205" s="27"/>
      <c r="B3205">
        <v>1</v>
      </c>
    </row>
    <row r="3206" spans="1:2" x14ac:dyDescent="0.25">
      <c r="A3206" s="26"/>
      <c r="B3206">
        <v>1</v>
      </c>
    </row>
    <row r="3207" spans="1:2" x14ac:dyDescent="0.25">
      <c r="A3207" s="27"/>
      <c r="B3207">
        <v>1</v>
      </c>
    </row>
    <row r="3208" spans="1:2" x14ac:dyDescent="0.25">
      <c r="A3208" s="26"/>
      <c r="B3208">
        <v>1</v>
      </c>
    </row>
    <row r="3209" spans="1:2" x14ac:dyDescent="0.25">
      <c r="A3209" s="27"/>
      <c r="B3209">
        <v>1</v>
      </c>
    </row>
    <row r="3210" spans="1:2" x14ac:dyDescent="0.25">
      <c r="A3210" s="26"/>
      <c r="B3210">
        <v>1</v>
      </c>
    </row>
    <row r="3211" spans="1:2" x14ac:dyDescent="0.25">
      <c r="A3211" s="27"/>
      <c r="B3211">
        <v>1</v>
      </c>
    </row>
    <row r="3212" spans="1:2" x14ac:dyDescent="0.25">
      <c r="A3212" s="26"/>
      <c r="B3212">
        <v>1</v>
      </c>
    </row>
    <row r="3213" spans="1:2" x14ac:dyDescent="0.25">
      <c r="A3213" s="27"/>
      <c r="B3213">
        <v>1</v>
      </c>
    </row>
    <row r="3214" spans="1:2" x14ac:dyDescent="0.25">
      <c r="A3214" s="26"/>
      <c r="B3214">
        <v>1</v>
      </c>
    </row>
    <row r="3215" spans="1:2" x14ac:dyDescent="0.25">
      <c r="A3215" s="27"/>
      <c r="B3215">
        <v>1</v>
      </c>
    </row>
    <row r="3216" spans="1:2" x14ac:dyDescent="0.25">
      <c r="A3216" s="26"/>
      <c r="B3216">
        <v>1</v>
      </c>
    </row>
    <row r="3217" spans="1:2" x14ac:dyDescent="0.25">
      <c r="A3217" s="27"/>
      <c r="B3217">
        <v>1</v>
      </c>
    </row>
    <row r="3218" spans="1:2" x14ac:dyDescent="0.25">
      <c r="A3218" s="26"/>
      <c r="B3218">
        <v>1</v>
      </c>
    </row>
    <row r="3219" spans="1:2" x14ac:dyDescent="0.25">
      <c r="A3219" s="27"/>
      <c r="B3219">
        <v>1</v>
      </c>
    </row>
    <row r="3220" spans="1:2" x14ac:dyDescent="0.25">
      <c r="A3220" s="26"/>
      <c r="B3220">
        <v>1</v>
      </c>
    </row>
    <row r="3221" spans="1:2" x14ac:dyDescent="0.25">
      <c r="A3221" s="27"/>
      <c r="B3221">
        <v>1</v>
      </c>
    </row>
    <row r="3222" spans="1:2" x14ac:dyDescent="0.25">
      <c r="A3222" s="26"/>
      <c r="B3222">
        <v>1</v>
      </c>
    </row>
    <row r="3223" spans="1:2" x14ac:dyDescent="0.25">
      <c r="A3223" s="27"/>
      <c r="B3223">
        <v>1</v>
      </c>
    </row>
    <row r="3224" spans="1:2" x14ac:dyDescent="0.25">
      <c r="A3224" s="26"/>
      <c r="B3224">
        <v>1</v>
      </c>
    </row>
    <row r="3225" spans="1:2" x14ac:dyDescent="0.25">
      <c r="A3225" s="27"/>
      <c r="B3225">
        <v>1</v>
      </c>
    </row>
    <row r="3226" spans="1:2" x14ac:dyDescent="0.25">
      <c r="A3226" s="26"/>
      <c r="B3226">
        <v>1</v>
      </c>
    </row>
    <row r="3227" spans="1:2" x14ac:dyDescent="0.25">
      <c r="A3227" s="27"/>
      <c r="B3227">
        <v>1</v>
      </c>
    </row>
    <row r="3228" spans="1:2" x14ac:dyDescent="0.25">
      <c r="A3228" s="26"/>
      <c r="B3228">
        <v>1</v>
      </c>
    </row>
    <row r="3229" spans="1:2" x14ac:dyDescent="0.25">
      <c r="A3229" s="27"/>
      <c r="B3229">
        <v>1</v>
      </c>
    </row>
    <row r="3230" spans="1:2" x14ac:dyDescent="0.25">
      <c r="A3230" s="26"/>
      <c r="B3230">
        <v>1</v>
      </c>
    </row>
    <row r="3231" spans="1:2" x14ac:dyDescent="0.25">
      <c r="A3231" s="27"/>
      <c r="B3231">
        <v>1</v>
      </c>
    </row>
    <row r="3232" spans="1:2" x14ac:dyDescent="0.25">
      <c r="A3232" s="26"/>
      <c r="B3232">
        <v>1</v>
      </c>
    </row>
    <row r="3233" spans="1:2" x14ac:dyDescent="0.25">
      <c r="A3233" s="27"/>
      <c r="B3233">
        <v>1</v>
      </c>
    </row>
    <row r="3234" spans="1:2" x14ac:dyDescent="0.25">
      <c r="A3234" s="26"/>
      <c r="B3234">
        <v>1</v>
      </c>
    </row>
    <row r="3235" spans="1:2" x14ac:dyDescent="0.25">
      <c r="A3235" s="27"/>
      <c r="B3235">
        <v>1</v>
      </c>
    </row>
    <row r="3236" spans="1:2" x14ac:dyDescent="0.25">
      <c r="A3236" s="26"/>
      <c r="B3236">
        <v>1</v>
      </c>
    </row>
    <row r="3237" spans="1:2" x14ac:dyDescent="0.25">
      <c r="A3237" s="27"/>
      <c r="B3237">
        <v>1</v>
      </c>
    </row>
    <row r="3238" spans="1:2" x14ac:dyDescent="0.25">
      <c r="A3238" s="26"/>
      <c r="B3238">
        <v>1</v>
      </c>
    </row>
    <row r="3239" spans="1:2" x14ac:dyDescent="0.25">
      <c r="A3239" s="27"/>
      <c r="B3239">
        <v>1</v>
      </c>
    </row>
    <row r="3240" spans="1:2" x14ac:dyDescent="0.25">
      <c r="A3240" s="26"/>
      <c r="B3240">
        <v>1</v>
      </c>
    </row>
    <row r="3241" spans="1:2" x14ac:dyDescent="0.25">
      <c r="A3241" s="27"/>
      <c r="B3241">
        <v>1</v>
      </c>
    </row>
    <row r="3242" spans="1:2" x14ac:dyDescent="0.25">
      <c r="A3242" s="26"/>
      <c r="B3242">
        <v>1</v>
      </c>
    </row>
    <row r="3243" spans="1:2" x14ac:dyDescent="0.25">
      <c r="A3243" s="27"/>
      <c r="B3243">
        <v>1</v>
      </c>
    </row>
    <row r="3244" spans="1:2" x14ac:dyDescent="0.25">
      <c r="A3244" s="26"/>
      <c r="B3244">
        <v>1</v>
      </c>
    </row>
    <row r="3245" spans="1:2" x14ac:dyDescent="0.25">
      <c r="A3245" s="27"/>
      <c r="B3245">
        <v>1</v>
      </c>
    </row>
    <row r="3246" spans="1:2" x14ac:dyDescent="0.25">
      <c r="A3246" s="26"/>
      <c r="B3246">
        <v>1</v>
      </c>
    </row>
    <row r="3247" spans="1:2" x14ac:dyDescent="0.25">
      <c r="A3247" s="27"/>
      <c r="B3247">
        <v>1</v>
      </c>
    </row>
    <row r="3248" spans="1:2" x14ac:dyDescent="0.25">
      <c r="A3248" s="26"/>
      <c r="B3248">
        <v>1</v>
      </c>
    </row>
    <row r="3249" spans="1:2" x14ac:dyDescent="0.25">
      <c r="A3249" s="27"/>
      <c r="B3249">
        <v>1</v>
      </c>
    </row>
    <row r="3250" spans="1:2" x14ac:dyDescent="0.25">
      <c r="A3250" s="26"/>
      <c r="B3250">
        <v>1</v>
      </c>
    </row>
    <row r="3251" spans="1:2" x14ac:dyDescent="0.25">
      <c r="A3251" s="27"/>
      <c r="B3251">
        <v>1</v>
      </c>
    </row>
    <row r="3252" spans="1:2" x14ac:dyDescent="0.25">
      <c r="A3252" s="26"/>
      <c r="B3252">
        <v>1</v>
      </c>
    </row>
    <row r="3253" spans="1:2" x14ac:dyDescent="0.25">
      <c r="A3253" s="27"/>
      <c r="B3253">
        <v>1</v>
      </c>
    </row>
    <row r="3254" spans="1:2" x14ac:dyDescent="0.25">
      <c r="A3254" s="26"/>
      <c r="B3254">
        <v>1</v>
      </c>
    </row>
    <row r="3255" spans="1:2" x14ac:dyDescent="0.25">
      <c r="A3255" s="27"/>
      <c r="B3255">
        <v>1</v>
      </c>
    </row>
    <row r="3256" spans="1:2" x14ac:dyDescent="0.25">
      <c r="A3256" s="26"/>
      <c r="B3256">
        <v>1</v>
      </c>
    </row>
    <row r="3257" spans="1:2" x14ac:dyDescent="0.25">
      <c r="A3257" s="27"/>
      <c r="B3257">
        <v>1</v>
      </c>
    </row>
    <row r="3258" spans="1:2" x14ac:dyDescent="0.25">
      <c r="A3258" s="26"/>
      <c r="B3258">
        <v>1</v>
      </c>
    </row>
    <row r="3259" spans="1:2" x14ac:dyDescent="0.25">
      <c r="A3259" s="27"/>
      <c r="B3259">
        <v>1</v>
      </c>
    </row>
    <row r="3260" spans="1:2" x14ac:dyDescent="0.25">
      <c r="A3260" s="26"/>
      <c r="B3260">
        <v>1</v>
      </c>
    </row>
    <row r="3261" spans="1:2" x14ac:dyDescent="0.25">
      <c r="A3261" s="27"/>
      <c r="B3261">
        <v>1</v>
      </c>
    </row>
    <row r="3262" spans="1:2" x14ac:dyDescent="0.25">
      <c r="A3262" s="26"/>
      <c r="B3262">
        <v>1</v>
      </c>
    </row>
    <row r="3263" spans="1:2" x14ac:dyDescent="0.25">
      <c r="A3263" s="27"/>
      <c r="B3263">
        <v>1</v>
      </c>
    </row>
    <row r="3264" spans="1:2" x14ac:dyDescent="0.25">
      <c r="A3264" s="26"/>
      <c r="B3264">
        <v>1</v>
      </c>
    </row>
    <row r="3265" spans="1:2" x14ac:dyDescent="0.25">
      <c r="A3265" s="27"/>
      <c r="B3265">
        <v>1</v>
      </c>
    </row>
    <row r="3266" spans="1:2" x14ac:dyDescent="0.25">
      <c r="A3266" s="26"/>
      <c r="B3266">
        <v>1</v>
      </c>
    </row>
    <row r="3267" spans="1:2" x14ac:dyDescent="0.25">
      <c r="A3267" s="27"/>
      <c r="B3267">
        <v>1</v>
      </c>
    </row>
    <row r="3268" spans="1:2" x14ac:dyDescent="0.25">
      <c r="A3268" s="26"/>
      <c r="B3268">
        <v>1</v>
      </c>
    </row>
    <row r="3269" spans="1:2" x14ac:dyDescent="0.25">
      <c r="A3269" s="27"/>
      <c r="B3269">
        <v>1</v>
      </c>
    </row>
    <row r="3270" spans="1:2" x14ac:dyDescent="0.25">
      <c r="A3270" s="26"/>
      <c r="B3270">
        <v>1</v>
      </c>
    </row>
    <row r="3271" spans="1:2" x14ac:dyDescent="0.25">
      <c r="A3271" s="27"/>
      <c r="B3271">
        <v>1</v>
      </c>
    </row>
    <row r="3272" spans="1:2" x14ac:dyDescent="0.25">
      <c r="A3272" s="26"/>
      <c r="B3272">
        <v>1</v>
      </c>
    </row>
    <row r="3273" spans="1:2" x14ac:dyDescent="0.25">
      <c r="A3273" s="27"/>
      <c r="B3273">
        <v>1</v>
      </c>
    </row>
    <row r="3274" spans="1:2" x14ac:dyDescent="0.25">
      <c r="A3274" s="26"/>
      <c r="B3274">
        <v>1</v>
      </c>
    </row>
    <row r="3275" spans="1:2" x14ac:dyDescent="0.25">
      <c r="A3275" s="27"/>
      <c r="B3275">
        <v>1</v>
      </c>
    </row>
    <row r="3276" spans="1:2" x14ac:dyDescent="0.25">
      <c r="A3276" s="26"/>
      <c r="B3276">
        <v>1</v>
      </c>
    </row>
    <row r="3277" spans="1:2" x14ac:dyDescent="0.25">
      <c r="A3277" s="27"/>
      <c r="B3277">
        <v>1</v>
      </c>
    </row>
    <row r="3278" spans="1:2" x14ac:dyDescent="0.25">
      <c r="A3278" s="26"/>
      <c r="B3278">
        <v>1</v>
      </c>
    </row>
    <row r="3279" spans="1:2" x14ac:dyDescent="0.25">
      <c r="A3279" s="27"/>
      <c r="B3279">
        <v>1</v>
      </c>
    </row>
    <row r="3280" spans="1:2" x14ac:dyDescent="0.25">
      <c r="A3280" s="26"/>
      <c r="B3280">
        <v>1</v>
      </c>
    </row>
    <row r="3281" spans="1:2" x14ac:dyDescent="0.25">
      <c r="A3281" s="27"/>
      <c r="B3281">
        <v>1</v>
      </c>
    </row>
    <row r="3282" spans="1:2" x14ac:dyDescent="0.25">
      <c r="A3282" s="26"/>
      <c r="B3282">
        <v>1</v>
      </c>
    </row>
    <row r="3283" spans="1:2" x14ac:dyDescent="0.25">
      <c r="A3283" s="27"/>
      <c r="B3283">
        <v>1</v>
      </c>
    </row>
    <row r="3284" spans="1:2" x14ac:dyDescent="0.25">
      <c r="A3284" s="26"/>
      <c r="B3284">
        <v>1</v>
      </c>
    </row>
    <row r="3285" spans="1:2" x14ac:dyDescent="0.25">
      <c r="A3285" s="27"/>
      <c r="B3285">
        <v>1</v>
      </c>
    </row>
    <row r="3286" spans="1:2" x14ac:dyDescent="0.25">
      <c r="A3286" s="26"/>
      <c r="B3286">
        <v>1</v>
      </c>
    </row>
    <row r="3287" spans="1:2" x14ac:dyDescent="0.25">
      <c r="A3287" s="27"/>
      <c r="B3287">
        <v>1</v>
      </c>
    </row>
    <row r="3288" spans="1:2" x14ac:dyDescent="0.25">
      <c r="A3288" s="26"/>
      <c r="B3288">
        <v>1</v>
      </c>
    </row>
    <row r="3289" spans="1:2" x14ac:dyDescent="0.25">
      <c r="A3289" s="27"/>
      <c r="B3289">
        <v>1</v>
      </c>
    </row>
    <row r="3290" spans="1:2" x14ac:dyDescent="0.25">
      <c r="A3290" s="26"/>
      <c r="B3290">
        <v>1</v>
      </c>
    </row>
    <row r="3291" spans="1:2" x14ac:dyDescent="0.25">
      <c r="A3291" s="27"/>
      <c r="B3291">
        <v>1</v>
      </c>
    </row>
    <row r="3292" spans="1:2" x14ac:dyDescent="0.25">
      <c r="A3292" s="26"/>
      <c r="B3292">
        <v>1</v>
      </c>
    </row>
    <row r="3293" spans="1:2" x14ac:dyDescent="0.25">
      <c r="A3293" s="27"/>
      <c r="B3293">
        <v>1</v>
      </c>
    </row>
    <row r="3294" spans="1:2" x14ac:dyDescent="0.25">
      <c r="A3294" s="26"/>
      <c r="B3294">
        <v>1</v>
      </c>
    </row>
    <row r="3295" spans="1:2" x14ac:dyDescent="0.25">
      <c r="A3295" s="27"/>
      <c r="B3295">
        <v>1</v>
      </c>
    </row>
    <row r="3296" spans="1:2" x14ac:dyDescent="0.25">
      <c r="A3296" s="26"/>
      <c r="B3296">
        <v>1</v>
      </c>
    </row>
    <row r="3297" spans="1:2" x14ac:dyDescent="0.25">
      <c r="A3297" s="27"/>
      <c r="B3297">
        <v>1</v>
      </c>
    </row>
    <row r="3298" spans="1:2" x14ac:dyDescent="0.25">
      <c r="A3298" s="26"/>
      <c r="B3298">
        <v>1</v>
      </c>
    </row>
    <row r="3299" spans="1:2" x14ac:dyDescent="0.25">
      <c r="A3299" s="27"/>
      <c r="B3299">
        <v>1</v>
      </c>
    </row>
    <row r="3300" spans="1:2" x14ac:dyDescent="0.25">
      <c r="A3300" s="26"/>
      <c r="B3300">
        <v>1</v>
      </c>
    </row>
    <row r="3301" spans="1:2" x14ac:dyDescent="0.25">
      <c r="A3301" s="27"/>
      <c r="B3301">
        <v>1</v>
      </c>
    </row>
    <row r="3302" spans="1:2" x14ac:dyDescent="0.25">
      <c r="A3302" s="26"/>
      <c r="B3302">
        <v>1</v>
      </c>
    </row>
    <row r="3303" spans="1:2" x14ac:dyDescent="0.25">
      <c r="A3303" s="27"/>
      <c r="B3303">
        <v>1</v>
      </c>
    </row>
    <row r="3304" spans="1:2" x14ac:dyDescent="0.25">
      <c r="A3304" s="26"/>
      <c r="B3304">
        <v>1</v>
      </c>
    </row>
    <row r="3305" spans="1:2" x14ac:dyDescent="0.25">
      <c r="A3305" s="27"/>
      <c r="B3305">
        <v>1</v>
      </c>
    </row>
    <row r="3306" spans="1:2" x14ac:dyDescent="0.25">
      <c r="A3306" s="26"/>
      <c r="B3306">
        <v>1</v>
      </c>
    </row>
    <row r="3307" spans="1:2" x14ac:dyDescent="0.25">
      <c r="A3307" s="27"/>
      <c r="B3307">
        <v>1</v>
      </c>
    </row>
    <row r="3308" spans="1:2" x14ac:dyDescent="0.25">
      <c r="A3308" s="26"/>
      <c r="B3308">
        <v>1</v>
      </c>
    </row>
    <row r="3309" spans="1:2" x14ac:dyDescent="0.25">
      <c r="A3309" s="27"/>
      <c r="B3309">
        <v>1</v>
      </c>
    </row>
    <row r="3310" spans="1:2" x14ac:dyDescent="0.25">
      <c r="A3310" s="26"/>
      <c r="B3310">
        <v>1</v>
      </c>
    </row>
    <row r="3311" spans="1:2" x14ac:dyDescent="0.25">
      <c r="A3311" s="27"/>
      <c r="B3311">
        <v>1</v>
      </c>
    </row>
    <row r="3312" spans="1:2" x14ac:dyDescent="0.25">
      <c r="A3312" s="26"/>
      <c r="B3312">
        <v>1</v>
      </c>
    </row>
    <row r="3313" spans="1:2" x14ac:dyDescent="0.25">
      <c r="A3313" s="27"/>
      <c r="B3313">
        <v>1</v>
      </c>
    </row>
    <row r="3314" spans="1:2" x14ac:dyDescent="0.25">
      <c r="A3314" s="26"/>
      <c r="B3314">
        <v>1</v>
      </c>
    </row>
    <row r="3315" spans="1:2" x14ac:dyDescent="0.25">
      <c r="A3315" s="27"/>
      <c r="B3315">
        <v>1</v>
      </c>
    </row>
    <row r="3316" spans="1:2" x14ac:dyDescent="0.25">
      <c r="A3316" s="26"/>
      <c r="B3316">
        <v>1</v>
      </c>
    </row>
    <row r="3317" spans="1:2" x14ac:dyDescent="0.25">
      <c r="A3317" s="27"/>
      <c r="B3317">
        <v>1</v>
      </c>
    </row>
    <row r="3318" spans="1:2" x14ac:dyDescent="0.25">
      <c r="A3318" s="26"/>
      <c r="B3318">
        <v>1</v>
      </c>
    </row>
    <row r="3319" spans="1:2" x14ac:dyDescent="0.25">
      <c r="A3319" s="27"/>
      <c r="B3319">
        <v>1</v>
      </c>
    </row>
    <row r="3320" spans="1:2" x14ac:dyDescent="0.25">
      <c r="A3320" s="26"/>
      <c r="B3320">
        <v>1</v>
      </c>
    </row>
    <row r="3321" spans="1:2" x14ac:dyDescent="0.25">
      <c r="A3321" s="27"/>
      <c r="B3321">
        <v>1</v>
      </c>
    </row>
    <row r="3322" spans="1:2" x14ac:dyDescent="0.25">
      <c r="A3322" s="26"/>
      <c r="B3322">
        <v>1</v>
      </c>
    </row>
    <row r="3323" spans="1:2" x14ac:dyDescent="0.25">
      <c r="A3323" s="27"/>
      <c r="B3323">
        <v>1</v>
      </c>
    </row>
    <row r="3324" spans="1:2" x14ac:dyDescent="0.25">
      <c r="A3324" s="26"/>
      <c r="B3324">
        <v>1</v>
      </c>
    </row>
    <row r="3325" spans="1:2" x14ac:dyDescent="0.25">
      <c r="A3325" s="27"/>
      <c r="B3325">
        <v>1</v>
      </c>
    </row>
    <row r="3326" spans="1:2" x14ac:dyDescent="0.25">
      <c r="A3326" s="26"/>
      <c r="B3326">
        <v>1</v>
      </c>
    </row>
    <row r="3327" spans="1:2" x14ac:dyDescent="0.25">
      <c r="A3327" s="27"/>
      <c r="B3327">
        <v>1</v>
      </c>
    </row>
    <row r="3328" spans="1:2" x14ac:dyDescent="0.25">
      <c r="A3328" s="26"/>
      <c r="B3328">
        <v>1</v>
      </c>
    </row>
    <row r="3329" spans="1:2" x14ac:dyDescent="0.25">
      <c r="A3329" s="27"/>
      <c r="B3329">
        <v>1</v>
      </c>
    </row>
    <row r="3330" spans="1:2" x14ac:dyDescent="0.25">
      <c r="A3330" s="26"/>
      <c r="B3330">
        <v>1</v>
      </c>
    </row>
    <row r="3331" spans="1:2" x14ac:dyDescent="0.25">
      <c r="A3331" s="27"/>
      <c r="B3331">
        <v>1</v>
      </c>
    </row>
    <row r="3332" spans="1:2" x14ac:dyDescent="0.25">
      <c r="A3332" s="26"/>
      <c r="B3332">
        <v>1</v>
      </c>
    </row>
    <row r="3333" spans="1:2" x14ac:dyDescent="0.25">
      <c r="A3333" s="27"/>
      <c r="B3333">
        <v>1</v>
      </c>
    </row>
    <row r="3334" spans="1:2" x14ac:dyDescent="0.25">
      <c r="A3334" s="26"/>
      <c r="B3334">
        <v>1</v>
      </c>
    </row>
    <row r="3335" spans="1:2" x14ac:dyDescent="0.25">
      <c r="A3335" s="27"/>
      <c r="B3335">
        <v>1</v>
      </c>
    </row>
    <row r="3336" spans="1:2" x14ac:dyDescent="0.25">
      <c r="A3336" s="26"/>
      <c r="B3336">
        <v>1</v>
      </c>
    </row>
    <row r="3337" spans="1:2" x14ac:dyDescent="0.25">
      <c r="A3337" s="27"/>
      <c r="B3337">
        <v>1</v>
      </c>
    </row>
    <row r="3338" spans="1:2" x14ac:dyDescent="0.25">
      <c r="A3338" s="26"/>
      <c r="B3338">
        <v>1</v>
      </c>
    </row>
    <row r="3339" spans="1:2" x14ac:dyDescent="0.25">
      <c r="A3339" s="27"/>
      <c r="B3339">
        <v>1</v>
      </c>
    </row>
    <row r="3340" spans="1:2" x14ac:dyDescent="0.25">
      <c r="A3340" s="26"/>
      <c r="B3340">
        <v>1</v>
      </c>
    </row>
    <row r="3341" spans="1:2" x14ac:dyDescent="0.25">
      <c r="A3341" s="27"/>
      <c r="B3341">
        <v>1</v>
      </c>
    </row>
    <row r="3342" spans="1:2" x14ac:dyDescent="0.25">
      <c r="A3342" s="26"/>
      <c r="B3342">
        <v>1</v>
      </c>
    </row>
    <row r="3343" spans="1:2" x14ac:dyDescent="0.25">
      <c r="A3343" s="27"/>
      <c r="B3343">
        <v>1</v>
      </c>
    </row>
    <row r="3344" spans="1:2" x14ac:dyDescent="0.25">
      <c r="A3344" s="26"/>
      <c r="B3344">
        <v>1</v>
      </c>
    </row>
    <row r="3345" spans="1:2" x14ac:dyDescent="0.25">
      <c r="A3345" s="27"/>
      <c r="B3345">
        <v>1</v>
      </c>
    </row>
    <row r="3346" spans="1:2" x14ac:dyDescent="0.25">
      <c r="A3346" s="26"/>
      <c r="B3346">
        <v>1</v>
      </c>
    </row>
    <row r="3347" spans="1:2" x14ac:dyDescent="0.25">
      <c r="A3347" s="27"/>
      <c r="B3347">
        <v>1</v>
      </c>
    </row>
    <row r="3348" spans="1:2" x14ac:dyDescent="0.25">
      <c r="A3348" s="26"/>
      <c r="B3348">
        <v>1</v>
      </c>
    </row>
    <row r="3349" spans="1:2" x14ac:dyDescent="0.25">
      <c r="A3349" s="27"/>
      <c r="B3349">
        <v>1</v>
      </c>
    </row>
    <row r="3350" spans="1:2" x14ac:dyDescent="0.25">
      <c r="A3350" s="26"/>
      <c r="B3350">
        <v>1</v>
      </c>
    </row>
    <row r="3351" spans="1:2" x14ac:dyDescent="0.25">
      <c r="A3351" s="27"/>
      <c r="B3351">
        <v>1</v>
      </c>
    </row>
    <row r="3352" spans="1:2" x14ac:dyDescent="0.25">
      <c r="A3352" s="26"/>
      <c r="B3352">
        <v>1</v>
      </c>
    </row>
    <row r="3353" spans="1:2" x14ac:dyDescent="0.25">
      <c r="A3353" s="27"/>
      <c r="B3353">
        <v>1</v>
      </c>
    </row>
    <row r="3354" spans="1:2" x14ac:dyDescent="0.25">
      <c r="A3354" s="26"/>
      <c r="B3354">
        <v>1</v>
      </c>
    </row>
    <row r="3355" spans="1:2" x14ac:dyDescent="0.25">
      <c r="A3355" s="27"/>
      <c r="B3355">
        <v>1</v>
      </c>
    </row>
    <row r="3356" spans="1:2" x14ac:dyDescent="0.25">
      <c r="A3356" s="26"/>
      <c r="B3356">
        <v>1</v>
      </c>
    </row>
    <row r="3357" spans="1:2" x14ac:dyDescent="0.25">
      <c r="A3357" s="27"/>
      <c r="B3357">
        <v>1</v>
      </c>
    </row>
    <row r="3358" spans="1:2" x14ac:dyDescent="0.25">
      <c r="A3358" s="26"/>
      <c r="B3358">
        <v>1</v>
      </c>
    </row>
    <row r="3359" spans="1:2" x14ac:dyDescent="0.25">
      <c r="A3359" s="27"/>
      <c r="B3359">
        <v>1</v>
      </c>
    </row>
    <row r="3360" spans="1:2" x14ac:dyDescent="0.25">
      <c r="A3360" s="26"/>
      <c r="B3360">
        <v>1</v>
      </c>
    </row>
    <row r="3361" spans="1:2" x14ac:dyDescent="0.25">
      <c r="A3361" s="27"/>
      <c r="B3361">
        <v>1</v>
      </c>
    </row>
    <row r="3362" spans="1:2" x14ac:dyDescent="0.25">
      <c r="A3362" s="26"/>
      <c r="B3362">
        <v>1</v>
      </c>
    </row>
    <row r="3363" spans="1:2" x14ac:dyDescent="0.25">
      <c r="A3363" s="27"/>
      <c r="B3363">
        <v>1</v>
      </c>
    </row>
    <row r="3364" spans="1:2" x14ac:dyDescent="0.25">
      <c r="A3364" s="26"/>
      <c r="B3364">
        <v>1</v>
      </c>
    </row>
    <row r="3365" spans="1:2" x14ac:dyDescent="0.25">
      <c r="A3365" s="27"/>
      <c r="B3365">
        <v>1</v>
      </c>
    </row>
    <row r="3366" spans="1:2" x14ac:dyDescent="0.25">
      <c r="A3366" s="26"/>
      <c r="B3366">
        <v>1</v>
      </c>
    </row>
    <row r="3367" spans="1:2" x14ac:dyDescent="0.25">
      <c r="A3367" s="27"/>
      <c r="B3367">
        <v>1</v>
      </c>
    </row>
    <row r="3368" spans="1:2" x14ac:dyDescent="0.25">
      <c r="A3368" s="26"/>
      <c r="B3368">
        <v>1</v>
      </c>
    </row>
    <row r="3369" spans="1:2" x14ac:dyDescent="0.25">
      <c r="A3369" s="27"/>
      <c r="B3369">
        <v>1</v>
      </c>
    </row>
    <row r="3370" spans="1:2" x14ac:dyDescent="0.25">
      <c r="A3370" s="26"/>
      <c r="B3370">
        <v>1</v>
      </c>
    </row>
    <row r="3371" spans="1:2" x14ac:dyDescent="0.25">
      <c r="A3371" s="27"/>
      <c r="B3371">
        <v>1</v>
      </c>
    </row>
    <row r="3372" spans="1:2" x14ac:dyDescent="0.25">
      <c r="A3372" s="26"/>
      <c r="B3372">
        <v>1</v>
      </c>
    </row>
    <row r="3373" spans="1:2" x14ac:dyDescent="0.25">
      <c r="A3373" s="27"/>
      <c r="B3373">
        <v>1</v>
      </c>
    </row>
    <row r="3374" spans="1:2" x14ac:dyDescent="0.25">
      <c r="A3374" s="26"/>
      <c r="B3374">
        <v>1</v>
      </c>
    </row>
    <row r="3375" spans="1:2" x14ac:dyDescent="0.25">
      <c r="A3375" s="27"/>
      <c r="B3375">
        <v>1</v>
      </c>
    </row>
    <row r="3376" spans="1:2" x14ac:dyDescent="0.25">
      <c r="A3376" s="26"/>
      <c r="B3376">
        <v>1</v>
      </c>
    </row>
    <row r="3377" spans="1:2" x14ac:dyDescent="0.25">
      <c r="A3377" s="27"/>
      <c r="B3377">
        <v>1</v>
      </c>
    </row>
    <row r="3378" spans="1:2" x14ac:dyDescent="0.25">
      <c r="A3378" s="26"/>
      <c r="B3378">
        <v>1</v>
      </c>
    </row>
    <row r="3379" spans="1:2" x14ac:dyDescent="0.25">
      <c r="A3379" s="27"/>
      <c r="B3379">
        <v>1</v>
      </c>
    </row>
    <row r="3380" spans="1:2" x14ac:dyDescent="0.25">
      <c r="A3380" s="26"/>
      <c r="B3380">
        <v>1</v>
      </c>
    </row>
    <row r="3381" spans="1:2" x14ac:dyDescent="0.25">
      <c r="A3381" s="27"/>
      <c r="B3381">
        <v>1</v>
      </c>
    </row>
    <row r="3382" spans="1:2" x14ac:dyDescent="0.25">
      <c r="A3382" s="26"/>
      <c r="B3382">
        <v>1</v>
      </c>
    </row>
    <row r="3383" spans="1:2" x14ac:dyDescent="0.25">
      <c r="A3383" s="27"/>
      <c r="B3383">
        <v>1</v>
      </c>
    </row>
    <row r="3384" spans="1:2" x14ac:dyDescent="0.25">
      <c r="A3384" s="26"/>
      <c r="B3384">
        <v>1</v>
      </c>
    </row>
    <row r="3385" spans="1:2" x14ac:dyDescent="0.25">
      <c r="A3385" s="27"/>
      <c r="B3385">
        <v>1</v>
      </c>
    </row>
    <row r="3386" spans="1:2" x14ac:dyDescent="0.25">
      <c r="A3386" s="26"/>
      <c r="B3386">
        <v>1</v>
      </c>
    </row>
    <row r="3387" spans="1:2" x14ac:dyDescent="0.25">
      <c r="A3387" s="27"/>
      <c r="B3387">
        <v>1</v>
      </c>
    </row>
    <row r="3388" spans="1:2" x14ac:dyDescent="0.25">
      <c r="A3388" s="26"/>
      <c r="B3388">
        <v>1</v>
      </c>
    </row>
    <row r="3389" spans="1:2" x14ac:dyDescent="0.25">
      <c r="A3389" s="27"/>
      <c r="B3389">
        <v>1</v>
      </c>
    </row>
    <row r="3390" spans="1:2" x14ac:dyDescent="0.25">
      <c r="A3390" s="26"/>
      <c r="B3390">
        <v>1</v>
      </c>
    </row>
    <row r="3391" spans="1:2" x14ac:dyDescent="0.25">
      <c r="A3391" s="27"/>
      <c r="B3391">
        <v>1</v>
      </c>
    </row>
    <row r="3392" spans="1:2" x14ac:dyDescent="0.25">
      <c r="A3392" s="26"/>
      <c r="B3392">
        <v>1</v>
      </c>
    </row>
    <row r="3393" spans="1:2" x14ac:dyDescent="0.25">
      <c r="A3393" s="27"/>
      <c r="B3393">
        <v>1</v>
      </c>
    </row>
    <row r="3394" spans="1:2" x14ac:dyDescent="0.25">
      <c r="A3394" s="26"/>
      <c r="B3394">
        <v>1</v>
      </c>
    </row>
    <row r="3395" spans="1:2" x14ac:dyDescent="0.25">
      <c r="A3395" s="27"/>
      <c r="B3395">
        <v>1</v>
      </c>
    </row>
    <row r="3396" spans="1:2" x14ac:dyDescent="0.25">
      <c r="A3396" s="26"/>
      <c r="B3396">
        <v>1</v>
      </c>
    </row>
    <row r="3397" spans="1:2" x14ac:dyDescent="0.25">
      <c r="A3397" s="27"/>
      <c r="B3397">
        <v>1</v>
      </c>
    </row>
    <row r="3398" spans="1:2" x14ac:dyDescent="0.25">
      <c r="A3398" s="26"/>
      <c r="B3398">
        <v>1</v>
      </c>
    </row>
    <row r="3399" spans="1:2" x14ac:dyDescent="0.25">
      <c r="A3399" s="27"/>
      <c r="B3399">
        <v>1</v>
      </c>
    </row>
    <row r="3400" spans="1:2" x14ac:dyDescent="0.25">
      <c r="A3400" s="26"/>
      <c r="B3400">
        <v>1</v>
      </c>
    </row>
    <row r="3401" spans="1:2" x14ac:dyDescent="0.25">
      <c r="A3401" s="27"/>
      <c r="B3401">
        <v>1</v>
      </c>
    </row>
    <row r="3402" spans="1:2" x14ac:dyDescent="0.25">
      <c r="A3402" s="26"/>
      <c r="B3402">
        <v>1</v>
      </c>
    </row>
    <row r="3403" spans="1:2" x14ac:dyDescent="0.25">
      <c r="A3403" s="27"/>
      <c r="B3403">
        <v>1</v>
      </c>
    </row>
    <row r="3404" spans="1:2" x14ac:dyDescent="0.25">
      <c r="A3404" s="26"/>
      <c r="B3404">
        <v>1</v>
      </c>
    </row>
    <row r="3405" spans="1:2" x14ac:dyDescent="0.25">
      <c r="A3405" s="27"/>
      <c r="B3405">
        <v>1</v>
      </c>
    </row>
    <row r="3406" spans="1:2" x14ac:dyDescent="0.25">
      <c r="A3406" s="26"/>
      <c r="B3406">
        <v>1</v>
      </c>
    </row>
    <row r="3407" spans="1:2" x14ac:dyDescent="0.25">
      <c r="A3407" s="27"/>
      <c r="B3407">
        <v>1</v>
      </c>
    </row>
    <row r="3408" spans="1:2" x14ac:dyDescent="0.25">
      <c r="A3408" s="26"/>
      <c r="B3408">
        <v>1</v>
      </c>
    </row>
    <row r="3409" spans="1:2" x14ac:dyDescent="0.25">
      <c r="A3409" s="27"/>
      <c r="B3409">
        <v>1</v>
      </c>
    </row>
    <row r="3410" spans="1:2" x14ac:dyDescent="0.25">
      <c r="A3410" s="26"/>
      <c r="B3410">
        <v>1</v>
      </c>
    </row>
    <row r="3411" spans="1:2" x14ac:dyDescent="0.25">
      <c r="A3411" s="27"/>
      <c r="B3411">
        <v>1</v>
      </c>
    </row>
    <row r="3412" spans="1:2" x14ac:dyDescent="0.25">
      <c r="A3412" s="26"/>
      <c r="B3412">
        <v>1</v>
      </c>
    </row>
    <row r="3413" spans="1:2" x14ac:dyDescent="0.25">
      <c r="A3413" s="27"/>
      <c r="B3413">
        <v>1</v>
      </c>
    </row>
    <row r="3414" spans="1:2" x14ac:dyDescent="0.25">
      <c r="A3414" s="26"/>
      <c r="B3414">
        <v>1</v>
      </c>
    </row>
    <row r="3415" spans="1:2" x14ac:dyDescent="0.25">
      <c r="A3415" s="27"/>
      <c r="B3415">
        <v>1</v>
      </c>
    </row>
    <row r="3416" spans="1:2" x14ac:dyDescent="0.25">
      <c r="A3416" s="26"/>
      <c r="B3416">
        <v>1</v>
      </c>
    </row>
    <row r="3417" spans="1:2" x14ac:dyDescent="0.25">
      <c r="A3417" s="27"/>
      <c r="B3417">
        <v>1</v>
      </c>
    </row>
    <row r="3418" spans="1:2" x14ac:dyDescent="0.25">
      <c r="A3418" s="26"/>
      <c r="B3418">
        <v>1</v>
      </c>
    </row>
    <row r="3419" spans="1:2" x14ac:dyDescent="0.25">
      <c r="A3419" s="27"/>
      <c r="B3419">
        <v>1</v>
      </c>
    </row>
    <row r="3420" spans="1:2" x14ac:dyDescent="0.25">
      <c r="A3420" s="26"/>
      <c r="B3420">
        <v>1</v>
      </c>
    </row>
    <row r="3421" spans="1:2" x14ac:dyDescent="0.25">
      <c r="A3421" s="27"/>
      <c r="B3421">
        <v>1</v>
      </c>
    </row>
    <row r="3422" spans="1:2" x14ac:dyDescent="0.25">
      <c r="A3422" s="26"/>
      <c r="B3422">
        <v>1</v>
      </c>
    </row>
    <row r="3423" spans="1:2" x14ac:dyDescent="0.25">
      <c r="A3423" s="27"/>
      <c r="B3423">
        <v>1</v>
      </c>
    </row>
    <row r="3424" spans="1:2" x14ac:dyDescent="0.25">
      <c r="A3424" s="26"/>
      <c r="B3424">
        <v>1</v>
      </c>
    </row>
    <row r="3425" spans="1:2" x14ac:dyDescent="0.25">
      <c r="A3425" s="27"/>
      <c r="B3425">
        <v>1</v>
      </c>
    </row>
    <row r="3426" spans="1:2" x14ac:dyDescent="0.25">
      <c r="A3426" s="26"/>
      <c r="B3426">
        <v>1</v>
      </c>
    </row>
    <row r="3427" spans="1:2" x14ac:dyDescent="0.25">
      <c r="A3427" s="27"/>
      <c r="B3427">
        <v>1</v>
      </c>
    </row>
    <row r="3428" spans="1:2" x14ac:dyDescent="0.25">
      <c r="A3428" s="26"/>
      <c r="B3428">
        <v>1</v>
      </c>
    </row>
    <row r="3429" spans="1:2" x14ac:dyDescent="0.25">
      <c r="A3429" s="27"/>
      <c r="B3429">
        <v>1</v>
      </c>
    </row>
    <row r="3430" spans="1:2" x14ac:dyDescent="0.25">
      <c r="A3430" s="26"/>
      <c r="B3430">
        <v>1</v>
      </c>
    </row>
    <row r="3431" spans="1:2" x14ac:dyDescent="0.25">
      <c r="A3431" s="27"/>
      <c r="B3431">
        <v>1</v>
      </c>
    </row>
    <row r="3432" spans="1:2" x14ac:dyDescent="0.25">
      <c r="A3432" s="26"/>
      <c r="B3432">
        <v>1</v>
      </c>
    </row>
    <row r="3433" spans="1:2" x14ac:dyDescent="0.25">
      <c r="A3433" s="27"/>
      <c r="B3433">
        <v>1</v>
      </c>
    </row>
    <row r="3434" spans="1:2" x14ac:dyDescent="0.25">
      <c r="A3434" s="26"/>
      <c r="B3434">
        <v>1</v>
      </c>
    </row>
    <row r="3435" spans="1:2" x14ac:dyDescent="0.25">
      <c r="A3435" s="27"/>
      <c r="B3435">
        <v>1</v>
      </c>
    </row>
    <row r="3436" spans="1:2" x14ac:dyDescent="0.25">
      <c r="A3436" s="26"/>
      <c r="B3436">
        <v>1</v>
      </c>
    </row>
    <row r="3437" spans="1:2" x14ac:dyDescent="0.25">
      <c r="A3437" s="27"/>
      <c r="B3437">
        <v>1</v>
      </c>
    </row>
    <row r="3438" spans="1:2" x14ac:dyDescent="0.25">
      <c r="A3438" s="26"/>
      <c r="B3438">
        <v>1</v>
      </c>
    </row>
    <row r="3439" spans="1:2" x14ac:dyDescent="0.25">
      <c r="A3439" s="27"/>
      <c r="B3439">
        <v>1</v>
      </c>
    </row>
    <row r="3440" spans="1:2" x14ac:dyDescent="0.25">
      <c r="A3440" s="26"/>
      <c r="B3440">
        <v>1</v>
      </c>
    </row>
    <row r="3441" spans="1:2" x14ac:dyDescent="0.25">
      <c r="A3441" s="27"/>
      <c r="B3441">
        <v>1</v>
      </c>
    </row>
    <row r="3442" spans="1:2" x14ac:dyDescent="0.25">
      <c r="A3442" s="26"/>
      <c r="B3442">
        <v>1</v>
      </c>
    </row>
    <row r="3443" spans="1:2" x14ac:dyDescent="0.25">
      <c r="A3443" s="27"/>
      <c r="B3443">
        <v>1</v>
      </c>
    </row>
    <row r="3444" spans="1:2" x14ac:dyDescent="0.25">
      <c r="A3444" s="26"/>
      <c r="B3444">
        <v>1</v>
      </c>
    </row>
    <row r="3445" spans="1:2" x14ac:dyDescent="0.25">
      <c r="A3445" s="27"/>
      <c r="B3445">
        <v>1</v>
      </c>
    </row>
    <row r="3446" spans="1:2" x14ac:dyDescent="0.25">
      <c r="A3446" s="26"/>
      <c r="B3446">
        <v>1</v>
      </c>
    </row>
    <row r="3447" spans="1:2" x14ac:dyDescent="0.25">
      <c r="A3447" s="27"/>
      <c r="B3447">
        <v>1</v>
      </c>
    </row>
    <row r="3448" spans="1:2" x14ac:dyDescent="0.25">
      <c r="A3448" s="26"/>
      <c r="B3448">
        <v>1</v>
      </c>
    </row>
    <row r="3449" spans="1:2" x14ac:dyDescent="0.25">
      <c r="A3449" s="27"/>
      <c r="B3449">
        <v>1</v>
      </c>
    </row>
    <row r="3450" spans="1:2" x14ac:dyDescent="0.25">
      <c r="A3450" s="26"/>
      <c r="B3450">
        <v>1</v>
      </c>
    </row>
    <row r="3451" spans="1:2" x14ac:dyDescent="0.25">
      <c r="A3451" s="27"/>
      <c r="B3451">
        <v>1</v>
      </c>
    </row>
    <row r="3452" spans="1:2" x14ac:dyDescent="0.25">
      <c r="A3452" s="26"/>
      <c r="B3452">
        <v>1</v>
      </c>
    </row>
    <row r="3453" spans="1:2" x14ac:dyDescent="0.25">
      <c r="A3453" s="27"/>
      <c r="B3453">
        <v>1</v>
      </c>
    </row>
    <row r="3454" spans="1:2" x14ac:dyDescent="0.25">
      <c r="A3454" s="26"/>
      <c r="B3454">
        <v>1</v>
      </c>
    </row>
    <row r="3455" spans="1:2" x14ac:dyDescent="0.25">
      <c r="A3455" s="27"/>
      <c r="B3455">
        <v>1</v>
      </c>
    </row>
    <row r="3456" spans="1:2" x14ac:dyDescent="0.25">
      <c r="A3456" s="26"/>
      <c r="B3456">
        <v>1</v>
      </c>
    </row>
    <row r="3457" spans="1:2" x14ac:dyDescent="0.25">
      <c r="A3457" s="27"/>
      <c r="B3457">
        <v>1</v>
      </c>
    </row>
    <row r="3458" spans="1:2" x14ac:dyDescent="0.25">
      <c r="A3458" s="26"/>
      <c r="B3458">
        <v>1</v>
      </c>
    </row>
    <row r="3459" spans="1:2" x14ac:dyDescent="0.25">
      <c r="A3459" s="27"/>
      <c r="B3459">
        <v>1</v>
      </c>
    </row>
    <row r="3460" spans="1:2" x14ac:dyDescent="0.25">
      <c r="A3460" s="26"/>
      <c r="B3460">
        <v>1</v>
      </c>
    </row>
    <row r="3461" spans="1:2" x14ac:dyDescent="0.25">
      <c r="A3461" s="27"/>
      <c r="B3461">
        <v>1</v>
      </c>
    </row>
    <row r="3462" spans="1:2" x14ac:dyDescent="0.25">
      <c r="A3462" s="26"/>
      <c r="B3462">
        <v>1</v>
      </c>
    </row>
    <row r="3463" spans="1:2" x14ac:dyDescent="0.25">
      <c r="A3463" s="27"/>
      <c r="B3463">
        <v>1</v>
      </c>
    </row>
    <row r="3464" spans="1:2" x14ac:dyDescent="0.25">
      <c r="A3464" s="26"/>
      <c r="B3464">
        <v>1</v>
      </c>
    </row>
    <row r="3465" spans="1:2" x14ac:dyDescent="0.25">
      <c r="A3465" s="27"/>
      <c r="B3465">
        <v>1</v>
      </c>
    </row>
    <row r="3466" spans="1:2" x14ac:dyDescent="0.25">
      <c r="A3466" s="26"/>
      <c r="B3466">
        <v>1</v>
      </c>
    </row>
    <row r="3467" spans="1:2" x14ac:dyDescent="0.25">
      <c r="A3467" s="27"/>
      <c r="B3467">
        <v>1</v>
      </c>
    </row>
    <row r="3468" spans="1:2" x14ac:dyDescent="0.25">
      <c r="A3468" s="26"/>
      <c r="B3468">
        <v>1</v>
      </c>
    </row>
    <row r="3469" spans="1:2" x14ac:dyDescent="0.25">
      <c r="A3469" s="27"/>
      <c r="B3469">
        <v>1</v>
      </c>
    </row>
    <row r="3470" spans="1:2" x14ac:dyDescent="0.25">
      <c r="A3470" s="26"/>
      <c r="B3470">
        <v>1</v>
      </c>
    </row>
    <row r="3471" spans="1:2" x14ac:dyDescent="0.25">
      <c r="A3471" s="27"/>
      <c r="B3471">
        <v>1</v>
      </c>
    </row>
    <row r="3472" spans="1:2" x14ac:dyDescent="0.25">
      <c r="A3472" s="26"/>
      <c r="B3472">
        <v>1</v>
      </c>
    </row>
    <row r="3473" spans="1:2" x14ac:dyDescent="0.25">
      <c r="A3473" s="27"/>
      <c r="B3473">
        <v>1</v>
      </c>
    </row>
    <row r="3474" spans="1:2" x14ac:dyDescent="0.25">
      <c r="A3474" s="26"/>
      <c r="B3474">
        <v>1</v>
      </c>
    </row>
    <row r="3475" spans="1:2" x14ac:dyDescent="0.25">
      <c r="A3475" s="27"/>
      <c r="B3475">
        <v>1</v>
      </c>
    </row>
    <row r="3476" spans="1:2" x14ac:dyDescent="0.25">
      <c r="A3476" s="26"/>
      <c r="B3476">
        <v>1</v>
      </c>
    </row>
    <row r="3477" spans="1:2" x14ac:dyDescent="0.25">
      <c r="A3477" s="27"/>
      <c r="B3477">
        <v>1</v>
      </c>
    </row>
    <row r="3478" spans="1:2" x14ac:dyDescent="0.25">
      <c r="A3478" s="26"/>
      <c r="B3478">
        <v>1</v>
      </c>
    </row>
    <row r="3479" spans="1:2" x14ac:dyDescent="0.25">
      <c r="A3479" s="27"/>
      <c r="B3479">
        <v>1</v>
      </c>
    </row>
    <row r="3480" spans="1:2" x14ac:dyDescent="0.25">
      <c r="A3480" s="26"/>
      <c r="B3480">
        <v>1</v>
      </c>
    </row>
    <row r="3481" spans="1:2" x14ac:dyDescent="0.25">
      <c r="A3481" s="27"/>
      <c r="B3481">
        <v>1</v>
      </c>
    </row>
    <row r="3482" spans="1:2" x14ac:dyDescent="0.25">
      <c r="A3482" s="26"/>
      <c r="B3482">
        <v>1</v>
      </c>
    </row>
    <row r="3483" spans="1:2" x14ac:dyDescent="0.25">
      <c r="A3483" s="27"/>
      <c r="B3483">
        <v>1</v>
      </c>
    </row>
    <row r="3484" spans="1:2" x14ac:dyDescent="0.25">
      <c r="A3484" s="26"/>
      <c r="B3484">
        <v>1</v>
      </c>
    </row>
    <row r="3485" spans="1:2" x14ac:dyDescent="0.25">
      <c r="A3485" s="27"/>
      <c r="B3485">
        <v>1</v>
      </c>
    </row>
    <row r="3486" spans="1:2" x14ac:dyDescent="0.25">
      <c r="A3486" s="26"/>
      <c r="B3486">
        <v>1</v>
      </c>
    </row>
    <row r="3487" spans="1:2" x14ac:dyDescent="0.25">
      <c r="A3487" s="27"/>
      <c r="B3487">
        <v>1</v>
      </c>
    </row>
    <row r="3488" spans="1:2" x14ac:dyDescent="0.25">
      <c r="A3488" s="26"/>
      <c r="B3488">
        <v>1</v>
      </c>
    </row>
    <row r="3489" spans="1:2" x14ac:dyDescent="0.25">
      <c r="A3489" s="27"/>
      <c r="B3489">
        <v>1</v>
      </c>
    </row>
    <row r="3490" spans="1:2" x14ac:dyDescent="0.25">
      <c r="A3490" s="26"/>
      <c r="B3490">
        <v>1</v>
      </c>
    </row>
    <row r="3491" spans="1:2" x14ac:dyDescent="0.25">
      <c r="A3491" s="27"/>
      <c r="B3491">
        <v>1</v>
      </c>
    </row>
    <row r="3492" spans="1:2" x14ac:dyDescent="0.25">
      <c r="A3492" s="26"/>
      <c r="B3492">
        <v>1</v>
      </c>
    </row>
    <row r="3493" spans="1:2" x14ac:dyDescent="0.25">
      <c r="A3493" s="27"/>
      <c r="B3493">
        <v>1</v>
      </c>
    </row>
    <row r="3494" spans="1:2" x14ac:dyDescent="0.25">
      <c r="A3494" s="26"/>
      <c r="B3494">
        <v>1</v>
      </c>
    </row>
    <row r="3495" spans="1:2" x14ac:dyDescent="0.25">
      <c r="A3495" s="27"/>
      <c r="B3495">
        <v>1</v>
      </c>
    </row>
    <row r="3496" spans="1:2" x14ac:dyDescent="0.25">
      <c r="A3496" s="26"/>
      <c r="B3496">
        <v>1</v>
      </c>
    </row>
    <row r="3497" spans="1:2" x14ac:dyDescent="0.25">
      <c r="A3497" s="27"/>
      <c r="B3497">
        <v>1</v>
      </c>
    </row>
    <row r="3498" spans="1:2" x14ac:dyDescent="0.25">
      <c r="A3498" s="26"/>
      <c r="B3498">
        <v>1</v>
      </c>
    </row>
    <row r="3499" spans="1:2" x14ac:dyDescent="0.25">
      <c r="A3499" s="27"/>
      <c r="B3499">
        <v>1</v>
      </c>
    </row>
    <row r="3500" spans="1:2" x14ac:dyDescent="0.25">
      <c r="A3500" s="26"/>
      <c r="B3500">
        <v>1</v>
      </c>
    </row>
    <row r="3501" spans="1:2" x14ac:dyDescent="0.25">
      <c r="A3501" s="27"/>
      <c r="B3501">
        <v>1</v>
      </c>
    </row>
    <row r="3502" spans="1:2" x14ac:dyDescent="0.25">
      <c r="A3502" s="26"/>
      <c r="B3502">
        <v>1</v>
      </c>
    </row>
    <row r="3503" spans="1:2" x14ac:dyDescent="0.25">
      <c r="A3503" s="27"/>
      <c r="B3503">
        <v>1</v>
      </c>
    </row>
    <row r="3504" spans="1:2" x14ac:dyDescent="0.25">
      <c r="A3504" s="26"/>
      <c r="B3504">
        <v>1</v>
      </c>
    </row>
    <row r="3505" spans="1:2" x14ac:dyDescent="0.25">
      <c r="A3505" s="27"/>
      <c r="B3505">
        <v>1</v>
      </c>
    </row>
    <row r="3506" spans="1:2" x14ac:dyDescent="0.25">
      <c r="A3506" s="26"/>
      <c r="B3506">
        <v>1</v>
      </c>
    </row>
    <row r="3507" spans="1:2" x14ac:dyDescent="0.25">
      <c r="A3507" s="27"/>
      <c r="B3507">
        <v>1</v>
      </c>
    </row>
    <row r="3508" spans="1:2" x14ac:dyDescent="0.25">
      <c r="A3508" s="26"/>
      <c r="B3508">
        <v>1</v>
      </c>
    </row>
    <row r="3509" spans="1:2" x14ac:dyDescent="0.25">
      <c r="A3509" s="27"/>
      <c r="B3509">
        <v>1</v>
      </c>
    </row>
    <row r="3510" spans="1:2" x14ac:dyDescent="0.25">
      <c r="A3510" s="26"/>
      <c r="B3510">
        <v>1</v>
      </c>
    </row>
    <row r="3511" spans="1:2" x14ac:dyDescent="0.25">
      <c r="A3511" s="27"/>
      <c r="B3511">
        <v>1</v>
      </c>
    </row>
    <row r="3512" spans="1:2" x14ac:dyDescent="0.25">
      <c r="A3512" s="26"/>
      <c r="B3512">
        <v>1</v>
      </c>
    </row>
    <row r="3513" spans="1:2" x14ac:dyDescent="0.25">
      <c r="A3513" s="27"/>
      <c r="B3513">
        <v>1</v>
      </c>
    </row>
    <row r="3514" spans="1:2" x14ac:dyDescent="0.25">
      <c r="A3514" s="26"/>
      <c r="B3514">
        <v>1</v>
      </c>
    </row>
    <row r="3515" spans="1:2" x14ac:dyDescent="0.25">
      <c r="A3515" s="27"/>
      <c r="B3515">
        <v>1</v>
      </c>
    </row>
    <row r="3516" spans="1:2" x14ac:dyDescent="0.25">
      <c r="A3516" s="26"/>
      <c r="B3516">
        <v>1</v>
      </c>
    </row>
    <row r="3517" spans="1:2" x14ac:dyDescent="0.25">
      <c r="A3517" s="27"/>
      <c r="B3517">
        <v>1</v>
      </c>
    </row>
    <row r="3518" spans="1:2" x14ac:dyDescent="0.25">
      <c r="A3518" s="26"/>
      <c r="B3518">
        <v>1</v>
      </c>
    </row>
    <row r="3519" spans="1:2" x14ac:dyDescent="0.25">
      <c r="A3519" s="27"/>
      <c r="B3519">
        <v>1</v>
      </c>
    </row>
    <row r="3520" spans="1:2" x14ac:dyDescent="0.25">
      <c r="A3520" s="26"/>
      <c r="B3520">
        <v>1</v>
      </c>
    </row>
    <row r="3521" spans="1:2" x14ac:dyDescent="0.25">
      <c r="A3521" s="27"/>
      <c r="B3521">
        <v>1</v>
      </c>
    </row>
    <row r="3522" spans="1:2" x14ac:dyDescent="0.25">
      <c r="A3522" s="26"/>
      <c r="B3522">
        <v>1</v>
      </c>
    </row>
    <row r="3523" spans="1:2" x14ac:dyDescent="0.25">
      <c r="A3523" s="27"/>
      <c r="B3523">
        <v>1</v>
      </c>
    </row>
    <row r="3524" spans="1:2" x14ac:dyDescent="0.25">
      <c r="A3524" s="26"/>
      <c r="B3524">
        <v>1</v>
      </c>
    </row>
    <row r="3525" spans="1:2" x14ac:dyDescent="0.25">
      <c r="A3525" s="27"/>
      <c r="B3525">
        <v>1</v>
      </c>
    </row>
    <row r="3526" spans="1:2" x14ac:dyDescent="0.25">
      <c r="A3526" s="26"/>
      <c r="B3526">
        <v>1</v>
      </c>
    </row>
    <row r="3527" spans="1:2" x14ac:dyDescent="0.25">
      <c r="A3527" s="27"/>
      <c r="B3527">
        <v>1</v>
      </c>
    </row>
    <row r="3528" spans="1:2" x14ac:dyDescent="0.25">
      <c r="A3528" s="26"/>
      <c r="B3528">
        <v>1</v>
      </c>
    </row>
    <row r="3529" spans="1:2" x14ac:dyDescent="0.25">
      <c r="A3529" s="27"/>
      <c r="B3529">
        <v>1</v>
      </c>
    </row>
    <row r="3530" spans="1:2" x14ac:dyDescent="0.25">
      <c r="A3530" s="26"/>
      <c r="B3530">
        <v>1</v>
      </c>
    </row>
    <row r="3531" spans="1:2" x14ac:dyDescent="0.25">
      <c r="A3531" s="27"/>
      <c r="B3531">
        <v>1</v>
      </c>
    </row>
    <row r="3532" spans="1:2" x14ac:dyDescent="0.25">
      <c r="A3532" s="26"/>
      <c r="B3532">
        <v>1</v>
      </c>
    </row>
    <row r="3533" spans="1:2" x14ac:dyDescent="0.25">
      <c r="A3533" s="27"/>
      <c r="B3533">
        <v>1</v>
      </c>
    </row>
    <row r="3534" spans="1:2" x14ac:dyDescent="0.25">
      <c r="A3534" s="26"/>
      <c r="B3534">
        <v>1</v>
      </c>
    </row>
    <row r="3535" spans="1:2" x14ac:dyDescent="0.25">
      <c r="A3535" s="27"/>
      <c r="B3535">
        <v>1</v>
      </c>
    </row>
    <row r="3536" spans="1:2" x14ac:dyDescent="0.25">
      <c r="A3536" s="26"/>
      <c r="B3536">
        <v>1</v>
      </c>
    </row>
    <row r="3537" spans="1:2" x14ac:dyDescent="0.25">
      <c r="A3537" s="27"/>
      <c r="B3537">
        <v>1</v>
      </c>
    </row>
    <row r="3538" spans="1:2" x14ac:dyDescent="0.25">
      <c r="A3538" s="26"/>
      <c r="B3538">
        <v>1</v>
      </c>
    </row>
    <row r="3539" spans="1:2" x14ac:dyDescent="0.25">
      <c r="A3539" s="27"/>
      <c r="B3539">
        <v>1</v>
      </c>
    </row>
    <row r="3540" spans="1:2" x14ac:dyDescent="0.25">
      <c r="A3540" s="26"/>
      <c r="B3540">
        <v>1</v>
      </c>
    </row>
    <row r="3541" spans="1:2" x14ac:dyDescent="0.25">
      <c r="A3541" s="27"/>
      <c r="B3541">
        <v>1</v>
      </c>
    </row>
    <row r="3542" spans="1:2" x14ac:dyDescent="0.25">
      <c r="A3542" s="26"/>
      <c r="B3542">
        <v>1</v>
      </c>
    </row>
    <row r="3543" spans="1:2" x14ac:dyDescent="0.25">
      <c r="A3543" s="27"/>
      <c r="B3543">
        <v>1</v>
      </c>
    </row>
    <row r="3544" spans="1:2" x14ac:dyDescent="0.25">
      <c r="A3544" s="26"/>
      <c r="B3544">
        <v>1</v>
      </c>
    </row>
    <row r="3545" spans="1:2" x14ac:dyDescent="0.25">
      <c r="A3545" s="27"/>
      <c r="B3545">
        <v>1</v>
      </c>
    </row>
    <row r="3546" spans="1:2" x14ac:dyDescent="0.25">
      <c r="A3546" s="26"/>
      <c r="B3546">
        <v>1</v>
      </c>
    </row>
    <row r="3547" spans="1:2" x14ac:dyDescent="0.25">
      <c r="A3547" s="27"/>
      <c r="B3547">
        <v>1</v>
      </c>
    </row>
    <row r="3548" spans="1:2" x14ac:dyDescent="0.25">
      <c r="A3548" s="26"/>
      <c r="B3548">
        <v>1</v>
      </c>
    </row>
    <row r="3549" spans="1:2" x14ac:dyDescent="0.25">
      <c r="A3549" s="27"/>
      <c r="B3549">
        <v>1</v>
      </c>
    </row>
    <row r="3550" spans="1:2" x14ac:dyDescent="0.25">
      <c r="A3550" s="26"/>
      <c r="B3550">
        <v>1</v>
      </c>
    </row>
    <row r="3551" spans="1:2" x14ac:dyDescent="0.25">
      <c r="A3551" s="27"/>
      <c r="B3551">
        <v>1</v>
      </c>
    </row>
    <row r="3552" spans="1:2" x14ac:dyDescent="0.25">
      <c r="A3552" s="26"/>
      <c r="B3552">
        <v>1</v>
      </c>
    </row>
    <row r="3553" spans="1:2" x14ac:dyDescent="0.25">
      <c r="A3553" s="27"/>
      <c r="B3553">
        <v>1</v>
      </c>
    </row>
    <row r="3554" spans="1:2" x14ac:dyDescent="0.25">
      <c r="A3554" s="26"/>
      <c r="B3554">
        <v>1</v>
      </c>
    </row>
    <row r="3555" spans="1:2" x14ac:dyDescent="0.25">
      <c r="A3555" s="27"/>
      <c r="B3555">
        <v>1</v>
      </c>
    </row>
    <row r="3556" spans="1:2" x14ac:dyDescent="0.25">
      <c r="A3556" s="26"/>
      <c r="B3556">
        <v>1</v>
      </c>
    </row>
    <row r="3557" spans="1:2" x14ac:dyDescent="0.25">
      <c r="A3557" s="27"/>
      <c r="B3557">
        <v>1</v>
      </c>
    </row>
    <row r="3558" spans="1:2" x14ac:dyDescent="0.25">
      <c r="A3558" s="26"/>
      <c r="B3558">
        <v>1</v>
      </c>
    </row>
    <row r="3559" spans="1:2" x14ac:dyDescent="0.25">
      <c r="A3559" s="27"/>
      <c r="B3559">
        <v>1</v>
      </c>
    </row>
    <row r="3560" spans="1:2" x14ac:dyDescent="0.25">
      <c r="A3560" s="26"/>
      <c r="B3560">
        <v>1</v>
      </c>
    </row>
    <row r="3561" spans="1:2" x14ac:dyDescent="0.25">
      <c r="A3561" s="27"/>
      <c r="B3561">
        <v>1</v>
      </c>
    </row>
    <row r="3562" spans="1:2" x14ac:dyDescent="0.25">
      <c r="A3562" s="26"/>
      <c r="B3562">
        <v>1</v>
      </c>
    </row>
    <row r="3563" spans="1:2" x14ac:dyDescent="0.25">
      <c r="A3563" s="27"/>
      <c r="B3563">
        <v>1</v>
      </c>
    </row>
    <row r="3564" spans="1:2" x14ac:dyDescent="0.25">
      <c r="A3564" s="26"/>
      <c r="B3564">
        <v>1</v>
      </c>
    </row>
    <row r="3565" spans="1:2" x14ac:dyDescent="0.25">
      <c r="A3565" s="27"/>
      <c r="B3565">
        <v>1</v>
      </c>
    </row>
    <row r="3566" spans="1:2" x14ac:dyDescent="0.25">
      <c r="A3566" s="26"/>
      <c r="B3566">
        <v>1</v>
      </c>
    </row>
    <row r="3567" spans="1:2" x14ac:dyDescent="0.25">
      <c r="A3567" s="27"/>
      <c r="B3567">
        <v>1</v>
      </c>
    </row>
    <row r="3568" spans="1:2" x14ac:dyDescent="0.25">
      <c r="A3568" s="26"/>
      <c r="B3568">
        <v>1</v>
      </c>
    </row>
    <row r="3569" spans="1:2" x14ac:dyDescent="0.25">
      <c r="A3569" s="27"/>
      <c r="B3569">
        <v>1</v>
      </c>
    </row>
    <row r="3570" spans="1:2" x14ac:dyDescent="0.25">
      <c r="A3570" s="26"/>
      <c r="B3570">
        <v>1</v>
      </c>
    </row>
    <row r="3571" spans="1:2" x14ac:dyDescent="0.25">
      <c r="A3571" s="27"/>
      <c r="B3571">
        <v>1</v>
      </c>
    </row>
    <row r="3572" spans="1:2" x14ac:dyDescent="0.25">
      <c r="A3572" s="26"/>
      <c r="B3572">
        <v>1</v>
      </c>
    </row>
    <row r="3573" spans="1:2" x14ac:dyDescent="0.25">
      <c r="A3573" s="27"/>
      <c r="B3573">
        <v>1</v>
      </c>
    </row>
    <row r="3574" spans="1:2" x14ac:dyDescent="0.25">
      <c r="A3574" s="26"/>
      <c r="B3574">
        <v>1</v>
      </c>
    </row>
    <row r="3575" spans="1:2" x14ac:dyDescent="0.25">
      <c r="A3575" s="27"/>
      <c r="B3575">
        <v>1</v>
      </c>
    </row>
    <row r="3576" spans="1:2" x14ac:dyDescent="0.25">
      <c r="A3576" s="26"/>
      <c r="B3576">
        <v>1</v>
      </c>
    </row>
    <row r="3577" spans="1:2" x14ac:dyDescent="0.25">
      <c r="A3577" s="27"/>
      <c r="B3577">
        <v>1</v>
      </c>
    </row>
    <row r="3578" spans="1:2" x14ac:dyDescent="0.25">
      <c r="A3578" s="26"/>
      <c r="B3578">
        <v>1</v>
      </c>
    </row>
    <row r="3579" spans="1:2" x14ac:dyDescent="0.25">
      <c r="A3579" s="27"/>
      <c r="B3579">
        <v>1</v>
      </c>
    </row>
    <row r="3580" spans="1:2" x14ac:dyDescent="0.25">
      <c r="A3580" s="26"/>
      <c r="B3580">
        <v>1</v>
      </c>
    </row>
    <row r="3581" spans="1:2" x14ac:dyDescent="0.25">
      <c r="A3581" s="27"/>
      <c r="B3581">
        <v>1</v>
      </c>
    </row>
    <row r="3582" spans="1:2" x14ac:dyDescent="0.25">
      <c r="A3582" s="26"/>
      <c r="B3582">
        <v>1</v>
      </c>
    </row>
    <row r="3583" spans="1:2" x14ac:dyDescent="0.25">
      <c r="A3583" s="27"/>
      <c r="B3583">
        <v>1</v>
      </c>
    </row>
    <row r="3584" spans="1:2" x14ac:dyDescent="0.25">
      <c r="A3584" s="26"/>
      <c r="B3584">
        <v>1</v>
      </c>
    </row>
    <row r="3585" spans="1:2" x14ac:dyDescent="0.25">
      <c r="A3585" s="27"/>
      <c r="B3585">
        <v>1</v>
      </c>
    </row>
    <row r="3586" spans="1:2" x14ac:dyDescent="0.25">
      <c r="A3586" s="26"/>
      <c r="B3586">
        <v>1</v>
      </c>
    </row>
    <row r="3587" spans="1:2" x14ac:dyDescent="0.25">
      <c r="A3587" s="27"/>
      <c r="B3587">
        <v>1</v>
      </c>
    </row>
    <row r="3588" spans="1:2" x14ac:dyDescent="0.25">
      <c r="A3588" s="26"/>
      <c r="B3588">
        <v>1</v>
      </c>
    </row>
    <row r="3589" spans="1:2" x14ac:dyDescent="0.25">
      <c r="A3589" s="27"/>
      <c r="B3589">
        <v>1</v>
      </c>
    </row>
    <row r="3590" spans="1:2" x14ac:dyDescent="0.25">
      <c r="A3590" s="26"/>
      <c r="B3590">
        <v>1</v>
      </c>
    </row>
    <row r="3591" spans="1:2" x14ac:dyDescent="0.25">
      <c r="A3591" s="27"/>
      <c r="B3591">
        <v>1</v>
      </c>
    </row>
    <row r="3592" spans="1:2" x14ac:dyDescent="0.25">
      <c r="A3592" s="26"/>
      <c r="B3592">
        <v>1</v>
      </c>
    </row>
    <row r="3593" spans="1:2" x14ac:dyDescent="0.25">
      <c r="A3593" s="27"/>
      <c r="B3593">
        <v>1</v>
      </c>
    </row>
    <row r="3594" spans="1:2" x14ac:dyDescent="0.25">
      <c r="A3594" s="26"/>
      <c r="B3594">
        <v>1</v>
      </c>
    </row>
    <row r="3595" spans="1:2" x14ac:dyDescent="0.25">
      <c r="A3595" s="27"/>
      <c r="B3595">
        <v>1</v>
      </c>
    </row>
    <row r="3596" spans="1:2" x14ac:dyDescent="0.25">
      <c r="A3596" s="26"/>
      <c r="B3596">
        <v>1</v>
      </c>
    </row>
    <row r="3597" spans="1:2" x14ac:dyDescent="0.25">
      <c r="A3597" s="27"/>
      <c r="B3597">
        <v>1</v>
      </c>
    </row>
    <row r="3598" spans="1:2" x14ac:dyDescent="0.25">
      <c r="A3598" s="26"/>
      <c r="B3598">
        <v>1</v>
      </c>
    </row>
    <row r="3599" spans="1:2" x14ac:dyDescent="0.25">
      <c r="A3599" s="27"/>
      <c r="B3599">
        <v>1</v>
      </c>
    </row>
    <row r="3600" spans="1:2" x14ac:dyDescent="0.25">
      <c r="A3600" s="26"/>
      <c r="B3600">
        <v>1</v>
      </c>
    </row>
    <row r="3601" spans="1:2" x14ac:dyDescent="0.25">
      <c r="A3601" s="27"/>
      <c r="B3601">
        <v>1</v>
      </c>
    </row>
    <row r="3602" spans="1:2" x14ac:dyDescent="0.25">
      <c r="A3602" s="26"/>
      <c r="B3602">
        <v>1</v>
      </c>
    </row>
    <row r="3603" spans="1:2" x14ac:dyDescent="0.25">
      <c r="A3603" s="27"/>
      <c r="B3603">
        <v>1</v>
      </c>
    </row>
    <row r="3604" spans="1:2" x14ac:dyDescent="0.25">
      <c r="A3604" s="26"/>
      <c r="B3604">
        <v>1</v>
      </c>
    </row>
    <row r="3605" spans="1:2" x14ac:dyDescent="0.25">
      <c r="A3605" s="27"/>
      <c r="B3605">
        <v>1</v>
      </c>
    </row>
    <row r="3606" spans="1:2" x14ac:dyDescent="0.25">
      <c r="A3606" s="26"/>
      <c r="B3606">
        <v>1</v>
      </c>
    </row>
    <row r="3607" spans="1:2" x14ac:dyDescent="0.25">
      <c r="A3607" s="27"/>
      <c r="B3607">
        <v>1</v>
      </c>
    </row>
    <row r="3608" spans="1:2" x14ac:dyDescent="0.25">
      <c r="A3608" s="26"/>
      <c r="B3608">
        <v>1</v>
      </c>
    </row>
    <row r="3609" spans="1:2" x14ac:dyDescent="0.25">
      <c r="A3609" s="27"/>
      <c r="B3609">
        <v>1</v>
      </c>
    </row>
    <row r="3610" spans="1:2" x14ac:dyDescent="0.25">
      <c r="A3610" s="26"/>
      <c r="B3610">
        <v>1</v>
      </c>
    </row>
    <row r="3611" spans="1:2" x14ac:dyDescent="0.25">
      <c r="A3611" s="27"/>
      <c r="B3611">
        <v>1</v>
      </c>
    </row>
    <row r="3612" spans="1:2" x14ac:dyDescent="0.25">
      <c r="A3612" s="26"/>
      <c r="B3612">
        <v>1</v>
      </c>
    </row>
    <row r="3613" spans="1:2" x14ac:dyDescent="0.25">
      <c r="A3613" s="27"/>
      <c r="B3613">
        <v>1</v>
      </c>
    </row>
    <row r="3614" spans="1:2" x14ac:dyDescent="0.25">
      <c r="A3614" s="26"/>
      <c r="B3614">
        <v>1</v>
      </c>
    </row>
    <row r="3615" spans="1:2" x14ac:dyDescent="0.25">
      <c r="A3615" s="27"/>
      <c r="B3615">
        <v>1</v>
      </c>
    </row>
    <row r="3616" spans="1:2" x14ac:dyDescent="0.25">
      <c r="A3616" s="26"/>
      <c r="B3616">
        <v>1</v>
      </c>
    </row>
    <row r="3617" spans="1:2" x14ac:dyDescent="0.25">
      <c r="A3617" s="27"/>
      <c r="B3617">
        <v>1</v>
      </c>
    </row>
    <row r="3618" spans="1:2" x14ac:dyDescent="0.25">
      <c r="A3618" s="26"/>
      <c r="B3618">
        <v>1</v>
      </c>
    </row>
    <row r="3619" spans="1:2" x14ac:dyDescent="0.25">
      <c r="A3619" s="27"/>
      <c r="B3619">
        <v>1</v>
      </c>
    </row>
    <row r="3620" spans="1:2" x14ac:dyDescent="0.25">
      <c r="A3620" s="26"/>
      <c r="B3620">
        <v>1</v>
      </c>
    </row>
    <row r="3621" spans="1:2" x14ac:dyDescent="0.25">
      <c r="A3621" s="27"/>
      <c r="B3621">
        <v>1</v>
      </c>
    </row>
    <row r="3622" spans="1:2" x14ac:dyDescent="0.25">
      <c r="A3622" s="26"/>
      <c r="B3622">
        <v>1</v>
      </c>
    </row>
    <row r="3623" spans="1:2" x14ac:dyDescent="0.25">
      <c r="A3623" s="27"/>
      <c r="B3623">
        <v>1</v>
      </c>
    </row>
    <row r="3624" spans="1:2" x14ac:dyDescent="0.25">
      <c r="A3624" s="26"/>
      <c r="B3624">
        <v>1</v>
      </c>
    </row>
    <row r="3625" spans="1:2" x14ac:dyDescent="0.25">
      <c r="A3625" s="27"/>
      <c r="B3625">
        <v>1</v>
      </c>
    </row>
    <row r="3626" spans="1:2" x14ac:dyDescent="0.25">
      <c r="A3626" s="26"/>
      <c r="B3626">
        <v>1</v>
      </c>
    </row>
    <row r="3627" spans="1:2" x14ac:dyDescent="0.25">
      <c r="A3627" s="27"/>
      <c r="B3627">
        <v>1</v>
      </c>
    </row>
    <row r="3628" spans="1:2" x14ac:dyDescent="0.25">
      <c r="A3628" s="26"/>
      <c r="B3628">
        <v>1</v>
      </c>
    </row>
    <row r="3629" spans="1:2" x14ac:dyDescent="0.25">
      <c r="A3629" s="27"/>
      <c r="B3629">
        <v>1</v>
      </c>
    </row>
    <row r="3630" spans="1:2" x14ac:dyDescent="0.25">
      <c r="A3630" s="26"/>
      <c r="B3630">
        <v>1</v>
      </c>
    </row>
    <row r="3631" spans="1:2" x14ac:dyDescent="0.25">
      <c r="A3631" s="27"/>
      <c r="B3631">
        <v>1</v>
      </c>
    </row>
    <row r="3632" spans="1:2" x14ac:dyDescent="0.25">
      <c r="A3632" s="26"/>
      <c r="B3632">
        <v>1</v>
      </c>
    </row>
    <row r="3633" spans="1:2" x14ac:dyDescent="0.25">
      <c r="A3633" s="27"/>
      <c r="B3633">
        <v>1</v>
      </c>
    </row>
    <row r="3634" spans="1:2" x14ac:dyDescent="0.25">
      <c r="A3634" s="26"/>
      <c r="B3634">
        <v>1</v>
      </c>
    </row>
    <row r="3635" spans="1:2" x14ac:dyDescent="0.25">
      <c r="A3635" s="27"/>
      <c r="B3635">
        <v>1</v>
      </c>
    </row>
    <row r="3636" spans="1:2" x14ac:dyDescent="0.25">
      <c r="A3636" s="26"/>
      <c r="B3636">
        <v>1</v>
      </c>
    </row>
    <row r="3637" spans="1:2" x14ac:dyDescent="0.25">
      <c r="A3637" s="27"/>
      <c r="B3637">
        <v>1</v>
      </c>
    </row>
    <row r="3638" spans="1:2" x14ac:dyDescent="0.25">
      <c r="A3638" s="26"/>
      <c r="B3638">
        <v>1</v>
      </c>
    </row>
    <row r="3639" spans="1:2" x14ac:dyDescent="0.25">
      <c r="A3639" s="27"/>
      <c r="B3639">
        <v>1</v>
      </c>
    </row>
    <row r="3640" spans="1:2" x14ac:dyDescent="0.25">
      <c r="A3640" s="26"/>
      <c r="B3640">
        <v>1</v>
      </c>
    </row>
    <row r="3641" spans="1:2" x14ac:dyDescent="0.25">
      <c r="A3641" s="27"/>
      <c r="B3641">
        <v>1</v>
      </c>
    </row>
    <row r="3642" spans="1:2" x14ac:dyDescent="0.25">
      <c r="A3642" s="26"/>
      <c r="B3642">
        <v>1</v>
      </c>
    </row>
    <row r="3643" spans="1:2" x14ac:dyDescent="0.25">
      <c r="A3643" s="27"/>
      <c r="B3643">
        <v>1</v>
      </c>
    </row>
    <row r="3644" spans="1:2" x14ac:dyDescent="0.25">
      <c r="A3644" s="26"/>
      <c r="B3644">
        <v>1</v>
      </c>
    </row>
    <row r="3645" spans="1:2" x14ac:dyDescent="0.25">
      <c r="A3645" s="27"/>
      <c r="B3645">
        <v>1</v>
      </c>
    </row>
    <row r="3646" spans="1:2" x14ac:dyDescent="0.25">
      <c r="A3646" s="26"/>
      <c r="B3646">
        <v>1</v>
      </c>
    </row>
    <row r="3647" spans="1:2" x14ac:dyDescent="0.25">
      <c r="A3647" s="27"/>
      <c r="B3647">
        <v>1</v>
      </c>
    </row>
    <row r="3648" spans="1:2" x14ac:dyDescent="0.25">
      <c r="A3648" s="26"/>
      <c r="B3648">
        <v>1</v>
      </c>
    </row>
    <row r="3649" spans="1:2" x14ac:dyDescent="0.25">
      <c r="A3649" s="27"/>
      <c r="B3649">
        <v>1</v>
      </c>
    </row>
    <row r="3650" spans="1:2" x14ac:dyDescent="0.25">
      <c r="A3650" s="26"/>
      <c r="B3650">
        <v>1</v>
      </c>
    </row>
    <row r="3651" spans="1:2" x14ac:dyDescent="0.25">
      <c r="A3651" s="27"/>
      <c r="B3651">
        <v>1</v>
      </c>
    </row>
    <row r="3652" spans="1:2" x14ac:dyDescent="0.25">
      <c r="A3652" s="26"/>
      <c r="B3652">
        <v>1</v>
      </c>
    </row>
    <row r="3653" spans="1:2" x14ac:dyDescent="0.25">
      <c r="A3653" s="27"/>
      <c r="B3653">
        <v>1</v>
      </c>
    </row>
    <row r="3654" spans="1:2" x14ac:dyDescent="0.25">
      <c r="A3654" s="26"/>
      <c r="B3654">
        <v>1</v>
      </c>
    </row>
    <row r="3655" spans="1:2" x14ac:dyDescent="0.25">
      <c r="A3655" s="27"/>
      <c r="B3655">
        <v>1</v>
      </c>
    </row>
    <row r="3656" spans="1:2" x14ac:dyDescent="0.25">
      <c r="A3656" s="26"/>
      <c r="B3656">
        <v>1</v>
      </c>
    </row>
    <row r="3657" spans="1:2" x14ac:dyDescent="0.25">
      <c r="A3657" s="27"/>
      <c r="B3657">
        <v>1</v>
      </c>
    </row>
    <row r="3658" spans="1:2" x14ac:dyDescent="0.25">
      <c r="A3658" s="26"/>
      <c r="B3658">
        <v>1</v>
      </c>
    </row>
    <row r="3659" spans="1:2" x14ac:dyDescent="0.25">
      <c r="A3659" s="27"/>
      <c r="B3659">
        <v>1</v>
      </c>
    </row>
    <row r="3660" spans="1:2" x14ac:dyDescent="0.25">
      <c r="A3660" s="26"/>
      <c r="B3660">
        <v>1</v>
      </c>
    </row>
    <row r="3661" spans="1:2" x14ac:dyDescent="0.25">
      <c r="A3661" s="27"/>
      <c r="B3661">
        <v>1</v>
      </c>
    </row>
    <row r="3662" spans="1:2" x14ac:dyDescent="0.25">
      <c r="A3662" s="26"/>
      <c r="B3662">
        <v>1</v>
      </c>
    </row>
    <row r="3663" spans="1:2" x14ac:dyDescent="0.25">
      <c r="A3663" s="27"/>
      <c r="B3663">
        <v>1</v>
      </c>
    </row>
    <row r="3664" spans="1:2" x14ac:dyDescent="0.25">
      <c r="A3664" s="26"/>
      <c r="B3664">
        <v>1</v>
      </c>
    </row>
    <row r="3665" spans="1:2" x14ac:dyDescent="0.25">
      <c r="A3665" s="27"/>
      <c r="B3665">
        <v>1</v>
      </c>
    </row>
    <row r="3666" spans="1:2" x14ac:dyDescent="0.25">
      <c r="A3666" s="26"/>
      <c r="B3666">
        <v>1</v>
      </c>
    </row>
    <row r="3667" spans="1:2" x14ac:dyDescent="0.25">
      <c r="A3667" s="27"/>
      <c r="B3667">
        <v>1</v>
      </c>
    </row>
    <row r="3668" spans="1:2" x14ac:dyDescent="0.25">
      <c r="A3668" s="26"/>
      <c r="B3668">
        <v>1</v>
      </c>
    </row>
    <row r="3669" spans="1:2" x14ac:dyDescent="0.25">
      <c r="A3669" s="27"/>
      <c r="B3669">
        <v>1</v>
      </c>
    </row>
    <row r="3670" spans="1:2" x14ac:dyDescent="0.25">
      <c r="A3670" s="26"/>
      <c r="B3670">
        <v>1</v>
      </c>
    </row>
    <row r="3671" spans="1:2" x14ac:dyDescent="0.25">
      <c r="A3671" s="27"/>
      <c r="B3671">
        <v>1</v>
      </c>
    </row>
    <row r="3672" spans="1:2" x14ac:dyDescent="0.25">
      <c r="A3672" s="26"/>
      <c r="B3672">
        <v>1</v>
      </c>
    </row>
    <row r="3673" spans="1:2" x14ac:dyDescent="0.25">
      <c r="A3673" s="27"/>
      <c r="B3673">
        <v>1</v>
      </c>
    </row>
    <row r="3674" spans="1:2" x14ac:dyDescent="0.25">
      <c r="A3674" s="26"/>
      <c r="B3674">
        <v>1</v>
      </c>
    </row>
    <row r="3675" spans="1:2" x14ac:dyDescent="0.25">
      <c r="A3675" s="27"/>
      <c r="B3675">
        <v>1</v>
      </c>
    </row>
    <row r="3676" spans="1:2" x14ac:dyDescent="0.25">
      <c r="A3676" s="26"/>
      <c r="B3676">
        <v>1</v>
      </c>
    </row>
    <row r="3677" spans="1:2" x14ac:dyDescent="0.25">
      <c r="A3677" s="27"/>
      <c r="B3677">
        <v>1</v>
      </c>
    </row>
    <row r="3678" spans="1:2" x14ac:dyDescent="0.25">
      <c r="A3678" s="26"/>
      <c r="B3678">
        <v>1</v>
      </c>
    </row>
    <row r="3679" spans="1:2" x14ac:dyDescent="0.25">
      <c r="A3679" s="27"/>
      <c r="B3679">
        <v>1</v>
      </c>
    </row>
    <row r="3680" spans="1:2" x14ac:dyDescent="0.25">
      <c r="A3680" s="26"/>
      <c r="B3680">
        <v>1</v>
      </c>
    </row>
    <row r="3681" spans="1:2" x14ac:dyDescent="0.25">
      <c r="A3681" s="27"/>
      <c r="B3681">
        <v>1</v>
      </c>
    </row>
    <row r="3682" spans="1:2" x14ac:dyDescent="0.25">
      <c r="A3682" s="26"/>
      <c r="B3682">
        <v>1</v>
      </c>
    </row>
    <row r="3683" spans="1:2" x14ac:dyDescent="0.25">
      <c r="A3683" s="27"/>
      <c r="B3683">
        <v>1</v>
      </c>
    </row>
    <row r="3684" spans="1:2" x14ac:dyDescent="0.25">
      <c r="A3684" s="26"/>
      <c r="B3684">
        <v>1</v>
      </c>
    </row>
    <row r="3685" spans="1:2" x14ac:dyDescent="0.25">
      <c r="A3685" s="27"/>
      <c r="B3685">
        <v>1</v>
      </c>
    </row>
    <row r="3686" spans="1:2" x14ac:dyDescent="0.25">
      <c r="A3686" s="26"/>
      <c r="B3686">
        <v>1</v>
      </c>
    </row>
    <row r="3687" spans="1:2" x14ac:dyDescent="0.25">
      <c r="A3687" s="27"/>
      <c r="B3687">
        <v>1</v>
      </c>
    </row>
    <row r="3688" spans="1:2" x14ac:dyDescent="0.25">
      <c r="A3688" s="26"/>
      <c r="B3688">
        <v>1</v>
      </c>
    </row>
    <row r="3689" spans="1:2" x14ac:dyDescent="0.25">
      <c r="A3689" s="27"/>
      <c r="B3689">
        <v>1</v>
      </c>
    </row>
    <row r="3690" spans="1:2" x14ac:dyDescent="0.25">
      <c r="A3690" s="26"/>
      <c r="B3690">
        <v>1</v>
      </c>
    </row>
    <row r="3691" spans="1:2" x14ac:dyDescent="0.25">
      <c r="A3691" s="27"/>
      <c r="B3691">
        <v>1</v>
      </c>
    </row>
    <row r="3692" spans="1:2" x14ac:dyDescent="0.25">
      <c r="A3692" s="26"/>
      <c r="B3692">
        <v>1</v>
      </c>
    </row>
    <row r="3693" spans="1:2" x14ac:dyDescent="0.25">
      <c r="A3693" s="27"/>
      <c r="B3693">
        <v>1</v>
      </c>
    </row>
    <row r="3694" spans="1:2" x14ac:dyDescent="0.25">
      <c r="A3694" s="26"/>
      <c r="B3694">
        <v>1</v>
      </c>
    </row>
    <row r="3695" spans="1:2" x14ac:dyDescent="0.25">
      <c r="A3695" s="27"/>
      <c r="B3695">
        <v>1</v>
      </c>
    </row>
    <row r="3696" spans="1:2" x14ac:dyDescent="0.25">
      <c r="A3696" s="26"/>
      <c r="B3696">
        <v>1</v>
      </c>
    </row>
    <row r="3697" spans="1:2" x14ac:dyDescent="0.25">
      <c r="A3697" s="27"/>
      <c r="B3697">
        <v>1</v>
      </c>
    </row>
    <row r="3698" spans="1:2" x14ac:dyDescent="0.25">
      <c r="A3698" s="26"/>
      <c r="B3698">
        <v>1</v>
      </c>
    </row>
    <row r="3699" spans="1:2" x14ac:dyDescent="0.25">
      <c r="A3699" s="27"/>
      <c r="B3699">
        <v>1</v>
      </c>
    </row>
    <row r="3700" spans="1:2" x14ac:dyDescent="0.25">
      <c r="A3700" s="26"/>
      <c r="B3700">
        <v>1</v>
      </c>
    </row>
    <row r="3701" spans="1:2" x14ac:dyDescent="0.25">
      <c r="A3701" s="27"/>
      <c r="B3701">
        <v>1</v>
      </c>
    </row>
    <row r="3702" spans="1:2" x14ac:dyDescent="0.25">
      <c r="A3702" s="26"/>
      <c r="B3702">
        <v>1</v>
      </c>
    </row>
    <row r="3703" spans="1:2" x14ac:dyDescent="0.25">
      <c r="A3703" s="27"/>
      <c r="B3703">
        <v>1</v>
      </c>
    </row>
    <row r="3704" spans="1:2" x14ac:dyDescent="0.25">
      <c r="A3704" s="26"/>
      <c r="B3704">
        <v>1</v>
      </c>
    </row>
    <row r="3705" spans="1:2" x14ac:dyDescent="0.25">
      <c r="A3705" s="27"/>
      <c r="B3705">
        <v>1</v>
      </c>
    </row>
    <row r="3706" spans="1:2" x14ac:dyDescent="0.25">
      <c r="A3706" s="26"/>
      <c r="B3706">
        <v>1</v>
      </c>
    </row>
    <row r="3707" spans="1:2" x14ac:dyDescent="0.25">
      <c r="A3707" s="27"/>
      <c r="B3707">
        <v>1</v>
      </c>
    </row>
    <row r="3708" spans="1:2" x14ac:dyDescent="0.25">
      <c r="A3708" s="26"/>
      <c r="B3708">
        <v>1</v>
      </c>
    </row>
    <row r="3709" spans="1:2" x14ac:dyDescent="0.25">
      <c r="A3709" s="27"/>
      <c r="B3709">
        <v>1</v>
      </c>
    </row>
    <row r="3710" spans="1:2" x14ac:dyDescent="0.25">
      <c r="A3710" s="26"/>
      <c r="B3710">
        <v>1</v>
      </c>
    </row>
    <row r="3711" spans="1:2" x14ac:dyDescent="0.25">
      <c r="A3711" s="27"/>
      <c r="B3711">
        <v>1</v>
      </c>
    </row>
    <row r="3712" spans="1:2" x14ac:dyDescent="0.25">
      <c r="A3712" s="26"/>
      <c r="B3712">
        <v>1</v>
      </c>
    </row>
    <row r="3713" spans="1:2" x14ac:dyDescent="0.25">
      <c r="A3713" s="27"/>
      <c r="B3713">
        <v>1</v>
      </c>
    </row>
    <row r="3714" spans="1:2" x14ac:dyDescent="0.25">
      <c r="A3714" s="26"/>
      <c r="B3714">
        <v>1</v>
      </c>
    </row>
    <row r="3715" spans="1:2" x14ac:dyDescent="0.25">
      <c r="A3715" s="27"/>
      <c r="B3715">
        <v>1</v>
      </c>
    </row>
    <row r="3716" spans="1:2" x14ac:dyDescent="0.25">
      <c r="A3716" s="26"/>
      <c r="B3716">
        <v>1</v>
      </c>
    </row>
    <row r="3717" spans="1:2" x14ac:dyDescent="0.25">
      <c r="A3717" s="27"/>
      <c r="B3717">
        <v>1</v>
      </c>
    </row>
    <row r="3718" spans="1:2" x14ac:dyDescent="0.25">
      <c r="A3718" s="26"/>
      <c r="B3718">
        <v>1</v>
      </c>
    </row>
    <row r="3719" spans="1:2" x14ac:dyDescent="0.25">
      <c r="A3719" s="27"/>
      <c r="B3719">
        <v>1</v>
      </c>
    </row>
    <row r="3720" spans="1:2" x14ac:dyDescent="0.25">
      <c r="A3720" s="26"/>
      <c r="B3720">
        <v>1</v>
      </c>
    </row>
    <row r="3721" spans="1:2" x14ac:dyDescent="0.25">
      <c r="A3721" s="27"/>
      <c r="B3721">
        <v>1</v>
      </c>
    </row>
    <row r="3722" spans="1:2" x14ac:dyDescent="0.25">
      <c r="A3722" s="26"/>
      <c r="B3722">
        <v>1</v>
      </c>
    </row>
    <row r="3723" spans="1:2" x14ac:dyDescent="0.25">
      <c r="A3723" s="27"/>
      <c r="B3723">
        <v>1</v>
      </c>
    </row>
    <row r="3724" spans="1:2" x14ac:dyDescent="0.25">
      <c r="A3724" s="26"/>
      <c r="B3724">
        <v>1</v>
      </c>
    </row>
    <row r="3725" spans="1:2" x14ac:dyDescent="0.25">
      <c r="A3725" s="27"/>
      <c r="B3725">
        <v>1</v>
      </c>
    </row>
    <row r="3726" spans="1:2" x14ac:dyDescent="0.25">
      <c r="A3726" s="26"/>
      <c r="B3726">
        <v>1</v>
      </c>
    </row>
    <row r="3727" spans="1:2" x14ac:dyDescent="0.25">
      <c r="A3727" s="27"/>
      <c r="B3727">
        <v>1</v>
      </c>
    </row>
    <row r="3728" spans="1:2" x14ac:dyDescent="0.25">
      <c r="A3728" s="26"/>
      <c r="B3728">
        <v>1</v>
      </c>
    </row>
    <row r="3729" spans="1:2" x14ac:dyDescent="0.25">
      <c r="A3729" s="27"/>
      <c r="B3729">
        <v>1</v>
      </c>
    </row>
    <row r="3730" spans="1:2" x14ac:dyDescent="0.25">
      <c r="A3730" s="26"/>
      <c r="B3730">
        <v>1</v>
      </c>
    </row>
    <row r="3731" spans="1:2" x14ac:dyDescent="0.25">
      <c r="A3731" s="27"/>
      <c r="B3731">
        <v>1</v>
      </c>
    </row>
    <row r="3732" spans="1:2" x14ac:dyDescent="0.25">
      <c r="A3732" s="26"/>
      <c r="B3732">
        <v>1</v>
      </c>
    </row>
    <row r="3733" spans="1:2" x14ac:dyDescent="0.25">
      <c r="A3733" s="27"/>
      <c r="B3733">
        <v>1</v>
      </c>
    </row>
    <row r="3734" spans="1:2" x14ac:dyDescent="0.25">
      <c r="A3734" s="26"/>
      <c r="B3734">
        <v>1</v>
      </c>
    </row>
    <row r="3735" spans="1:2" x14ac:dyDescent="0.25">
      <c r="A3735" s="27"/>
      <c r="B3735">
        <v>1</v>
      </c>
    </row>
    <row r="3736" spans="1:2" x14ac:dyDescent="0.25">
      <c r="A3736" s="26"/>
      <c r="B3736">
        <v>1</v>
      </c>
    </row>
    <row r="3737" spans="1:2" x14ac:dyDescent="0.25">
      <c r="A3737" s="27"/>
      <c r="B3737">
        <v>1</v>
      </c>
    </row>
    <row r="3738" spans="1:2" x14ac:dyDescent="0.25">
      <c r="A3738" s="26"/>
      <c r="B3738">
        <v>1</v>
      </c>
    </row>
    <row r="3739" spans="1:2" x14ac:dyDescent="0.25">
      <c r="A3739" s="27"/>
      <c r="B3739">
        <v>1</v>
      </c>
    </row>
    <row r="3740" spans="1:2" x14ac:dyDescent="0.25">
      <c r="A3740" s="26"/>
      <c r="B3740">
        <v>1</v>
      </c>
    </row>
    <row r="3741" spans="1:2" x14ac:dyDescent="0.25">
      <c r="A3741" s="27"/>
      <c r="B3741">
        <v>1</v>
      </c>
    </row>
    <row r="3742" spans="1:2" x14ac:dyDescent="0.25">
      <c r="A3742" s="26"/>
      <c r="B3742">
        <v>1</v>
      </c>
    </row>
    <row r="3743" spans="1:2" x14ac:dyDescent="0.25">
      <c r="A3743" s="27"/>
      <c r="B3743">
        <v>1</v>
      </c>
    </row>
    <row r="3744" spans="1:2" x14ac:dyDescent="0.25">
      <c r="A3744" s="26"/>
      <c r="B3744">
        <v>1</v>
      </c>
    </row>
    <row r="3745" spans="1:2" x14ac:dyDescent="0.25">
      <c r="A3745" s="27"/>
      <c r="B3745">
        <v>1</v>
      </c>
    </row>
    <row r="3746" spans="1:2" x14ac:dyDescent="0.25">
      <c r="A3746" s="26"/>
      <c r="B3746">
        <v>1</v>
      </c>
    </row>
    <row r="3747" spans="1:2" x14ac:dyDescent="0.25">
      <c r="A3747" s="27"/>
      <c r="B3747">
        <v>1</v>
      </c>
    </row>
    <row r="3748" spans="1:2" x14ac:dyDescent="0.25">
      <c r="A3748" s="26"/>
      <c r="B3748">
        <v>1</v>
      </c>
    </row>
    <row r="3749" spans="1:2" x14ac:dyDescent="0.25">
      <c r="A3749" s="27"/>
      <c r="B3749">
        <v>1</v>
      </c>
    </row>
    <row r="3750" spans="1:2" x14ac:dyDescent="0.25">
      <c r="A3750" s="26"/>
      <c r="B3750">
        <v>1</v>
      </c>
    </row>
    <row r="3751" spans="1:2" x14ac:dyDescent="0.25">
      <c r="A3751" s="27"/>
      <c r="B3751">
        <v>1</v>
      </c>
    </row>
    <row r="3752" spans="1:2" x14ac:dyDescent="0.25">
      <c r="A3752" s="26"/>
      <c r="B3752">
        <v>1</v>
      </c>
    </row>
    <row r="3753" spans="1:2" x14ac:dyDescent="0.25">
      <c r="A3753" s="27"/>
      <c r="B3753">
        <v>1</v>
      </c>
    </row>
    <row r="3754" spans="1:2" x14ac:dyDescent="0.25">
      <c r="A3754" s="26"/>
      <c r="B3754">
        <v>1</v>
      </c>
    </row>
    <row r="3755" spans="1:2" x14ac:dyDescent="0.25">
      <c r="A3755" s="27"/>
      <c r="B3755">
        <v>1</v>
      </c>
    </row>
    <row r="3756" spans="1:2" x14ac:dyDescent="0.25">
      <c r="A3756" s="26"/>
      <c r="B3756">
        <v>1</v>
      </c>
    </row>
    <row r="3757" spans="1:2" x14ac:dyDescent="0.25">
      <c r="A3757" s="27"/>
      <c r="B3757">
        <v>1</v>
      </c>
    </row>
    <row r="3758" spans="1:2" x14ac:dyDescent="0.25">
      <c r="A3758" s="26"/>
      <c r="B3758">
        <v>1</v>
      </c>
    </row>
    <row r="3759" spans="1:2" x14ac:dyDescent="0.25">
      <c r="A3759" s="27"/>
      <c r="B3759">
        <v>1</v>
      </c>
    </row>
    <row r="3760" spans="1:2" x14ac:dyDescent="0.25">
      <c r="A3760" s="26"/>
      <c r="B3760">
        <v>1</v>
      </c>
    </row>
    <row r="3761" spans="1:2" x14ac:dyDescent="0.25">
      <c r="A3761" s="27"/>
      <c r="B3761">
        <v>1</v>
      </c>
    </row>
    <row r="3762" spans="1:2" x14ac:dyDescent="0.25">
      <c r="A3762" s="26"/>
      <c r="B3762">
        <v>1</v>
      </c>
    </row>
    <row r="3763" spans="1:2" x14ac:dyDescent="0.25">
      <c r="A3763" s="27"/>
      <c r="B3763">
        <v>1</v>
      </c>
    </row>
    <row r="3764" spans="1:2" x14ac:dyDescent="0.25">
      <c r="A3764" s="26"/>
      <c r="B3764">
        <v>1</v>
      </c>
    </row>
    <row r="3765" spans="1:2" x14ac:dyDescent="0.25">
      <c r="A3765" s="27"/>
      <c r="B3765">
        <v>1</v>
      </c>
    </row>
    <row r="3766" spans="1:2" x14ac:dyDescent="0.25">
      <c r="A3766" s="26"/>
      <c r="B3766">
        <v>1</v>
      </c>
    </row>
    <row r="3767" spans="1:2" x14ac:dyDescent="0.25">
      <c r="A3767" s="27"/>
      <c r="B3767">
        <v>1</v>
      </c>
    </row>
    <row r="3768" spans="1:2" x14ac:dyDescent="0.25">
      <c r="A3768" s="26"/>
      <c r="B3768">
        <v>1</v>
      </c>
    </row>
    <row r="3769" spans="1:2" x14ac:dyDescent="0.25">
      <c r="A3769" s="27"/>
      <c r="B3769">
        <v>1</v>
      </c>
    </row>
    <row r="3770" spans="1:2" x14ac:dyDescent="0.25">
      <c r="A3770" s="26"/>
      <c r="B3770">
        <v>1</v>
      </c>
    </row>
    <row r="3771" spans="1:2" x14ac:dyDescent="0.25">
      <c r="A3771" s="27"/>
      <c r="B3771">
        <v>1</v>
      </c>
    </row>
    <row r="3772" spans="1:2" x14ac:dyDescent="0.25">
      <c r="A3772" s="26"/>
      <c r="B3772">
        <v>1</v>
      </c>
    </row>
    <row r="3773" spans="1:2" x14ac:dyDescent="0.25">
      <c r="A3773" s="27"/>
      <c r="B3773">
        <v>1</v>
      </c>
    </row>
    <row r="3774" spans="1:2" x14ac:dyDescent="0.25">
      <c r="A3774" s="26"/>
      <c r="B3774">
        <v>1</v>
      </c>
    </row>
    <row r="3775" spans="1:2" x14ac:dyDescent="0.25">
      <c r="A3775" s="27"/>
      <c r="B3775">
        <v>1</v>
      </c>
    </row>
    <row r="3776" spans="1:2" x14ac:dyDescent="0.25">
      <c r="A3776" s="26"/>
      <c r="B3776">
        <v>1</v>
      </c>
    </row>
    <row r="3777" spans="1:2" x14ac:dyDescent="0.25">
      <c r="A3777" s="27"/>
      <c r="B3777">
        <v>1</v>
      </c>
    </row>
    <row r="3778" spans="1:2" x14ac:dyDescent="0.25">
      <c r="A3778" s="26"/>
      <c r="B3778">
        <v>1</v>
      </c>
    </row>
    <row r="3779" spans="1:2" x14ac:dyDescent="0.25">
      <c r="A3779" s="27"/>
      <c r="B3779">
        <v>1</v>
      </c>
    </row>
    <row r="3780" spans="1:2" x14ac:dyDescent="0.25">
      <c r="A3780" s="26"/>
      <c r="B3780">
        <v>1</v>
      </c>
    </row>
    <row r="3781" spans="1:2" x14ac:dyDescent="0.25">
      <c r="A3781" s="27"/>
      <c r="B3781">
        <v>1</v>
      </c>
    </row>
    <row r="3782" spans="1:2" x14ac:dyDescent="0.25">
      <c r="A3782" s="26"/>
      <c r="B3782">
        <v>1</v>
      </c>
    </row>
    <row r="3783" spans="1:2" x14ac:dyDescent="0.25">
      <c r="A3783" s="27"/>
      <c r="B3783">
        <v>1</v>
      </c>
    </row>
    <row r="3784" spans="1:2" x14ac:dyDescent="0.25">
      <c r="A3784" s="26"/>
      <c r="B3784">
        <v>1</v>
      </c>
    </row>
    <row r="3785" spans="1:2" x14ac:dyDescent="0.25">
      <c r="A3785" s="27"/>
      <c r="B3785">
        <v>1</v>
      </c>
    </row>
    <row r="3786" spans="1:2" x14ac:dyDescent="0.25">
      <c r="A3786" s="26"/>
      <c r="B3786">
        <v>1</v>
      </c>
    </row>
    <row r="3787" spans="1:2" x14ac:dyDescent="0.25">
      <c r="A3787" s="27"/>
      <c r="B3787">
        <v>1</v>
      </c>
    </row>
    <row r="3788" spans="1:2" x14ac:dyDescent="0.25">
      <c r="A3788" s="26"/>
      <c r="B3788">
        <v>1</v>
      </c>
    </row>
    <row r="3789" spans="1:2" x14ac:dyDescent="0.25">
      <c r="A3789" s="27"/>
      <c r="B3789">
        <v>1</v>
      </c>
    </row>
    <row r="3790" spans="1:2" x14ac:dyDescent="0.25">
      <c r="A3790" s="26"/>
      <c r="B3790">
        <v>1</v>
      </c>
    </row>
    <row r="3791" spans="1:2" x14ac:dyDescent="0.25">
      <c r="A3791" s="27"/>
      <c r="B3791">
        <v>1</v>
      </c>
    </row>
    <row r="3792" spans="1:2" x14ac:dyDescent="0.25">
      <c r="A3792" s="26"/>
      <c r="B3792">
        <v>1</v>
      </c>
    </row>
    <row r="3793" spans="1:2" x14ac:dyDescent="0.25">
      <c r="A3793" s="27"/>
      <c r="B3793">
        <v>1</v>
      </c>
    </row>
    <row r="3794" spans="1:2" x14ac:dyDescent="0.25">
      <c r="A3794" s="26"/>
      <c r="B3794">
        <v>1</v>
      </c>
    </row>
    <row r="3795" spans="1:2" x14ac:dyDescent="0.25">
      <c r="A3795" s="27"/>
      <c r="B3795">
        <v>1</v>
      </c>
    </row>
    <row r="3796" spans="1:2" x14ac:dyDescent="0.25">
      <c r="A3796" s="26"/>
      <c r="B3796">
        <v>1</v>
      </c>
    </row>
    <row r="3797" spans="1:2" x14ac:dyDescent="0.25">
      <c r="A3797" s="27"/>
      <c r="B3797">
        <v>1</v>
      </c>
    </row>
    <row r="3798" spans="1:2" x14ac:dyDescent="0.25">
      <c r="A3798" s="26"/>
      <c r="B3798">
        <v>1</v>
      </c>
    </row>
    <row r="3799" spans="1:2" x14ac:dyDescent="0.25">
      <c r="A3799" s="27"/>
      <c r="B3799">
        <v>1</v>
      </c>
    </row>
    <row r="3800" spans="1:2" x14ac:dyDescent="0.25">
      <c r="A3800" s="26"/>
      <c r="B3800">
        <v>1</v>
      </c>
    </row>
    <row r="3801" spans="1:2" x14ac:dyDescent="0.25">
      <c r="A3801" s="27"/>
      <c r="B3801">
        <v>1</v>
      </c>
    </row>
    <row r="3802" spans="1:2" x14ac:dyDescent="0.25">
      <c r="A3802" s="26"/>
      <c r="B3802">
        <v>1</v>
      </c>
    </row>
    <row r="3803" spans="1:2" x14ac:dyDescent="0.25">
      <c r="A3803" s="27"/>
      <c r="B3803">
        <v>1</v>
      </c>
    </row>
    <row r="3804" spans="1:2" x14ac:dyDescent="0.25">
      <c r="A3804" s="26"/>
      <c r="B3804">
        <v>1</v>
      </c>
    </row>
    <row r="3805" spans="1:2" x14ac:dyDescent="0.25">
      <c r="A3805" s="27"/>
      <c r="B3805">
        <v>1</v>
      </c>
    </row>
    <row r="3806" spans="1:2" x14ac:dyDescent="0.25">
      <c r="A3806" s="26"/>
      <c r="B3806">
        <v>1</v>
      </c>
    </row>
    <row r="3807" spans="1:2" x14ac:dyDescent="0.25">
      <c r="A3807" s="27"/>
      <c r="B3807">
        <v>1</v>
      </c>
    </row>
    <row r="3808" spans="1:2" x14ac:dyDescent="0.25">
      <c r="A3808" s="26"/>
      <c r="B3808">
        <v>1</v>
      </c>
    </row>
    <row r="3809" spans="1:2" x14ac:dyDescent="0.25">
      <c r="A3809" s="27"/>
      <c r="B3809">
        <v>1</v>
      </c>
    </row>
    <row r="3810" spans="1:2" x14ac:dyDescent="0.25">
      <c r="A3810" s="26"/>
      <c r="B3810">
        <v>1</v>
      </c>
    </row>
    <row r="3811" spans="1:2" x14ac:dyDescent="0.25">
      <c r="A3811" s="27"/>
      <c r="B3811">
        <v>1</v>
      </c>
    </row>
    <row r="3812" spans="1:2" x14ac:dyDescent="0.25">
      <c r="A3812" s="26"/>
      <c r="B3812">
        <v>1</v>
      </c>
    </row>
    <row r="3813" spans="1:2" x14ac:dyDescent="0.25">
      <c r="A3813" s="27"/>
      <c r="B3813">
        <v>1</v>
      </c>
    </row>
    <row r="3814" spans="1:2" x14ac:dyDescent="0.25">
      <c r="A3814" s="26"/>
      <c r="B3814">
        <v>1</v>
      </c>
    </row>
    <row r="3815" spans="1:2" x14ac:dyDescent="0.25">
      <c r="A3815" s="27"/>
      <c r="B3815">
        <v>1</v>
      </c>
    </row>
    <row r="3816" spans="1:2" x14ac:dyDescent="0.25">
      <c r="A3816" s="26"/>
      <c r="B3816">
        <v>1</v>
      </c>
    </row>
    <row r="3817" spans="1:2" x14ac:dyDescent="0.25">
      <c r="A3817" s="27"/>
      <c r="B3817">
        <v>1</v>
      </c>
    </row>
    <row r="3818" spans="1:2" x14ac:dyDescent="0.25">
      <c r="A3818" s="26"/>
      <c r="B3818">
        <v>1</v>
      </c>
    </row>
    <row r="3819" spans="1:2" x14ac:dyDescent="0.25">
      <c r="A3819" s="27"/>
      <c r="B3819">
        <v>1</v>
      </c>
    </row>
    <row r="3820" spans="1:2" x14ac:dyDescent="0.25">
      <c r="A3820" s="26"/>
      <c r="B3820">
        <v>1</v>
      </c>
    </row>
    <row r="3821" spans="1:2" x14ac:dyDescent="0.25">
      <c r="A3821" s="27"/>
      <c r="B3821">
        <v>1</v>
      </c>
    </row>
    <row r="3822" spans="1:2" x14ac:dyDescent="0.25">
      <c r="A3822" s="26"/>
      <c r="B3822">
        <v>1</v>
      </c>
    </row>
    <row r="3823" spans="1:2" x14ac:dyDescent="0.25">
      <c r="A3823" s="27"/>
      <c r="B3823">
        <v>1</v>
      </c>
    </row>
    <row r="3824" spans="1:2" x14ac:dyDescent="0.25">
      <c r="A3824" s="26"/>
      <c r="B3824">
        <v>1</v>
      </c>
    </row>
    <row r="3825" spans="1:2" x14ac:dyDescent="0.25">
      <c r="A3825" s="27"/>
      <c r="B3825">
        <v>1</v>
      </c>
    </row>
    <row r="3826" spans="1:2" x14ac:dyDescent="0.25">
      <c r="A3826" s="26"/>
      <c r="B3826">
        <v>1</v>
      </c>
    </row>
    <row r="3827" spans="1:2" x14ac:dyDescent="0.25">
      <c r="A3827" s="27"/>
      <c r="B3827">
        <v>1</v>
      </c>
    </row>
    <row r="3828" spans="1:2" x14ac:dyDescent="0.25">
      <c r="A3828" s="26"/>
      <c r="B3828">
        <v>1</v>
      </c>
    </row>
    <row r="3829" spans="1:2" x14ac:dyDescent="0.25">
      <c r="A3829" s="27"/>
      <c r="B3829">
        <v>1</v>
      </c>
    </row>
    <row r="3830" spans="1:2" x14ac:dyDescent="0.25">
      <c r="A3830" s="26"/>
      <c r="B3830">
        <v>1</v>
      </c>
    </row>
    <row r="3831" spans="1:2" x14ac:dyDescent="0.25">
      <c r="A3831" s="27"/>
      <c r="B3831">
        <v>1</v>
      </c>
    </row>
    <row r="3832" spans="1:2" x14ac:dyDescent="0.25">
      <c r="A3832" s="26"/>
      <c r="B3832">
        <v>1</v>
      </c>
    </row>
    <row r="3833" spans="1:2" x14ac:dyDescent="0.25">
      <c r="A3833" s="27"/>
      <c r="B3833">
        <v>1</v>
      </c>
    </row>
    <row r="3834" spans="1:2" x14ac:dyDescent="0.25">
      <c r="A3834" s="26"/>
      <c r="B3834">
        <v>1</v>
      </c>
    </row>
    <row r="3835" spans="1:2" x14ac:dyDescent="0.25">
      <c r="A3835" s="27"/>
      <c r="B3835">
        <v>1</v>
      </c>
    </row>
    <row r="3836" spans="1:2" x14ac:dyDescent="0.25">
      <c r="A3836" s="26"/>
      <c r="B3836">
        <v>1</v>
      </c>
    </row>
    <row r="3837" spans="1:2" x14ac:dyDescent="0.25">
      <c r="A3837" s="27"/>
      <c r="B3837">
        <v>1</v>
      </c>
    </row>
    <row r="3838" spans="1:2" x14ac:dyDescent="0.25">
      <c r="A3838" s="26"/>
      <c r="B3838">
        <v>1</v>
      </c>
    </row>
    <row r="3839" spans="1:2" x14ac:dyDescent="0.25">
      <c r="A3839" s="27"/>
      <c r="B3839">
        <v>1</v>
      </c>
    </row>
    <row r="3840" spans="1:2" x14ac:dyDescent="0.25">
      <c r="A3840" s="26"/>
      <c r="B3840">
        <v>1</v>
      </c>
    </row>
    <row r="3841" spans="1:2" x14ac:dyDescent="0.25">
      <c r="A3841" s="27"/>
      <c r="B3841">
        <v>1</v>
      </c>
    </row>
    <row r="3842" spans="1:2" x14ac:dyDescent="0.25">
      <c r="A3842" s="26"/>
      <c r="B3842">
        <v>1</v>
      </c>
    </row>
    <row r="3843" spans="1:2" x14ac:dyDescent="0.25">
      <c r="A3843" s="27"/>
      <c r="B3843">
        <v>1</v>
      </c>
    </row>
    <row r="3844" spans="1:2" x14ac:dyDescent="0.25">
      <c r="A3844" s="26"/>
      <c r="B3844">
        <v>1</v>
      </c>
    </row>
    <row r="3845" spans="1:2" x14ac:dyDescent="0.25">
      <c r="A3845" s="27"/>
      <c r="B3845">
        <v>1</v>
      </c>
    </row>
    <row r="3846" spans="1:2" x14ac:dyDescent="0.25">
      <c r="A3846" s="26"/>
      <c r="B3846">
        <v>1</v>
      </c>
    </row>
    <row r="3847" spans="1:2" x14ac:dyDescent="0.25">
      <c r="A3847" s="27"/>
      <c r="B3847">
        <v>1</v>
      </c>
    </row>
    <row r="3848" spans="1:2" x14ac:dyDescent="0.25">
      <c r="A3848" s="26"/>
      <c r="B3848">
        <v>1</v>
      </c>
    </row>
    <row r="3849" spans="1:2" x14ac:dyDescent="0.25">
      <c r="A3849" s="27"/>
      <c r="B3849">
        <v>1</v>
      </c>
    </row>
    <row r="3850" spans="1:2" x14ac:dyDescent="0.25">
      <c r="A3850" s="26"/>
      <c r="B3850">
        <v>1</v>
      </c>
    </row>
    <row r="3851" spans="1:2" x14ac:dyDescent="0.25">
      <c r="A3851" s="27"/>
      <c r="B3851">
        <v>1</v>
      </c>
    </row>
    <row r="3852" spans="1:2" x14ac:dyDescent="0.25">
      <c r="A3852" s="26"/>
      <c r="B3852">
        <v>1</v>
      </c>
    </row>
    <row r="3853" spans="1:2" x14ac:dyDescent="0.25">
      <c r="A3853" s="27"/>
      <c r="B3853">
        <v>1</v>
      </c>
    </row>
    <row r="3854" spans="1:2" x14ac:dyDescent="0.25">
      <c r="A3854" s="26"/>
      <c r="B3854">
        <v>1</v>
      </c>
    </row>
    <row r="3855" spans="1:2" x14ac:dyDescent="0.25">
      <c r="A3855" s="27"/>
      <c r="B3855">
        <v>1</v>
      </c>
    </row>
    <row r="3856" spans="1:2" x14ac:dyDescent="0.25">
      <c r="A3856" s="26"/>
      <c r="B3856">
        <v>1</v>
      </c>
    </row>
    <row r="3857" spans="1:2" x14ac:dyDescent="0.25">
      <c r="A3857" s="27"/>
      <c r="B3857">
        <v>1</v>
      </c>
    </row>
    <row r="3858" spans="1:2" x14ac:dyDescent="0.25">
      <c r="A3858" s="26"/>
      <c r="B3858">
        <v>1</v>
      </c>
    </row>
    <row r="3859" spans="1:2" x14ac:dyDescent="0.25">
      <c r="A3859" s="27"/>
      <c r="B3859">
        <v>1</v>
      </c>
    </row>
    <row r="3860" spans="1:2" x14ac:dyDescent="0.25">
      <c r="A3860" s="26"/>
      <c r="B3860">
        <v>1</v>
      </c>
    </row>
    <row r="3861" spans="1:2" x14ac:dyDescent="0.25">
      <c r="A3861" s="27"/>
      <c r="B3861">
        <v>1</v>
      </c>
    </row>
    <row r="3862" spans="1:2" x14ac:dyDescent="0.25">
      <c r="A3862" s="26"/>
      <c r="B3862">
        <v>1</v>
      </c>
    </row>
    <row r="3863" spans="1:2" x14ac:dyDescent="0.25">
      <c r="A3863" s="27"/>
      <c r="B3863">
        <v>1</v>
      </c>
    </row>
    <row r="3864" spans="1:2" x14ac:dyDescent="0.25">
      <c r="A3864" s="26"/>
      <c r="B3864">
        <v>1</v>
      </c>
    </row>
    <row r="3865" spans="1:2" x14ac:dyDescent="0.25">
      <c r="A3865" s="27"/>
      <c r="B3865">
        <v>1</v>
      </c>
    </row>
    <row r="3866" spans="1:2" x14ac:dyDescent="0.25">
      <c r="A3866" s="26"/>
      <c r="B3866">
        <v>1</v>
      </c>
    </row>
    <row r="3867" spans="1:2" x14ac:dyDescent="0.25">
      <c r="A3867" s="27"/>
      <c r="B3867">
        <v>1</v>
      </c>
    </row>
    <row r="3868" spans="1:2" x14ac:dyDescent="0.25">
      <c r="A3868" s="26"/>
      <c r="B3868">
        <v>1</v>
      </c>
    </row>
    <row r="3869" spans="1:2" x14ac:dyDescent="0.25">
      <c r="A3869" s="27"/>
      <c r="B3869">
        <v>1</v>
      </c>
    </row>
    <row r="3870" spans="1:2" x14ac:dyDescent="0.25">
      <c r="A3870" s="26"/>
      <c r="B3870">
        <v>1</v>
      </c>
    </row>
    <row r="3871" spans="1:2" x14ac:dyDescent="0.25">
      <c r="A3871" s="27"/>
      <c r="B3871">
        <v>1</v>
      </c>
    </row>
    <row r="3872" spans="1:2" x14ac:dyDescent="0.25">
      <c r="A3872" s="26"/>
      <c r="B3872">
        <v>1</v>
      </c>
    </row>
    <row r="3873" spans="1:2" x14ac:dyDescent="0.25">
      <c r="A3873" s="27"/>
      <c r="B3873">
        <v>1</v>
      </c>
    </row>
    <row r="3874" spans="1:2" x14ac:dyDescent="0.25">
      <c r="A3874" s="26"/>
      <c r="B3874">
        <v>1</v>
      </c>
    </row>
    <row r="3875" spans="1:2" x14ac:dyDescent="0.25">
      <c r="A3875" s="27"/>
      <c r="B3875">
        <v>1</v>
      </c>
    </row>
    <row r="3876" spans="1:2" x14ac:dyDescent="0.25">
      <c r="A3876" s="26"/>
      <c r="B3876">
        <v>1</v>
      </c>
    </row>
    <row r="3877" spans="1:2" x14ac:dyDescent="0.25">
      <c r="A3877" s="27"/>
      <c r="B3877">
        <v>1</v>
      </c>
    </row>
    <row r="3878" spans="1:2" x14ac:dyDescent="0.25">
      <c r="A3878" s="26"/>
      <c r="B3878">
        <v>1</v>
      </c>
    </row>
    <row r="3879" spans="1:2" x14ac:dyDescent="0.25">
      <c r="A3879" s="27"/>
      <c r="B3879">
        <v>1</v>
      </c>
    </row>
    <row r="3880" spans="1:2" x14ac:dyDescent="0.25">
      <c r="A3880" s="26"/>
      <c r="B3880">
        <v>1</v>
      </c>
    </row>
    <row r="3881" spans="1:2" x14ac:dyDescent="0.25">
      <c r="A3881" s="27"/>
      <c r="B3881">
        <v>1</v>
      </c>
    </row>
    <row r="3882" spans="1:2" x14ac:dyDescent="0.25">
      <c r="A3882" s="26"/>
      <c r="B3882">
        <v>1</v>
      </c>
    </row>
    <row r="3883" spans="1:2" x14ac:dyDescent="0.25">
      <c r="A3883" s="27"/>
      <c r="B3883">
        <v>1</v>
      </c>
    </row>
    <row r="3884" spans="1:2" x14ac:dyDescent="0.25">
      <c r="A3884" s="26"/>
      <c r="B3884">
        <v>1</v>
      </c>
    </row>
    <row r="3885" spans="1:2" x14ac:dyDescent="0.25">
      <c r="A3885" s="27"/>
      <c r="B3885">
        <v>1</v>
      </c>
    </row>
    <row r="3886" spans="1:2" x14ac:dyDescent="0.25">
      <c r="A3886" s="26"/>
      <c r="B3886">
        <v>1</v>
      </c>
    </row>
    <row r="3887" spans="1:2" x14ac:dyDescent="0.25">
      <c r="A3887" s="27"/>
      <c r="B3887">
        <v>1</v>
      </c>
    </row>
    <row r="3888" spans="1:2" x14ac:dyDescent="0.25">
      <c r="A3888" s="26"/>
      <c r="B3888">
        <v>1</v>
      </c>
    </row>
    <row r="3889" spans="1:2" x14ac:dyDescent="0.25">
      <c r="A3889" s="27"/>
      <c r="B3889">
        <v>1</v>
      </c>
    </row>
    <row r="3890" spans="1:2" x14ac:dyDescent="0.25">
      <c r="A3890" s="26"/>
      <c r="B3890">
        <v>1</v>
      </c>
    </row>
    <row r="3891" spans="1:2" x14ac:dyDescent="0.25">
      <c r="A3891" s="27"/>
      <c r="B3891">
        <v>1</v>
      </c>
    </row>
    <row r="3892" spans="1:2" x14ac:dyDescent="0.25">
      <c r="A3892" s="26"/>
      <c r="B3892">
        <v>1</v>
      </c>
    </row>
    <row r="3893" spans="1:2" x14ac:dyDescent="0.25">
      <c r="A3893" s="27"/>
      <c r="B3893">
        <v>1</v>
      </c>
    </row>
    <row r="3894" spans="1:2" x14ac:dyDescent="0.25">
      <c r="A3894" s="26"/>
      <c r="B3894">
        <v>1</v>
      </c>
    </row>
    <row r="3895" spans="1:2" x14ac:dyDescent="0.25">
      <c r="A3895" s="27"/>
      <c r="B3895">
        <v>1</v>
      </c>
    </row>
    <row r="3896" spans="1:2" x14ac:dyDescent="0.25">
      <c r="A3896" s="26"/>
      <c r="B3896">
        <v>1</v>
      </c>
    </row>
    <row r="3897" spans="1:2" x14ac:dyDescent="0.25">
      <c r="A3897" s="27"/>
      <c r="B3897">
        <v>1</v>
      </c>
    </row>
    <row r="3898" spans="1:2" x14ac:dyDescent="0.25">
      <c r="A3898" s="26"/>
      <c r="B3898">
        <v>1</v>
      </c>
    </row>
    <row r="3899" spans="1:2" x14ac:dyDescent="0.25">
      <c r="A3899" s="27"/>
      <c r="B3899">
        <v>1</v>
      </c>
    </row>
    <row r="3900" spans="1:2" x14ac:dyDescent="0.25">
      <c r="A3900" s="26"/>
      <c r="B3900">
        <v>1</v>
      </c>
    </row>
    <row r="3901" spans="1:2" x14ac:dyDescent="0.25">
      <c r="A3901" s="27"/>
      <c r="B3901">
        <v>1</v>
      </c>
    </row>
    <row r="3902" spans="1:2" x14ac:dyDescent="0.25">
      <c r="A3902" s="26"/>
      <c r="B3902">
        <v>1</v>
      </c>
    </row>
    <row r="3903" spans="1:2" x14ac:dyDescent="0.25">
      <c r="A3903" s="27"/>
      <c r="B3903">
        <v>1</v>
      </c>
    </row>
    <row r="3904" spans="1:2" x14ac:dyDescent="0.25">
      <c r="A3904" s="26"/>
      <c r="B3904">
        <v>1</v>
      </c>
    </row>
    <row r="3905" spans="1:2" x14ac:dyDescent="0.25">
      <c r="A3905" s="27"/>
      <c r="B3905">
        <v>1</v>
      </c>
    </row>
    <row r="3906" spans="1:2" x14ac:dyDescent="0.25">
      <c r="A3906" s="26"/>
      <c r="B3906">
        <v>1</v>
      </c>
    </row>
    <row r="3907" spans="1:2" x14ac:dyDescent="0.25">
      <c r="A3907" s="27"/>
      <c r="B3907">
        <v>1</v>
      </c>
    </row>
    <row r="3908" spans="1:2" x14ac:dyDescent="0.25">
      <c r="A3908" s="26"/>
      <c r="B3908">
        <v>1</v>
      </c>
    </row>
    <row r="3909" spans="1:2" x14ac:dyDescent="0.25">
      <c r="A3909" s="27"/>
      <c r="B3909">
        <v>1</v>
      </c>
    </row>
    <row r="3910" spans="1:2" x14ac:dyDescent="0.25">
      <c r="A3910" s="26"/>
      <c r="B3910">
        <v>1</v>
      </c>
    </row>
    <row r="3911" spans="1:2" x14ac:dyDescent="0.25">
      <c r="A3911" s="27"/>
      <c r="B3911">
        <v>1</v>
      </c>
    </row>
    <row r="3912" spans="1:2" x14ac:dyDescent="0.25">
      <c r="A3912" s="26"/>
      <c r="B3912">
        <v>1</v>
      </c>
    </row>
    <row r="3913" spans="1:2" x14ac:dyDescent="0.25">
      <c r="A3913" s="27"/>
      <c r="B3913">
        <v>1</v>
      </c>
    </row>
    <row r="3914" spans="1:2" x14ac:dyDescent="0.25">
      <c r="A3914" s="26"/>
      <c r="B3914">
        <v>1</v>
      </c>
    </row>
    <row r="3915" spans="1:2" x14ac:dyDescent="0.25">
      <c r="A3915" s="27"/>
      <c r="B3915">
        <v>1</v>
      </c>
    </row>
    <row r="3916" spans="1:2" x14ac:dyDescent="0.25">
      <c r="A3916" s="26"/>
      <c r="B3916">
        <v>1</v>
      </c>
    </row>
    <row r="3917" spans="1:2" x14ac:dyDescent="0.25">
      <c r="A3917" s="27"/>
      <c r="B3917">
        <v>1</v>
      </c>
    </row>
    <row r="3918" spans="1:2" x14ac:dyDescent="0.25">
      <c r="A3918" s="26"/>
      <c r="B3918">
        <v>1</v>
      </c>
    </row>
    <row r="3919" spans="1:2" x14ac:dyDescent="0.25">
      <c r="A3919" s="27"/>
      <c r="B3919">
        <v>1</v>
      </c>
    </row>
    <row r="3920" spans="1:2" x14ac:dyDescent="0.25">
      <c r="A3920" s="26"/>
      <c r="B3920">
        <v>1</v>
      </c>
    </row>
    <row r="3921" spans="1:2" x14ac:dyDescent="0.25">
      <c r="A3921" s="27"/>
      <c r="B3921">
        <v>1</v>
      </c>
    </row>
    <row r="3922" spans="1:2" x14ac:dyDescent="0.25">
      <c r="A3922" s="26"/>
      <c r="B3922">
        <v>1</v>
      </c>
    </row>
    <row r="3923" spans="1:2" x14ac:dyDescent="0.25">
      <c r="A3923" s="27"/>
      <c r="B3923">
        <v>1</v>
      </c>
    </row>
    <row r="3924" spans="1:2" x14ac:dyDescent="0.25">
      <c r="A3924" s="26"/>
      <c r="B3924">
        <v>1</v>
      </c>
    </row>
    <row r="3925" spans="1:2" x14ac:dyDescent="0.25">
      <c r="A3925" s="27"/>
      <c r="B3925">
        <v>1</v>
      </c>
    </row>
    <row r="3926" spans="1:2" x14ac:dyDescent="0.25">
      <c r="A3926" s="26"/>
      <c r="B3926">
        <v>1</v>
      </c>
    </row>
    <row r="3927" spans="1:2" x14ac:dyDescent="0.25">
      <c r="A3927" s="27"/>
      <c r="B3927">
        <v>1</v>
      </c>
    </row>
    <row r="3928" spans="1:2" x14ac:dyDescent="0.25">
      <c r="A3928" s="26"/>
      <c r="B3928">
        <v>1</v>
      </c>
    </row>
    <row r="3929" spans="1:2" x14ac:dyDescent="0.25">
      <c r="A3929" s="27"/>
      <c r="B3929">
        <v>1</v>
      </c>
    </row>
    <row r="3930" spans="1:2" x14ac:dyDescent="0.25">
      <c r="A3930" s="26"/>
      <c r="B3930">
        <v>1</v>
      </c>
    </row>
    <row r="3931" spans="1:2" x14ac:dyDescent="0.25">
      <c r="A3931" s="27"/>
      <c r="B3931">
        <v>1</v>
      </c>
    </row>
    <row r="3932" spans="1:2" x14ac:dyDescent="0.25">
      <c r="A3932" s="26"/>
      <c r="B3932">
        <v>1</v>
      </c>
    </row>
    <row r="3933" spans="1:2" x14ac:dyDescent="0.25">
      <c r="A3933" s="27"/>
      <c r="B3933">
        <v>1</v>
      </c>
    </row>
    <row r="3934" spans="1:2" x14ac:dyDescent="0.25">
      <c r="A3934" s="26"/>
      <c r="B3934">
        <v>1</v>
      </c>
    </row>
    <row r="3935" spans="1:2" x14ac:dyDescent="0.25">
      <c r="A3935" s="27"/>
      <c r="B3935">
        <v>1</v>
      </c>
    </row>
    <row r="3936" spans="1:2" x14ac:dyDescent="0.25">
      <c r="A3936" s="26"/>
      <c r="B3936">
        <v>1</v>
      </c>
    </row>
    <row r="3937" spans="1:2" x14ac:dyDescent="0.25">
      <c r="A3937" s="27"/>
      <c r="B3937">
        <v>1</v>
      </c>
    </row>
    <row r="3938" spans="1:2" x14ac:dyDescent="0.25">
      <c r="A3938" s="26"/>
      <c r="B3938">
        <v>1</v>
      </c>
    </row>
    <row r="3939" spans="1:2" x14ac:dyDescent="0.25">
      <c r="A3939" s="27"/>
      <c r="B3939">
        <v>1</v>
      </c>
    </row>
    <row r="3940" spans="1:2" x14ac:dyDescent="0.25">
      <c r="A3940" s="26"/>
      <c r="B3940">
        <v>1</v>
      </c>
    </row>
    <row r="3941" spans="1:2" x14ac:dyDescent="0.25">
      <c r="A3941" s="27"/>
      <c r="B3941">
        <v>1</v>
      </c>
    </row>
    <row r="3942" spans="1:2" x14ac:dyDescent="0.25">
      <c r="A3942" s="26"/>
      <c r="B3942">
        <v>1</v>
      </c>
    </row>
    <row r="3943" spans="1:2" x14ac:dyDescent="0.25">
      <c r="A3943" s="27"/>
      <c r="B3943">
        <v>1</v>
      </c>
    </row>
    <row r="3944" spans="1:2" x14ac:dyDescent="0.25">
      <c r="A3944" s="26"/>
      <c r="B3944">
        <v>1</v>
      </c>
    </row>
    <row r="3945" spans="1:2" x14ac:dyDescent="0.25">
      <c r="A3945" s="27"/>
      <c r="B3945">
        <v>1</v>
      </c>
    </row>
    <row r="3946" spans="1:2" x14ac:dyDescent="0.25">
      <c r="A3946" s="26"/>
      <c r="B3946">
        <v>1</v>
      </c>
    </row>
    <row r="3947" spans="1:2" x14ac:dyDescent="0.25">
      <c r="A3947" s="27"/>
      <c r="B3947">
        <v>1</v>
      </c>
    </row>
    <row r="3948" spans="1:2" x14ac:dyDescent="0.25">
      <c r="A3948" s="26"/>
      <c r="B3948">
        <v>1</v>
      </c>
    </row>
    <row r="3949" spans="1:2" x14ac:dyDescent="0.25">
      <c r="A3949" s="27"/>
      <c r="B3949">
        <v>1</v>
      </c>
    </row>
    <row r="3950" spans="1:2" x14ac:dyDescent="0.25">
      <c r="A3950" s="26"/>
      <c r="B3950">
        <v>1</v>
      </c>
    </row>
    <row r="3951" spans="1:2" x14ac:dyDescent="0.25">
      <c r="A3951" s="27"/>
      <c r="B3951">
        <v>1</v>
      </c>
    </row>
    <row r="3952" spans="1:2" x14ac:dyDescent="0.25">
      <c r="A3952" s="26"/>
      <c r="B3952">
        <v>1</v>
      </c>
    </row>
    <row r="3953" spans="1:2" x14ac:dyDescent="0.25">
      <c r="A3953" s="27"/>
      <c r="B3953">
        <v>1</v>
      </c>
    </row>
    <row r="3954" spans="1:2" x14ac:dyDescent="0.25">
      <c r="A3954" s="26"/>
      <c r="B3954">
        <v>1</v>
      </c>
    </row>
    <row r="3955" spans="1:2" x14ac:dyDescent="0.25">
      <c r="A3955" s="27"/>
      <c r="B3955">
        <v>1</v>
      </c>
    </row>
    <row r="3956" spans="1:2" x14ac:dyDescent="0.25">
      <c r="A3956" s="26"/>
      <c r="B3956">
        <v>1</v>
      </c>
    </row>
    <row r="3957" spans="1:2" x14ac:dyDescent="0.25">
      <c r="A3957" s="27"/>
      <c r="B3957">
        <v>1</v>
      </c>
    </row>
    <row r="3958" spans="1:2" x14ac:dyDescent="0.25">
      <c r="A3958" s="26"/>
      <c r="B3958">
        <v>1</v>
      </c>
    </row>
    <row r="3959" spans="1:2" x14ac:dyDescent="0.25">
      <c r="A3959" s="27"/>
      <c r="B3959">
        <v>1</v>
      </c>
    </row>
    <row r="3960" spans="1:2" x14ac:dyDescent="0.25">
      <c r="A3960" s="26"/>
      <c r="B3960">
        <v>1</v>
      </c>
    </row>
    <row r="3961" spans="1:2" x14ac:dyDescent="0.25">
      <c r="A3961" s="27"/>
      <c r="B3961">
        <v>1</v>
      </c>
    </row>
    <row r="3962" spans="1:2" x14ac:dyDescent="0.25">
      <c r="A3962" s="26"/>
      <c r="B3962">
        <v>1</v>
      </c>
    </row>
    <row r="3963" spans="1:2" x14ac:dyDescent="0.25">
      <c r="A3963" s="27"/>
      <c r="B3963">
        <v>1</v>
      </c>
    </row>
    <row r="3964" spans="1:2" x14ac:dyDescent="0.25">
      <c r="A3964" s="26"/>
      <c r="B3964">
        <v>1</v>
      </c>
    </row>
    <row r="3965" spans="1:2" x14ac:dyDescent="0.25">
      <c r="A3965" s="27"/>
      <c r="B3965">
        <v>1</v>
      </c>
    </row>
    <row r="3966" spans="1:2" x14ac:dyDescent="0.25">
      <c r="A3966" s="26"/>
      <c r="B3966">
        <v>1</v>
      </c>
    </row>
    <row r="3967" spans="1:2" x14ac:dyDescent="0.25">
      <c r="A3967" s="27"/>
      <c r="B3967">
        <v>1</v>
      </c>
    </row>
    <row r="3968" spans="1:2" x14ac:dyDescent="0.25">
      <c r="A3968" s="26"/>
      <c r="B3968">
        <v>1</v>
      </c>
    </row>
    <row r="3969" spans="1:2" x14ac:dyDescent="0.25">
      <c r="A3969" s="27"/>
      <c r="B3969">
        <v>1</v>
      </c>
    </row>
    <row r="3970" spans="1:2" x14ac:dyDescent="0.25">
      <c r="A3970" s="26"/>
      <c r="B3970">
        <v>1</v>
      </c>
    </row>
    <row r="3971" spans="1:2" x14ac:dyDescent="0.25">
      <c r="A3971" s="27"/>
      <c r="B3971">
        <v>1</v>
      </c>
    </row>
    <row r="3972" spans="1:2" x14ac:dyDescent="0.25">
      <c r="A3972" s="26"/>
      <c r="B3972">
        <v>1</v>
      </c>
    </row>
    <row r="3973" spans="1:2" x14ac:dyDescent="0.25">
      <c r="A3973" s="27"/>
      <c r="B3973">
        <v>1</v>
      </c>
    </row>
    <row r="3974" spans="1:2" x14ac:dyDescent="0.25">
      <c r="A3974" s="26"/>
      <c r="B3974">
        <v>1</v>
      </c>
    </row>
    <row r="3975" spans="1:2" x14ac:dyDescent="0.25">
      <c r="A3975" s="27"/>
      <c r="B3975">
        <v>1</v>
      </c>
    </row>
    <row r="3976" spans="1:2" x14ac:dyDescent="0.25">
      <c r="A3976" s="26"/>
      <c r="B3976">
        <v>1</v>
      </c>
    </row>
    <row r="3977" spans="1:2" x14ac:dyDescent="0.25">
      <c r="A3977" s="27"/>
      <c r="B3977">
        <v>1</v>
      </c>
    </row>
    <row r="3978" spans="1:2" x14ac:dyDescent="0.25">
      <c r="A3978" s="26"/>
      <c r="B3978">
        <v>1</v>
      </c>
    </row>
    <row r="3979" spans="1:2" x14ac:dyDescent="0.25">
      <c r="A3979" s="27"/>
      <c r="B3979">
        <v>1</v>
      </c>
    </row>
    <row r="3980" spans="1:2" x14ac:dyDescent="0.25">
      <c r="A3980" s="26"/>
      <c r="B3980">
        <v>1</v>
      </c>
    </row>
    <row r="3981" spans="1:2" x14ac:dyDescent="0.25">
      <c r="A3981" s="27"/>
      <c r="B3981">
        <v>1</v>
      </c>
    </row>
    <row r="3982" spans="1:2" x14ac:dyDescent="0.25">
      <c r="A3982" s="26"/>
      <c r="B3982">
        <v>1</v>
      </c>
    </row>
    <row r="3983" spans="1:2" x14ac:dyDescent="0.25">
      <c r="A3983" s="27"/>
      <c r="B3983">
        <v>1</v>
      </c>
    </row>
    <row r="3984" spans="1:2" x14ac:dyDescent="0.25">
      <c r="A3984" s="26"/>
      <c r="B3984">
        <v>1</v>
      </c>
    </row>
    <row r="3985" spans="1:2" x14ac:dyDescent="0.25">
      <c r="A3985" s="27"/>
      <c r="B3985">
        <v>1</v>
      </c>
    </row>
    <row r="3986" spans="1:2" x14ac:dyDescent="0.25">
      <c r="A3986" s="26"/>
      <c r="B3986">
        <v>1</v>
      </c>
    </row>
    <row r="3987" spans="1:2" x14ac:dyDescent="0.25">
      <c r="A3987" s="27"/>
      <c r="B3987">
        <v>1</v>
      </c>
    </row>
    <row r="3988" spans="1:2" x14ac:dyDescent="0.25">
      <c r="A3988" s="26"/>
      <c r="B3988">
        <v>1</v>
      </c>
    </row>
    <row r="3989" spans="1:2" x14ac:dyDescent="0.25">
      <c r="A3989" s="27"/>
      <c r="B3989">
        <v>1</v>
      </c>
    </row>
    <row r="3990" spans="1:2" x14ac:dyDescent="0.25">
      <c r="A3990" s="26"/>
      <c r="B3990">
        <v>1</v>
      </c>
    </row>
    <row r="3991" spans="1:2" x14ac:dyDescent="0.25">
      <c r="A3991" s="27"/>
      <c r="B3991">
        <v>1</v>
      </c>
    </row>
    <row r="3992" spans="1:2" x14ac:dyDescent="0.25">
      <c r="A3992" s="26"/>
      <c r="B3992">
        <v>1</v>
      </c>
    </row>
    <row r="3993" spans="1:2" x14ac:dyDescent="0.25">
      <c r="A3993" s="27"/>
      <c r="B3993">
        <v>1</v>
      </c>
    </row>
    <row r="3994" spans="1:2" x14ac:dyDescent="0.25">
      <c r="A3994" s="26"/>
      <c r="B3994">
        <v>1</v>
      </c>
    </row>
    <row r="3995" spans="1:2" x14ac:dyDescent="0.25">
      <c r="A3995" s="27"/>
      <c r="B3995">
        <v>1</v>
      </c>
    </row>
    <row r="3996" spans="1:2" x14ac:dyDescent="0.25">
      <c r="A3996" s="26"/>
      <c r="B3996">
        <v>1</v>
      </c>
    </row>
    <row r="3997" spans="1:2" x14ac:dyDescent="0.25">
      <c r="A3997" s="27"/>
      <c r="B3997">
        <v>1</v>
      </c>
    </row>
    <row r="3998" spans="1:2" x14ac:dyDescent="0.25">
      <c r="A3998" s="26"/>
      <c r="B3998">
        <v>1</v>
      </c>
    </row>
    <row r="3999" spans="1:2" x14ac:dyDescent="0.25">
      <c r="A3999" s="27"/>
      <c r="B3999">
        <v>1</v>
      </c>
    </row>
    <row r="4000" spans="1:2" x14ac:dyDescent="0.25">
      <c r="A4000" s="26"/>
      <c r="B4000">
        <v>1</v>
      </c>
    </row>
    <row r="4001" spans="1:2" x14ac:dyDescent="0.25">
      <c r="A4001" s="27"/>
      <c r="B4001">
        <v>1</v>
      </c>
    </row>
    <row r="4002" spans="1:2" x14ac:dyDescent="0.25">
      <c r="A4002" s="26"/>
      <c r="B4002">
        <v>1</v>
      </c>
    </row>
    <row r="4003" spans="1:2" x14ac:dyDescent="0.25">
      <c r="A4003" s="27"/>
      <c r="B4003">
        <v>1</v>
      </c>
    </row>
    <row r="4004" spans="1:2" x14ac:dyDescent="0.25">
      <c r="A4004" s="26"/>
      <c r="B4004">
        <v>1</v>
      </c>
    </row>
    <row r="4005" spans="1:2" x14ac:dyDescent="0.25">
      <c r="A4005" s="27"/>
      <c r="B4005">
        <v>1</v>
      </c>
    </row>
    <row r="4006" spans="1:2" x14ac:dyDescent="0.25">
      <c r="A4006" s="26"/>
      <c r="B4006">
        <v>1</v>
      </c>
    </row>
    <row r="4007" spans="1:2" x14ac:dyDescent="0.25">
      <c r="A4007" s="27"/>
      <c r="B4007">
        <v>1</v>
      </c>
    </row>
    <row r="4008" spans="1:2" x14ac:dyDescent="0.25">
      <c r="A4008" s="26"/>
      <c r="B4008">
        <v>1</v>
      </c>
    </row>
    <row r="4009" spans="1:2" x14ac:dyDescent="0.25">
      <c r="A4009" s="27"/>
      <c r="B4009">
        <v>1</v>
      </c>
    </row>
    <row r="4010" spans="1:2" x14ac:dyDescent="0.25">
      <c r="A4010" s="26"/>
      <c r="B4010">
        <v>1</v>
      </c>
    </row>
    <row r="4011" spans="1:2" x14ac:dyDescent="0.25">
      <c r="A4011" s="27"/>
      <c r="B4011">
        <v>1</v>
      </c>
    </row>
    <row r="4012" spans="1:2" x14ac:dyDescent="0.25">
      <c r="A4012" s="26"/>
      <c r="B4012">
        <v>1</v>
      </c>
    </row>
    <row r="4013" spans="1:2" x14ac:dyDescent="0.25">
      <c r="A4013" s="27"/>
      <c r="B4013">
        <v>1</v>
      </c>
    </row>
    <row r="4014" spans="1:2" x14ac:dyDescent="0.25">
      <c r="A4014" s="26"/>
      <c r="B4014">
        <v>1</v>
      </c>
    </row>
    <row r="4015" spans="1:2" x14ac:dyDescent="0.25">
      <c r="A4015" s="27"/>
      <c r="B4015">
        <v>1</v>
      </c>
    </row>
    <row r="4016" spans="1:2" x14ac:dyDescent="0.25">
      <c r="A4016" s="26"/>
      <c r="B4016">
        <v>1</v>
      </c>
    </row>
    <row r="4017" spans="1:2" x14ac:dyDescent="0.25">
      <c r="A4017" s="27"/>
      <c r="B4017">
        <v>1</v>
      </c>
    </row>
    <row r="4018" spans="1:2" x14ac:dyDescent="0.25">
      <c r="A4018" s="26"/>
      <c r="B4018">
        <v>1</v>
      </c>
    </row>
    <row r="4019" spans="1:2" x14ac:dyDescent="0.25">
      <c r="A4019" s="27"/>
      <c r="B4019">
        <v>1</v>
      </c>
    </row>
    <row r="4020" spans="1:2" x14ac:dyDescent="0.25">
      <c r="A4020" s="26"/>
      <c r="B4020">
        <v>1</v>
      </c>
    </row>
    <row r="4021" spans="1:2" x14ac:dyDescent="0.25">
      <c r="A4021" s="27"/>
      <c r="B4021">
        <v>1</v>
      </c>
    </row>
    <row r="4022" spans="1:2" x14ac:dyDescent="0.25">
      <c r="A4022" s="26"/>
      <c r="B4022">
        <v>1</v>
      </c>
    </row>
    <row r="4023" spans="1:2" x14ac:dyDescent="0.25">
      <c r="A4023" s="27"/>
      <c r="B4023">
        <v>1</v>
      </c>
    </row>
    <row r="4024" spans="1:2" x14ac:dyDescent="0.25">
      <c r="A4024" s="26"/>
      <c r="B4024">
        <v>1</v>
      </c>
    </row>
    <row r="4025" spans="1:2" x14ac:dyDescent="0.25">
      <c r="A4025" s="27"/>
      <c r="B4025">
        <v>1</v>
      </c>
    </row>
    <row r="4026" spans="1:2" x14ac:dyDescent="0.25">
      <c r="A4026" s="26"/>
      <c r="B4026">
        <v>1</v>
      </c>
    </row>
    <row r="4027" spans="1:2" x14ac:dyDescent="0.25">
      <c r="A4027" s="27"/>
      <c r="B4027">
        <v>1</v>
      </c>
    </row>
    <row r="4028" spans="1:2" x14ac:dyDescent="0.25">
      <c r="A4028" s="26"/>
      <c r="B4028">
        <v>1</v>
      </c>
    </row>
    <row r="4029" spans="1:2" x14ac:dyDescent="0.25">
      <c r="A4029" s="27"/>
      <c r="B4029">
        <v>1</v>
      </c>
    </row>
    <row r="4030" spans="1:2" x14ac:dyDescent="0.25">
      <c r="A4030" s="26"/>
      <c r="B4030">
        <v>1</v>
      </c>
    </row>
    <row r="4031" spans="1:2" x14ac:dyDescent="0.25">
      <c r="A4031" s="27"/>
      <c r="B4031">
        <v>1</v>
      </c>
    </row>
    <row r="4032" spans="1:2" x14ac:dyDescent="0.25">
      <c r="A4032" s="26"/>
      <c r="B4032">
        <v>1</v>
      </c>
    </row>
    <row r="4033" spans="1:2" x14ac:dyDescent="0.25">
      <c r="A4033" s="27"/>
      <c r="B4033">
        <v>1</v>
      </c>
    </row>
    <row r="4034" spans="1:2" x14ac:dyDescent="0.25">
      <c r="A4034" s="26"/>
      <c r="B4034">
        <v>1</v>
      </c>
    </row>
    <row r="4035" spans="1:2" x14ac:dyDescent="0.25">
      <c r="A4035" s="27"/>
      <c r="B4035">
        <v>1</v>
      </c>
    </row>
    <row r="4036" spans="1:2" x14ac:dyDescent="0.25">
      <c r="A4036" s="26"/>
      <c r="B4036">
        <v>1</v>
      </c>
    </row>
    <row r="4037" spans="1:2" x14ac:dyDescent="0.25">
      <c r="A4037" s="27"/>
      <c r="B4037">
        <v>1</v>
      </c>
    </row>
    <row r="4038" spans="1:2" x14ac:dyDescent="0.25">
      <c r="A4038" s="26"/>
      <c r="B4038">
        <v>1</v>
      </c>
    </row>
    <row r="4039" spans="1:2" x14ac:dyDescent="0.25">
      <c r="A4039" s="27"/>
      <c r="B4039">
        <v>1</v>
      </c>
    </row>
    <row r="4040" spans="1:2" x14ac:dyDescent="0.25">
      <c r="A4040" s="26"/>
      <c r="B4040">
        <v>1</v>
      </c>
    </row>
    <row r="4041" spans="1:2" x14ac:dyDescent="0.25">
      <c r="A4041" s="27"/>
      <c r="B4041">
        <v>1</v>
      </c>
    </row>
    <row r="4042" spans="1:2" x14ac:dyDescent="0.25">
      <c r="A4042" s="26"/>
      <c r="B4042">
        <v>1</v>
      </c>
    </row>
    <row r="4043" spans="1:2" x14ac:dyDescent="0.25">
      <c r="A4043" s="27"/>
      <c r="B4043">
        <v>1</v>
      </c>
    </row>
    <row r="4044" spans="1:2" x14ac:dyDescent="0.25">
      <c r="A4044" s="26"/>
      <c r="B4044">
        <v>1</v>
      </c>
    </row>
    <row r="4045" spans="1:2" x14ac:dyDescent="0.25">
      <c r="A4045" s="27"/>
      <c r="B4045">
        <v>1</v>
      </c>
    </row>
    <row r="4046" spans="1:2" x14ac:dyDescent="0.25">
      <c r="A4046" s="26"/>
      <c r="B4046">
        <v>1</v>
      </c>
    </row>
    <row r="4047" spans="1:2" x14ac:dyDescent="0.25">
      <c r="A4047" s="27"/>
      <c r="B4047">
        <v>1</v>
      </c>
    </row>
    <row r="4048" spans="1:2" x14ac:dyDescent="0.25">
      <c r="A4048" s="26"/>
      <c r="B4048">
        <v>1</v>
      </c>
    </row>
    <row r="4049" spans="1:2" x14ac:dyDescent="0.25">
      <c r="A4049" s="27"/>
      <c r="B4049">
        <v>1</v>
      </c>
    </row>
    <row r="4050" spans="1:2" x14ac:dyDescent="0.25">
      <c r="A4050" s="26"/>
      <c r="B4050">
        <v>1</v>
      </c>
    </row>
    <row r="4051" spans="1:2" x14ac:dyDescent="0.25">
      <c r="A4051" s="27"/>
      <c r="B4051">
        <v>1</v>
      </c>
    </row>
    <row r="4052" spans="1:2" x14ac:dyDescent="0.25">
      <c r="A4052" s="26"/>
      <c r="B4052">
        <v>1</v>
      </c>
    </row>
    <row r="4053" spans="1:2" x14ac:dyDescent="0.25">
      <c r="A4053" s="27"/>
      <c r="B4053">
        <v>1</v>
      </c>
    </row>
    <row r="4054" spans="1:2" x14ac:dyDescent="0.25">
      <c r="A4054" s="26"/>
      <c r="B4054">
        <v>1</v>
      </c>
    </row>
    <row r="4055" spans="1:2" x14ac:dyDescent="0.25">
      <c r="A4055" s="27"/>
      <c r="B4055">
        <v>1</v>
      </c>
    </row>
    <row r="4056" spans="1:2" x14ac:dyDescent="0.25">
      <c r="A4056" s="26"/>
      <c r="B4056">
        <v>1</v>
      </c>
    </row>
    <row r="4057" spans="1:2" x14ac:dyDescent="0.25">
      <c r="A4057" s="27"/>
      <c r="B4057">
        <v>1</v>
      </c>
    </row>
    <row r="4058" spans="1:2" x14ac:dyDescent="0.25">
      <c r="A4058" s="26"/>
      <c r="B4058">
        <v>1</v>
      </c>
    </row>
    <row r="4059" spans="1:2" x14ac:dyDescent="0.25">
      <c r="A4059" s="27"/>
      <c r="B4059">
        <v>1</v>
      </c>
    </row>
    <row r="4060" spans="1:2" x14ac:dyDescent="0.25">
      <c r="A4060" s="26"/>
      <c r="B4060">
        <v>1</v>
      </c>
    </row>
    <row r="4061" spans="1:2" x14ac:dyDescent="0.25">
      <c r="A4061" s="27"/>
      <c r="B4061">
        <v>1</v>
      </c>
    </row>
    <row r="4062" spans="1:2" x14ac:dyDescent="0.25">
      <c r="A4062" s="26"/>
      <c r="B4062">
        <v>1</v>
      </c>
    </row>
    <row r="4063" spans="1:2" x14ac:dyDescent="0.25">
      <c r="A4063" s="27"/>
      <c r="B4063">
        <v>1</v>
      </c>
    </row>
    <row r="4064" spans="1:2" x14ac:dyDescent="0.25">
      <c r="A4064" s="26"/>
      <c r="B4064">
        <v>1</v>
      </c>
    </row>
    <row r="4065" spans="1:2" x14ac:dyDescent="0.25">
      <c r="A4065" s="27"/>
      <c r="B4065">
        <v>1</v>
      </c>
    </row>
    <row r="4066" spans="1:2" x14ac:dyDescent="0.25">
      <c r="A4066" s="26"/>
      <c r="B4066">
        <v>1</v>
      </c>
    </row>
    <row r="4067" spans="1:2" x14ac:dyDescent="0.25">
      <c r="A4067" s="27"/>
      <c r="B4067">
        <v>1</v>
      </c>
    </row>
    <row r="4068" spans="1:2" x14ac:dyDescent="0.25">
      <c r="A4068" s="26"/>
      <c r="B4068">
        <v>1</v>
      </c>
    </row>
    <row r="4069" spans="1:2" x14ac:dyDescent="0.25">
      <c r="A4069" s="27"/>
      <c r="B4069">
        <v>1</v>
      </c>
    </row>
    <row r="4070" spans="1:2" x14ac:dyDescent="0.25">
      <c r="A4070" s="26"/>
      <c r="B4070">
        <v>1</v>
      </c>
    </row>
    <row r="4071" spans="1:2" x14ac:dyDescent="0.25">
      <c r="A4071" s="27"/>
      <c r="B4071">
        <v>1</v>
      </c>
    </row>
    <row r="4072" spans="1:2" x14ac:dyDescent="0.25">
      <c r="A4072" s="26"/>
      <c r="B4072">
        <v>1</v>
      </c>
    </row>
    <row r="4073" spans="1:2" x14ac:dyDescent="0.25">
      <c r="A4073" s="27"/>
      <c r="B4073">
        <v>1</v>
      </c>
    </row>
    <row r="4074" spans="1:2" x14ac:dyDescent="0.25">
      <c r="A4074" s="26"/>
      <c r="B4074">
        <v>1</v>
      </c>
    </row>
    <row r="4075" spans="1:2" x14ac:dyDescent="0.25">
      <c r="A4075" s="27"/>
      <c r="B4075">
        <v>1</v>
      </c>
    </row>
    <row r="4076" spans="1:2" x14ac:dyDescent="0.25">
      <c r="A4076" s="26"/>
      <c r="B4076">
        <v>1</v>
      </c>
    </row>
    <row r="4077" spans="1:2" x14ac:dyDescent="0.25">
      <c r="A4077" s="27"/>
      <c r="B4077">
        <v>1</v>
      </c>
    </row>
    <row r="4078" spans="1:2" x14ac:dyDescent="0.25">
      <c r="A4078" s="26"/>
      <c r="B4078">
        <v>1</v>
      </c>
    </row>
    <row r="4079" spans="1:2" x14ac:dyDescent="0.25">
      <c r="A4079" s="27"/>
      <c r="B4079">
        <v>1</v>
      </c>
    </row>
    <row r="4080" spans="1:2" x14ac:dyDescent="0.25">
      <c r="A4080" s="26"/>
      <c r="B4080">
        <v>1</v>
      </c>
    </row>
    <row r="4081" spans="1:2" x14ac:dyDescent="0.25">
      <c r="A4081" s="27"/>
      <c r="B4081">
        <v>1</v>
      </c>
    </row>
    <row r="4082" spans="1:2" x14ac:dyDescent="0.25">
      <c r="A4082" s="26"/>
      <c r="B4082">
        <v>1</v>
      </c>
    </row>
    <row r="4083" spans="1:2" x14ac:dyDescent="0.25">
      <c r="A4083" s="27"/>
      <c r="B4083">
        <v>1</v>
      </c>
    </row>
    <row r="4084" spans="1:2" x14ac:dyDescent="0.25">
      <c r="A4084" s="26"/>
      <c r="B4084">
        <v>1</v>
      </c>
    </row>
    <row r="4085" spans="1:2" x14ac:dyDescent="0.25">
      <c r="A4085" s="27"/>
      <c r="B4085">
        <v>1</v>
      </c>
    </row>
    <row r="4086" spans="1:2" x14ac:dyDescent="0.25">
      <c r="A4086" s="26"/>
      <c r="B4086">
        <v>1</v>
      </c>
    </row>
    <row r="4087" spans="1:2" x14ac:dyDescent="0.25">
      <c r="A4087" s="27"/>
      <c r="B4087">
        <v>1</v>
      </c>
    </row>
    <row r="4088" spans="1:2" x14ac:dyDescent="0.25">
      <c r="A4088" s="26"/>
      <c r="B4088">
        <v>1</v>
      </c>
    </row>
    <row r="4089" spans="1:2" x14ac:dyDescent="0.25">
      <c r="A4089" s="27"/>
      <c r="B4089">
        <v>1</v>
      </c>
    </row>
    <row r="4090" spans="1:2" x14ac:dyDescent="0.25">
      <c r="A4090" s="26"/>
      <c r="B4090">
        <v>1</v>
      </c>
    </row>
    <row r="4091" spans="1:2" x14ac:dyDescent="0.25">
      <c r="A4091" s="27"/>
      <c r="B4091">
        <v>1</v>
      </c>
    </row>
    <row r="4092" spans="1:2" x14ac:dyDescent="0.25">
      <c r="A4092" s="26"/>
      <c r="B4092">
        <v>1</v>
      </c>
    </row>
    <row r="4093" spans="1:2" x14ac:dyDescent="0.25">
      <c r="A4093" s="27"/>
      <c r="B4093">
        <v>1</v>
      </c>
    </row>
    <row r="4094" spans="1:2" x14ac:dyDescent="0.25">
      <c r="A4094" s="26"/>
      <c r="B4094">
        <v>1</v>
      </c>
    </row>
    <row r="4095" spans="1:2" x14ac:dyDescent="0.25">
      <c r="A4095" s="27"/>
      <c r="B4095">
        <v>1</v>
      </c>
    </row>
    <row r="4096" spans="1:2" x14ac:dyDescent="0.25">
      <c r="A4096" s="26"/>
      <c r="B4096">
        <v>1</v>
      </c>
    </row>
    <row r="4097" spans="1:2" x14ac:dyDescent="0.25">
      <c r="A4097" s="27"/>
      <c r="B4097">
        <v>1</v>
      </c>
    </row>
    <row r="4098" spans="1:2" x14ac:dyDescent="0.25">
      <c r="A4098" s="26"/>
      <c r="B4098">
        <v>1</v>
      </c>
    </row>
    <row r="4099" spans="1:2" x14ac:dyDescent="0.25">
      <c r="A4099" s="27"/>
      <c r="B4099">
        <v>1</v>
      </c>
    </row>
    <row r="4100" spans="1:2" x14ac:dyDescent="0.25">
      <c r="A4100" s="26"/>
      <c r="B4100">
        <v>1</v>
      </c>
    </row>
    <row r="4101" spans="1:2" x14ac:dyDescent="0.25">
      <c r="A4101" s="27"/>
      <c r="B4101">
        <v>1</v>
      </c>
    </row>
    <row r="4102" spans="1:2" x14ac:dyDescent="0.25">
      <c r="A4102" s="26"/>
      <c r="B4102">
        <v>1</v>
      </c>
    </row>
    <row r="4103" spans="1:2" x14ac:dyDescent="0.25">
      <c r="A4103" s="27"/>
      <c r="B4103">
        <v>1</v>
      </c>
    </row>
    <row r="4104" spans="1:2" x14ac:dyDescent="0.25">
      <c r="A4104" s="26"/>
      <c r="B4104">
        <v>1</v>
      </c>
    </row>
    <row r="4105" spans="1:2" x14ac:dyDescent="0.25">
      <c r="A4105" s="27"/>
      <c r="B4105">
        <v>1</v>
      </c>
    </row>
    <row r="4106" spans="1:2" x14ac:dyDescent="0.25">
      <c r="A4106" s="26"/>
      <c r="B4106">
        <v>1</v>
      </c>
    </row>
    <row r="4107" spans="1:2" x14ac:dyDescent="0.25">
      <c r="A4107" s="27"/>
      <c r="B4107">
        <v>1</v>
      </c>
    </row>
    <row r="4108" spans="1:2" x14ac:dyDescent="0.25">
      <c r="A4108" s="26"/>
      <c r="B4108">
        <v>1</v>
      </c>
    </row>
    <row r="4109" spans="1:2" x14ac:dyDescent="0.25">
      <c r="A4109" s="27"/>
      <c r="B4109">
        <v>1</v>
      </c>
    </row>
    <row r="4110" spans="1:2" x14ac:dyDescent="0.25">
      <c r="A4110" s="26"/>
      <c r="B4110">
        <v>1</v>
      </c>
    </row>
    <row r="4111" spans="1:2" x14ac:dyDescent="0.25">
      <c r="A4111" s="27"/>
      <c r="B4111">
        <v>1</v>
      </c>
    </row>
    <row r="4112" spans="1:2" x14ac:dyDescent="0.25">
      <c r="A4112" s="26"/>
      <c r="B4112">
        <v>1</v>
      </c>
    </row>
    <row r="4113" spans="1:2" x14ac:dyDescent="0.25">
      <c r="A4113" s="27"/>
      <c r="B4113">
        <v>1</v>
      </c>
    </row>
    <row r="4114" spans="1:2" x14ac:dyDescent="0.25">
      <c r="A4114" s="26"/>
      <c r="B4114">
        <v>1</v>
      </c>
    </row>
    <row r="4115" spans="1:2" x14ac:dyDescent="0.25">
      <c r="A4115" s="27"/>
      <c r="B4115">
        <v>1</v>
      </c>
    </row>
    <row r="4116" spans="1:2" x14ac:dyDescent="0.25">
      <c r="A4116" s="26"/>
      <c r="B4116">
        <v>1</v>
      </c>
    </row>
    <row r="4117" spans="1:2" x14ac:dyDescent="0.25">
      <c r="A4117" s="27"/>
      <c r="B4117">
        <v>1</v>
      </c>
    </row>
    <row r="4118" spans="1:2" x14ac:dyDescent="0.25">
      <c r="A4118" s="26"/>
      <c r="B4118">
        <v>1</v>
      </c>
    </row>
    <row r="4119" spans="1:2" x14ac:dyDescent="0.25">
      <c r="A4119" s="27"/>
      <c r="B4119">
        <v>1</v>
      </c>
    </row>
    <row r="4120" spans="1:2" x14ac:dyDescent="0.25">
      <c r="A4120" s="26"/>
      <c r="B4120">
        <v>1</v>
      </c>
    </row>
    <row r="4121" spans="1:2" x14ac:dyDescent="0.25">
      <c r="A4121" s="27"/>
      <c r="B4121">
        <v>1</v>
      </c>
    </row>
    <row r="4122" spans="1:2" x14ac:dyDescent="0.25">
      <c r="A4122" s="26"/>
      <c r="B4122">
        <v>1</v>
      </c>
    </row>
    <row r="4123" spans="1:2" x14ac:dyDescent="0.25">
      <c r="A4123" s="27"/>
      <c r="B4123">
        <v>1</v>
      </c>
    </row>
    <row r="4124" spans="1:2" x14ac:dyDescent="0.25">
      <c r="A4124" s="26"/>
      <c r="B4124">
        <v>1</v>
      </c>
    </row>
    <row r="4125" spans="1:2" x14ac:dyDescent="0.25">
      <c r="A4125" s="27"/>
      <c r="B4125">
        <v>1</v>
      </c>
    </row>
    <row r="4126" spans="1:2" x14ac:dyDescent="0.25">
      <c r="A4126" s="26"/>
      <c r="B4126">
        <v>1</v>
      </c>
    </row>
    <row r="4127" spans="1:2" x14ac:dyDescent="0.25">
      <c r="A4127" s="27"/>
      <c r="B4127">
        <v>1</v>
      </c>
    </row>
    <row r="4128" spans="1:2" x14ac:dyDescent="0.25">
      <c r="A4128" s="26"/>
      <c r="B4128">
        <v>1</v>
      </c>
    </row>
    <row r="4129" spans="1:2" x14ac:dyDescent="0.25">
      <c r="A4129" s="27"/>
      <c r="B4129">
        <v>1</v>
      </c>
    </row>
    <row r="4130" spans="1:2" x14ac:dyDescent="0.25">
      <c r="A4130" s="26"/>
      <c r="B4130">
        <v>1</v>
      </c>
    </row>
    <row r="4131" spans="1:2" x14ac:dyDescent="0.25">
      <c r="A4131" s="27"/>
      <c r="B4131">
        <v>1</v>
      </c>
    </row>
    <row r="4132" spans="1:2" x14ac:dyDescent="0.25">
      <c r="A4132" s="26"/>
      <c r="B4132">
        <v>1</v>
      </c>
    </row>
    <row r="4133" spans="1:2" x14ac:dyDescent="0.25">
      <c r="A4133" s="27"/>
      <c r="B4133">
        <v>1</v>
      </c>
    </row>
    <row r="4134" spans="1:2" x14ac:dyDescent="0.25">
      <c r="A4134" s="26"/>
      <c r="B4134">
        <v>1</v>
      </c>
    </row>
    <row r="4135" spans="1:2" x14ac:dyDescent="0.25">
      <c r="A4135" s="27"/>
      <c r="B4135">
        <v>1</v>
      </c>
    </row>
    <row r="4136" spans="1:2" x14ac:dyDescent="0.25">
      <c r="A4136" s="26"/>
      <c r="B4136">
        <v>1</v>
      </c>
    </row>
    <row r="4137" spans="1:2" x14ac:dyDescent="0.25">
      <c r="A4137" s="27"/>
      <c r="B4137">
        <v>1</v>
      </c>
    </row>
    <row r="4138" spans="1:2" x14ac:dyDescent="0.25">
      <c r="A4138" s="26"/>
      <c r="B4138">
        <v>1</v>
      </c>
    </row>
    <row r="4139" spans="1:2" x14ac:dyDescent="0.25">
      <c r="A4139" s="27"/>
      <c r="B4139">
        <v>1</v>
      </c>
    </row>
    <row r="4140" spans="1:2" x14ac:dyDescent="0.25">
      <c r="A4140" s="26"/>
      <c r="B4140">
        <v>1</v>
      </c>
    </row>
    <row r="4141" spans="1:2" x14ac:dyDescent="0.25">
      <c r="A4141" s="27"/>
      <c r="B4141">
        <v>1</v>
      </c>
    </row>
    <row r="4142" spans="1:2" x14ac:dyDescent="0.25">
      <c r="A4142" s="26"/>
      <c r="B4142">
        <v>1</v>
      </c>
    </row>
    <row r="4143" spans="1:2" x14ac:dyDescent="0.25">
      <c r="A4143" s="27"/>
      <c r="B4143">
        <v>1</v>
      </c>
    </row>
    <row r="4144" spans="1:2" x14ac:dyDescent="0.25">
      <c r="A4144" s="26"/>
      <c r="B4144">
        <v>1</v>
      </c>
    </row>
    <row r="4145" spans="1:2" x14ac:dyDescent="0.25">
      <c r="A4145" s="27"/>
      <c r="B4145">
        <v>1</v>
      </c>
    </row>
    <row r="4146" spans="1:2" x14ac:dyDescent="0.25">
      <c r="A4146" s="26"/>
      <c r="B4146">
        <v>1</v>
      </c>
    </row>
    <row r="4147" spans="1:2" x14ac:dyDescent="0.25">
      <c r="A4147" s="27"/>
      <c r="B4147">
        <v>1</v>
      </c>
    </row>
    <row r="4148" spans="1:2" x14ac:dyDescent="0.25">
      <c r="A4148" s="26"/>
      <c r="B4148">
        <v>1</v>
      </c>
    </row>
    <row r="4149" spans="1:2" x14ac:dyDescent="0.25">
      <c r="A4149" s="27"/>
      <c r="B4149">
        <v>1</v>
      </c>
    </row>
    <row r="4150" spans="1:2" x14ac:dyDescent="0.25">
      <c r="A4150" s="26"/>
      <c r="B4150">
        <v>1</v>
      </c>
    </row>
    <row r="4151" spans="1:2" x14ac:dyDescent="0.25">
      <c r="A4151" s="27"/>
      <c r="B4151">
        <v>1</v>
      </c>
    </row>
    <row r="4152" spans="1:2" x14ac:dyDescent="0.25">
      <c r="A4152" s="26"/>
      <c r="B4152">
        <v>1</v>
      </c>
    </row>
    <row r="4153" spans="1:2" x14ac:dyDescent="0.25">
      <c r="A4153" s="27"/>
      <c r="B4153">
        <v>1</v>
      </c>
    </row>
    <row r="4154" spans="1:2" x14ac:dyDescent="0.25">
      <c r="A4154" s="26"/>
      <c r="B4154">
        <v>1</v>
      </c>
    </row>
    <row r="4155" spans="1:2" x14ac:dyDescent="0.25">
      <c r="A4155" s="27"/>
      <c r="B4155">
        <v>1</v>
      </c>
    </row>
    <row r="4156" spans="1:2" x14ac:dyDescent="0.25">
      <c r="A4156" s="26"/>
      <c r="B4156">
        <v>1</v>
      </c>
    </row>
    <row r="4157" spans="1:2" x14ac:dyDescent="0.25">
      <c r="A4157" s="27"/>
      <c r="B4157">
        <v>1</v>
      </c>
    </row>
    <row r="4158" spans="1:2" x14ac:dyDescent="0.25">
      <c r="A4158" s="26"/>
      <c r="B4158">
        <v>1</v>
      </c>
    </row>
    <row r="4159" spans="1:2" x14ac:dyDescent="0.25">
      <c r="A4159" s="27"/>
      <c r="B4159">
        <v>1</v>
      </c>
    </row>
    <row r="4160" spans="1:2" x14ac:dyDescent="0.25">
      <c r="A4160" s="26"/>
      <c r="B4160">
        <v>1</v>
      </c>
    </row>
    <row r="4161" spans="1:2" x14ac:dyDescent="0.25">
      <c r="A4161" s="27"/>
      <c r="B4161">
        <v>1</v>
      </c>
    </row>
    <row r="4162" spans="1:2" x14ac:dyDescent="0.25">
      <c r="A4162" s="26"/>
      <c r="B4162">
        <v>1</v>
      </c>
    </row>
    <row r="4163" spans="1:2" x14ac:dyDescent="0.25">
      <c r="A4163" s="27"/>
      <c r="B4163">
        <v>1</v>
      </c>
    </row>
    <row r="4164" spans="1:2" x14ac:dyDescent="0.25">
      <c r="A4164" s="26"/>
      <c r="B4164">
        <v>1</v>
      </c>
    </row>
    <row r="4165" spans="1:2" x14ac:dyDescent="0.25">
      <c r="A4165" s="27"/>
      <c r="B4165">
        <v>1</v>
      </c>
    </row>
    <row r="4166" spans="1:2" x14ac:dyDescent="0.25">
      <c r="A4166" s="26"/>
      <c r="B4166">
        <v>1</v>
      </c>
    </row>
    <row r="4167" spans="1:2" x14ac:dyDescent="0.25">
      <c r="A4167" s="27"/>
      <c r="B4167">
        <v>1</v>
      </c>
    </row>
    <row r="4168" spans="1:2" x14ac:dyDescent="0.25">
      <c r="A4168" s="26"/>
      <c r="B4168">
        <v>1</v>
      </c>
    </row>
    <row r="4169" spans="1:2" x14ac:dyDescent="0.25">
      <c r="A4169" s="27"/>
      <c r="B4169">
        <v>1</v>
      </c>
    </row>
    <row r="4170" spans="1:2" x14ac:dyDescent="0.25">
      <c r="A4170" s="26"/>
      <c r="B4170">
        <v>1</v>
      </c>
    </row>
    <row r="4171" spans="1:2" x14ac:dyDescent="0.25">
      <c r="A4171" s="27"/>
      <c r="B4171">
        <v>1</v>
      </c>
    </row>
    <row r="4172" spans="1:2" x14ac:dyDescent="0.25">
      <c r="A4172" s="26"/>
      <c r="B4172">
        <v>1</v>
      </c>
    </row>
    <row r="4173" spans="1:2" x14ac:dyDescent="0.25">
      <c r="A4173" s="27"/>
      <c r="B4173">
        <v>1</v>
      </c>
    </row>
    <row r="4174" spans="1:2" x14ac:dyDescent="0.25">
      <c r="A4174" s="26"/>
      <c r="B4174">
        <v>1</v>
      </c>
    </row>
    <row r="4175" spans="1:2" x14ac:dyDescent="0.25">
      <c r="A4175" s="27"/>
      <c r="B4175">
        <v>1</v>
      </c>
    </row>
    <row r="4176" spans="1:2" x14ac:dyDescent="0.25">
      <c r="A4176" s="26"/>
      <c r="B4176">
        <v>1</v>
      </c>
    </row>
    <row r="4177" spans="1:2" x14ac:dyDescent="0.25">
      <c r="A4177" s="27"/>
      <c r="B4177">
        <v>1</v>
      </c>
    </row>
    <row r="4178" spans="1:2" x14ac:dyDescent="0.25">
      <c r="A4178" s="26"/>
      <c r="B4178">
        <v>1</v>
      </c>
    </row>
    <row r="4179" spans="1:2" x14ac:dyDescent="0.25">
      <c r="A4179" s="27"/>
      <c r="B4179">
        <v>1</v>
      </c>
    </row>
    <row r="4180" spans="1:2" x14ac:dyDescent="0.25">
      <c r="A4180" s="26"/>
      <c r="B4180">
        <v>1</v>
      </c>
    </row>
    <row r="4181" spans="1:2" x14ac:dyDescent="0.25">
      <c r="A4181" s="27"/>
      <c r="B4181">
        <v>1</v>
      </c>
    </row>
    <row r="4182" spans="1:2" x14ac:dyDescent="0.25">
      <c r="A4182" s="26"/>
      <c r="B4182">
        <v>1</v>
      </c>
    </row>
    <row r="4183" spans="1:2" x14ac:dyDescent="0.25">
      <c r="A4183" s="27"/>
      <c r="B4183">
        <v>1</v>
      </c>
    </row>
    <row r="4184" spans="1:2" x14ac:dyDescent="0.25">
      <c r="A4184" s="26"/>
      <c r="B4184">
        <v>1</v>
      </c>
    </row>
    <row r="4185" spans="1:2" x14ac:dyDescent="0.25">
      <c r="A4185" s="27"/>
      <c r="B4185">
        <v>1</v>
      </c>
    </row>
    <row r="4186" spans="1:2" x14ac:dyDescent="0.25">
      <c r="A4186" s="26"/>
      <c r="B4186">
        <v>1</v>
      </c>
    </row>
    <row r="4187" spans="1:2" x14ac:dyDescent="0.25">
      <c r="A4187" s="27"/>
      <c r="B4187">
        <v>1</v>
      </c>
    </row>
    <row r="4188" spans="1:2" x14ac:dyDescent="0.25">
      <c r="A4188" s="26"/>
      <c r="B4188">
        <v>1</v>
      </c>
    </row>
    <row r="4189" spans="1:2" x14ac:dyDescent="0.25">
      <c r="A4189" s="27"/>
      <c r="B4189">
        <v>1</v>
      </c>
    </row>
    <row r="4190" spans="1:2" x14ac:dyDescent="0.25">
      <c r="A4190" s="26"/>
      <c r="B4190">
        <v>1</v>
      </c>
    </row>
    <row r="4191" spans="1:2" x14ac:dyDescent="0.25">
      <c r="A4191" s="27"/>
      <c r="B4191">
        <v>1</v>
      </c>
    </row>
    <row r="4192" spans="1:2" x14ac:dyDescent="0.25">
      <c r="A4192" s="26"/>
      <c r="B4192">
        <v>1</v>
      </c>
    </row>
    <row r="4193" spans="1:2" x14ac:dyDescent="0.25">
      <c r="A4193" s="27"/>
      <c r="B4193">
        <v>1</v>
      </c>
    </row>
    <row r="4194" spans="1:2" x14ac:dyDescent="0.25">
      <c r="A4194" s="26"/>
      <c r="B4194">
        <v>1</v>
      </c>
    </row>
    <row r="4195" spans="1:2" x14ac:dyDescent="0.25">
      <c r="A4195" s="27"/>
      <c r="B4195">
        <v>1</v>
      </c>
    </row>
    <row r="4196" spans="1:2" x14ac:dyDescent="0.25">
      <c r="A4196" s="26"/>
      <c r="B4196">
        <v>1</v>
      </c>
    </row>
    <row r="4197" spans="1:2" x14ac:dyDescent="0.25">
      <c r="A4197" s="27"/>
      <c r="B4197">
        <v>1</v>
      </c>
    </row>
    <row r="4198" spans="1:2" x14ac:dyDescent="0.25">
      <c r="A4198" s="26"/>
      <c r="B4198">
        <v>1</v>
      </c>
    </row>
    <row r="4199" spans="1:2" x14ac:dyDescent="0.25">
      <c r="A4199" s="27"/>
      <c r="B4199">
        <v>1</v>
      </c>
    </row>
    <row r="4200" spans="1:2" x14ac:dyDescent="0.25">
      <c r="A4200" s="26"/>
      <c r="B4200">
        <v>1</v>
      </c>
    </row>
    <row r="4201" spans="1:2" x14ac:dyDescent="0.25">
      <c r="A4201" s="27"/>
      <c r="B4201">
        <v>1</v>
      </c>
    </row>
    <row r="4202" spans="1:2" x14ac:dyDescent="0.25">
      <c r="A4202" s="26"/>
      <c r="B4202">
        <v>1</v>
      </c>
    </row>
    <row r="4203" spans="1:2" x14ac:dyDescent="0.25">
      <c r="A4203" s="27"/>
      <c r="B4203">
        <v>1</v>
      </c>
    </row>
    <row r="4204" spans="1:2" x14ac:dyDescent="0.25">
      <c r="A4204" s="26"/>
      <c r="B4204">
        <v>1</v>
      </c>
    </row>
    <row r="4205" spans="1:2" x14ac:dyDescent="0.25">
      <c r="A4205" s="27"/>
      <c r="B4205">
        <v>1</v>
      </c>
    </row>
    <row r="4206" spans="1:2" x14ac:dyDescent="0.25">
      <c r="A4206" s="26"/>
      <c r="B4206">
        <v>1</v>
      </c>
    </row>
    <row r="4207" spans="1:2" x14ac:dyDescent="0.25">
      <c r="A4207" s="27"/>
      <c r="B4207">
        <v>1</v>
      </c>
    </row>
    <row r="4208" spans="1:2" x14ac:dyDescent="0.25">
      <c r="A4208" s="26"/>
      <c r="B4208">
        <v>1</v>
      </c>
    </row>
    <row r="4209" spans="1:2" x14ac:dyDescent="0.25">
      <c r="A4209" s="27"/>
      <c r="B4209">
        <v>1</v>
      </c>
    </row>
    <row r="4210" spans="1:2" x14ac:dyDescent="0.25">
      <c r="A4210" s="26"/>
      <c r="B4210">
        <v>1</v>
      </c>
    </row>
    <row r="4211" spans="1:2" x14ac:dyDescent="0.25">
      <c r="A4211" s="27"/>
      <c r="B4211">
        <v>1</v>
      </c>
    </row>
    <row r="4212" spans="1:2" x14ac:dyDescent="0.25">
      <c r="A4212" s="26"/>
      <c r="B4212">
        <v>1</v>
      </c>
    </row>
    <row r="4213" spans="1:2" x14ac:dyDescent="0.25">
      <c r="A4213" s="27"/>
      <c r="B4213">
        <v>1</v>
      </c>
    </row>
    <row r="4214" spans="1:2" x14ac:dyDescent="0.25">
      <c r="A4214" s="26"/>
      <c r="B4214">
        <v>1</v>
      </c>
    </row>
    <row r="4215" spans="1:2" x14ac:dyDescent="0.25">
      <c r="A4215" s="27"/>
      <c r="B4215">
        <v>1</v>
      </c>
    </row>
    <row r="4216" spans="1:2" x14ac:dyDescent="0.25">
      <c r="A4216" s="26"/>
      <c r="B4216">
        <v>1</v>
      </c>
    </row>
    <row r="4217" spans="1:2" x14ac:dyDescent="0.25">
      <c r="A4217" s="27"/>
      <c r="B4217">
        <v>1</v>
      </c>
    </row>
    <row r="4218" spans="1:2" x14ac:dyDescent="0.25">
      <c r="A4218" s="26"/>
      <c r="B4218">
        <v>1</v>
      </c>
    </row>
    <row r="4219" spans="1:2" x14ac:dyDescent="0.25">
      <c r="A4219" s="27"/>
      <c r="B4219">
        <v>1</v>
      </c>
    </row>
    <row r="4220" spans="1:2" x14ac:dyDescent="0.25">
      <c r="A4220" s="26"/>
      <c r="B4220">
        <v>1</v>
      </c>
    </row>
    <row r="4221" spans="1:2" x14ac:dyDescent="0.25">
      <c r="A4221" s="27"/>
      <c r="B4221">
        <v>1</v>
      </c>
    </row>
    <row r="4222" spans="1:2" x14ac:dyDescent="0.25">
      <c r="A4222" s="26"/>
      <c r="B4222">
        <v>1</v>
      </c>
    </row>
    <row r="4223" spans="1:2" x14ac:dyDescent="0.25">
      <c r="A4223" s="27"/>
      <c r="B4223">
        <v>1</v>
      </c>
    </row>
    <row r="4224" spans="1:2" x14ac:dyDescent="0.25">
      <c r="A4224" s="26"/>
      <c r="B4224">
        <v>1</v>
      </c>
    </row>
    <row r="4225" spans="1:2" x14ac:dyDescent="0.25">
      <c r="A4225" s="27"/>
      <c r="B4225">
        <v>1</v>
      </c>
    </row>
    <row r="4226" spans="1:2" x14ac:dyDescent="0.25">
      <c r="A4226" s="26"/>
      <c r="B4226">
        <v>1</v>
      </c>
    </row>
    <row r="4227" spans="1:2" x14ac:dyDescent="0.25">
      <c r="A4227" s="27"/>
      <c r="B4227">
        <v>1</v>
      </c>
    </row>
    <row r="4228" spans="1:2" x14ac:dyDescent="0.25">
      <c r="A4228" s="26"/>
      <c r="B4228">
        <v>1</v>
      </c>
    </row>
    <row r="4229" spans="1:2" x14ac:dyDescent="0.25">
      <c r="A4229" s="27"/>
      <c r="B4229">
        <v>1</v>
      </c>
    </row>
    <row r="4230" spans="1:2" x14ac:dyDescent="0.25">
      <c r="A4230" s="26"/>
      <c r="B4230">
        <v>1</v>
      </c>
    </row>
    <row r="4231" spans="1:2" x14ac:dyDescent="0.25">
      <c r="A4231" s="27"/>
      <c r="B4231">
        <v>1</v>
      </c>
    </row>
    <row r="4232" spans="1:2" x14ac:dyDescent="0.25">
      <c r="A4232" s="26"/>
      <c r="B4232">
        <v>1</v>
      </c>
    </row>
    <row r="4233" spans="1:2" x14ac:dyDescent="0.25">
      <c r="A4233" s="27"/>
      <c r="B4233">
        <v>1</v>
      </c>
    </row>
    <row r="4234" spans="1:2" x14ac:dyDescent="0.25">
      <c r="A4234" s="26"/>
      <c r="B4234">
        <v>1</v>
      </c>
    </row>
    <row r="4235" spans="1:2" x14ac:dyDescent="0.25">
      <c r="A4235" s="27"/>
      <c r="B4235">
        <v>1</v>
      </c>
    </row>
    <row r="4236" spans="1:2" x14ac:dyDescent="0.25">
      <c r="A4236" s="26"/>
      <c r="B4236">
        <v>1</v>
      </c>
    </row>
    <row r="4237" spans="1:2" x14ac:dyDescent="0.25">
      <c r="A4237" s="27"/>
      <c r="B4237">
        <v>1</v>
      </c>
    </row>
    <row r="4238" spans="1:2" x14ac:dyDescent="0.25">
      <c r="A4238" s="26"/>
      <c r="B4238">
        <v>1</v>
      </c>
    </row>
    <row r="4239" spans="1:2" x14ac:dyDescent="0.25">
      <c r="A4239" s="27"/>
      <c r="B4239">
        <v>1</v>
      </c>
    </row>
    <row r="4240" spans="1:2" x14ac:dyDescent="0.25">
      <c r="A4240" s="26"/>
      <c r="B4240">
        <v>1</v>
      </c>
    </row>
    <row r="4241" spans="1:2" x14ac:dyDescent="0.25">
      <c r="A4241" s="27"/>
      <c r="B4241">
        <v>1</v>
      </c>
    </row>
    <row r="4242" spans="1:2" x14ac:dyDescent="0.25">
      <c r="A4242" s="26"/>
      <c r="B4242">
        <v>1</v>
      </c>
    </row>
    <row r="4243" spans="1:2" x14ac:dyDescent="0.25">
      <c r="A4243" s="27"/>
      <c r="B4243">
        <v>1</v>
      </c>
    </row>
    <row r="4244" spans="1:2" x14ac:dyDescent="0.25">
      <c r="A4244" s="26"/>
      <c r="B4244">
        <v>1</v>
      </c>
    </row>
    <row r="4245" spans="1:2" x14ac:dyDescent="0.25">
      <c r="A4245" s="27"/>
      <c r="B4245">
        <v>1</v>
      </c>
    </row>
    <row r="4246" spans="1:2" x14ac:dyDescent="0.25">
      <c r="A4246" s="26"/>
      <c r="B4246">
        <v>1</v>
      </c>
    </row>
    <row r="4247" spans="1:2" x14ac:dyDescent="0.25">
      <c r="A4247" s="27"/>
      <c r="B4247">
        <v>1</v>
      </c>
    </row>
    <row r="4248" spans="1:2" x14ac:dyDescent="0.25">
      <c r="A4248" s="26"/>
      <c r="B4248">
        <v>1</v>
      </c>
    </row>
    <row r="4249" spans="1:2" x14ac:dyDescent="0.25">
      <c r="A4249" s="27"/>
      <c r="B4249">
        <v>1</v>
      </c>
    </row>
    <row r="4250" spans="1:2" x14ac:dyDescent="0.25">
      <c r="A4250" s="26"/>
      <c r="B4250">
        <v>1</v>
      </c>
    </row>
    <row r="4251" spans="1:2" x14ac:dyDescent="0.25">
      <c r="A4251" s="27"/>
      <c r="B4251">
        <v>1</v>
      </c>
    </row>
    <row r="4252" spans="1:2" x14ac:dyDescent="0.25">
      <c r="A4252" s="26"/>
      <c r="B4252">
        <v>1</v>
      </c>
    </row>
    <row r="4253" spans="1:2" x14ac:dyDescent="0.25">
      <c r="A4253" s="27"/>
      <c r="B4253">
        <v>1</v>
      </c>
    </row>
    <row r="4254" spans="1:2" x14ac:dyDescent="0.25">
      <c r="A4254" s="26"/>
      <c r="B4254">
        <v>1</v>
      </c>
    </row>
    <row r="4255" spans="1:2" x14ac:dyDescent="0.25">
      <c r="A4255" s="27"/>
      <c r="B4255">
        <v>1</v>
      </c>
    </row>
    <row r="4256" spans="1:2" x14ac:dyDescent="0.25">
      <c r="A4256" s="26"/>
      <c r="B4256">
        <v>1</v>
      </c>
    </row>
    <row r="4257" spans="1:2" x14ac:dyDescent="0.25">
      <c r="A4257" s="27"/>
      <c r="B4257">
        <v>1</v>
      </c>
    </row>
    <row r="4258" spans="1:2" x14ac:dyDescent="0.25">
      <c r="A4258" s="26"/>
      <c r="B4258">
        <v>1</v>
      </c>
    </row>
    <row r="4259" spans="1:2" x14ac:dyDescent="0.25">
      <c r="A4259" s="27"/>
      <c r="B4259">
        <v>1</v>
      </c>
    </row>
    <row r="4260" spans="1:2" x14ac:dyDescent="0.25">
      <c r="A4260" s="26"/>
      <c r="B4260">
        <v>1</v>
      </c>
    </row>
    <row r="4261" spans="1:2" x14ac:dyDescent="0.25">
      <c r="A4261" s="27"/>
      <c r="B4261">
        <v>1</v>
      </c>
    </row>
    <row r="4262" spans="1:2" x14ac:dyDescent="0.25">
      <c r="A4262" s="26"/>
      <c r="B4262">
        <v>1</v>
      </c>
    </row>
    <row r="4263" spans="1:2" x14ac:dyDescent="0.25">
      <c r="A4263" s="27"/>
      <c r="B4263">
        <v>1</v>
      </c>
    </row>
    <row r="4264" spans="1:2" x14ac:dyDescent="0.25">
      <c r="A4264" s="26"/>
      <c r="B4264">
        <v>1</v>
      </c>
    </row>
    <row r="4265" spans="1:2" x14ac:dyDescent="0.25">
      <c r="A4265" s="27"/>
      <c r="B4265">
        <v>1</v>
      </c>
    </row>
    <row r="4266" spans="1:2" x14ac:dyDescent="0.25">
      <c r="A4266" s="26"/>
      <c r="B4266">
        <v>1</v>
      </c>
    </row>
    <row r="4267" spans="1:2" x14ac:dyDescent="0.25">
      <c r="A4267" s="27"/>
      <c r="B4267">
        <v>1</v>
      </c>
    </row>
    <row r="4268" spans="1:2" x14ac:dyDescent="0.25">
      <c r="A4268" s="26"/>
      <c r="B4268">
        <v>1</v>
      </c>
    </row>
    <row r="4269" spans="1:2" x14ac:dyDescent="0.25">
      <c r="A4269" s="27"/>
      <c r="B4269">
        <v>1</v>
      </c>
    </row>
    <row r="4270" spans="1:2" x14ac:dyDescent="0.25">
      <c r="A4270" s="26"/>
      <c r="B4270">
        <v>1</v>
      </c>
    </row>
    <row r="4271" spans="1:2" x14ac:dyDescent="0.25">
      <c r="A4271" s="27"/>
      <c r="B4271">
        <v>1</v>
      </c>
    </row>
    <row r="4272" spans="1:2" x14ac:dyDescent="0.25">
      <c r="A4272" s="26"/>
      <c r="B4272">
        <v>1</v>
      </c>
    </row>
    <row r="4273" spans="1:2" x14ac:dyDescent="0.25">
      <c r="A4273" s="27"/>
      <c r="B4273">
        <v>1</v>
      </c>
    </row>
    <row r="4274" spans="1:2" x14ac:dyDescent="0.25">
      <c r="A4274" s="26"/>
      <c r="B4274">
        <v>1</v>
      </c>
    </row>
    <row r="4275" spans="1:2" x14ac:dyDescent="0.25">
      <c r="A4275" s="27"/>
      <c r="B4275">
        <v>1</v>
      </c>
    </row>
    <row r="4276" spans="1:2" x14ac:dyDescent="0.25">
      <c r="A4276" s="26"/>
      <c r="B4276">
        <v>1</v>
      </c>
    </row>
    <row r="4277" spans="1:2" x14ac:dyDescent="0.25">
      <c r="A4277" s="27"/>
      <c r="B4277">
        <v>1</v>
      </c>
    </row>
    <row r="4278" spans="1:2" x14ac:dyDescent="0.25">
      <c r="A4278" s="26"/>
      <c r="B4278">
        <v>1</v>
      </c>
    </row>
    <row r="4279" spans="1:2" x14ac:dyDescent="0.25">
      <c r="A4279" s="27"/>
      <c r="B4279">
        <v>1</v>
      </c>
    </row>
    <row r="4280" spans="1:2" x14ac:dyDescent="0.25">
      <c r="A4280" s="26"/>
      <c r="B4280">
        <v>1</v>
      </c>
    </row>
    <row r="4281" spans="1:2" x14ac:dyDescent="0.25">
      <c r="A4281" s="27"/>
      <c r="B4281">
        <v>1</v>
      </c>
    </row>
    <row r="4282" spans="1:2" x14ac:dyDescent="0.25">
      <c r="A4282" s="26"/>
      <c r="B4282">
        <v>1</v>
      </c>
    </row>
    <row r="4283" spans="1:2" x14ac:dyDescent="0.25">
      <c r="A4283" s="27"/>
      <c r="B4283">
        <v>1</v>
      </c>
    </row>
    <row r="4284" spans="1:2" x14ac:dyDescent="0.25">
      <c r="A4284" s="26"/>
      <c r="B4284">
        <v>1</v>
      </c>
    </row>
    <row r="4285" spans="1:2" x14ac:dyDescent="0.25">
      <c r="A4285" s="27"/>
      <c r="B4285">
        <v>1</v>
      </c>
    </row>
    <row r="4286" spans="1:2" x14ac:dyDescent="0.25">
      <c r="A4286" s="26"/>
      <c r="B4286">
        <v>1</v>
      </c>
    </row>
    <row r="4287" spans="1:2" x14ac:dyDescent="0.25">
      <c r="A4287" s="27"/>
      <c r="B4287">
        <v>1</v>
      </c>
    </row>
    <row r="4288" spans="1:2" x14ac:dyDescent="0.25">
      <c r="A4288" s="26"/>
      <c r="B4288">
        <v>1</v>
      </c>
    </row>
    <row r="4289" spans="1:2" x14ac:dyDescent="0.25">
      <c r="A4289" s="27"/>
      <c r="B4289">
        <v>1</v>
      </c>
    </row>
    <row r="4290" spans="1:2" x14ac:dyDescent="0.25">
      <c r="A4290" s="26"/>
      <c r="B4290">
        <v>1</v>
      </c>
    </row>
    <row r="4291" spans="1:2" x14ac:dyDescent="0.25">
      <c r="A4291" s="27"/>
      <c r="B4291">
        <v>1</v>
      </c>
    </row>
    <row r="4292" spans="1:2" x14ac:dyDescent="0.25">
      <c r="A4292" s="26"/>
      <c r="B4292">
        <v>1</v>
      </c>
    </row>
    <row r="4293" spans="1:2" x14ac:dyDescent="0.25">
      <c r="A4293" s="27"/>
      <c r="B4293">
        <v>1</v>
      </c>
    </row>
    <row r="4294" spans="1:2" x14ac:dyDescent="0.25">
      <c r="A4294" s="26"/>
      <c r="B4294">
        <v>1</v>
      </c>
    </row>
    <row r="4295" spans="1:2" x14ac:dyDescent="0.25">
      <c r="A4295" s="27"/>
      <c r="B4295">
        <v>1</v>
      </c>
    </row>
    <row r="4296" spans="1:2" x14ac:dyDescent="0.25">
      <c r="A4296" s="26"/>
      <c r="B4296">
        <v>1</v>
      </c>
    </row>
    <row r="4297" spans="1:2" x14ac:dyDescent="0.25">
      <c r="A4297" s="27"/>
      <c r="B4297">
        <v>1</v>
      </c>
    </row>
    <row r="4298" spans="1:2" x14ac:dyDescent="0.25">
      <c r="A4298" s="26"/>
      <c r="B4298">
        <v>1</v>
      </c>
    </row>
    <row r="4299" spans="1:2" x14ac:dyDescent="0.25">
      <c r="A4299" s="27"/>
      <c r="B4299">
        <v>1</v>
      </c>
    </row>
    <row r="4300" spans="1:2" x14ac:dyDescent="0.25">
      <c r="A4300" s="26"/>
      <c r="B4300">
        <v>1</v>
      </c>
    </row>
    <row r="4301" spans="1:2" x14ac:dyDescent="0.25">
      <c r="A4301" s="27"/>
      <c r="B4301">
        <v>1</v>
      </c>
    </row>
    <row r="4302" spans="1:2" x14ac:dyDescent="0.25">
      <c r="A4302" s="26"/>
      <c r="B4302">
        <v>1</v>
      </c>
    </row>
    <row r="4303" spans="1:2" x14ac:dyDescent="0.25">
      <c r="A4303" s="27"/>
      <c r="B4303">
        <v>1</v>
      </c>
    </row>
    <row r="4304" spans="1:2" x14ac:dyDescent="0.25">
      <c r="A4304" s="26"/>
      <c r="B4304">
        <v>1</v>
      </c>
    </row>
    <row r="4305" spans="1:2" x14ac:dyDescent="0.25">
      <c r="A4305" s="27"/>
      <c r="B4305">
        <v>1</v>
      </c>
    </row>
    <row r="4306" spans="1:2" x14ac:dyDescent="0.25">
      <c r="A4306" s="26"/>
      <c r="B4306">
        <v>1</v>
      </c>
    </row>
    <row r="4307" spans="1:2" x14ac:dyDescent="0.25">
      <c r="A4307" s="27"/>
      <c r="B4307">
        <v>1</v>
      </c>
    </row>
    <row r="4308" spans="1:2" x14ac:dyDescent="0.25">
      <c r="A4308" s="26"/>
      <c r="B4308">
        <v>1</v>
      </c>
    </row>
    <row r="4309" spans="1:2" x14ac:dyDescent="0.25">
      <c r="A4309" s="27"/>
      <c r="B4309">
        <v>1</v>
      </c>
    </row>
    <row r="4310" spans="1:2" x14ac:dyDescent="0.25">
      <c r="A4310" s="26"/>
      <c r="B4310">
        <v>1</v>
      </c>
    </row>
    <row r="4311" spans="1:2" x14ac:dyDescent="0.25">
      <c r="A4311" s="27"/>
      <c r="B4311">
        <v>1</v>
      </c>
    </row>
    <row r="4312" spans="1:2" x14ac:dyDescent="0.25">
      <c r="A4312" s="26"/>
      <c r="B4312">
        <v>1</v>
      </c>
    </row>
    <row r="4313" spans="1:2" x14ac:dyDescent="0.25">
      <c r="A4313" s="27"/>
      <c r="B4313">
        <v>1</v>
      </c>
    </row>
    <row r="4314" spans="1:2" x14ac:dyDescent="0.25">
      <c r="A4314" s="26"/>
      <c r="B4314">
        <v>1</v>
      </c>
    </row>
    <row r="4315" spans="1:2" x14ac:dyDescent="0.25">
      <c r="A4315" s="27"/>
      <c r="B4315">
        <v>1</v>
      </c>
    </row>
    <row r="4316" spans="1:2" x14ac:dyDescent="0.25">
      <c r="A4316" s="26"/>
      <c r="B4316">
        <v>1</v>
      </c>
    </row>
    <row r="4317" spans="1:2" x14ac:dyDescent="0.25">
      <c r="A4317" s="27"/>
      <c r="B4317">
        <v>1</v>
      </c>
    </row>
    <row r="4318" spans="1:2" x14ac:dyDescent="0.25">
      <c r="A4318" s="26"/>
      <c r="B4318">
        <v>1</v>
      </c>
    </row>
    <row r="4319" spans="1:2" x14ac:dyDescent="0.25">
      <c r="A4319" s="27"/>
      <c r="B4319">
        <v>1</v>
      </c>
    </row>
    <row r="4320" spans="1:2" x14ac:dyDescent="0.25">
      <c r="A4320" s="26"/>
      <c r="B4320">
        <v>1</v>
      </c>
    </row>
    <row r="4321" spans="1:2" x14ac:dyDescent="0.25">
      <c r="A4321" s="27"/>
      <c r="B4321">
        <v>1</v>
      </c>
    </row>
    <row r="4322" spans="1:2" x14ac:dyDescent="0.25">
      <c r="A4322" s="26"/>
      <c r="B4322">
        <v>1</v>
      </c>
    </row>
    <row r="4323" spans="1:2" x14ac:dyDescent="0.25">
      <c r="A4323" s="27"/>
      <c r="B4323">
        <v>1</v>
      </c>
    </row>
    <row r="4324" spans="1:2" x14ac:dyDescent="0.25">
      <c r="A4324" s="26"/>
      <c r="B4324">
        <v>1</v>
      </c>
    </row>
    <row r="4325" spans="1:2" x14ac:dyDescent="0.25">
      <c r="A4325" s="27"/>
      <c r="B4325">
        <v>1</v>
      </c>
    </row>
    <row r="4326" spans="1:2" x14ac:dyDescent="0.25">
      <c r="A4326" s="26"/>
      <c r="B4326">
        <v>1</v>
      </c>
    </row>
    <row r="4327" spans="1:2" x14ac:dyDescent="0.25">
      <c r="A4327" s="27"/>
      <c r="B4327">
        <v>1</v>
      </c>
    </row>
    <row r="4328" spans="1:2" x14ac:dyDescent="0.25">
      <c r="A4328" s="26"/>
      <c r="B4328">
        <v>1</v>
      </c>
    </row>
    <row r="4329" spans="1:2" x14ac:dyDescent="0.25">
      <c r="A4329" s="27"/>
      <c r="B4329">
        <v>1</v>
      </c>
    </row>
    <row r="4330" spans="1:2" x14ac:dyDescent="0.25">
      <c r="A4330" s="26"/>
      <c r="B4330">
        <v>1</v>
      </c>
    </row>
    <row r="4331" spans="1:2" x14ac:dyDescent="0.25">
      <c r="A4331" s="27"/>
      <c r="B4331">
        <v>1</v>
      </c>
    </row>
    <row r="4332" spans="1:2" x14ac:dyDescent="0.25">
      <c r="A4332" s="26"/>
      <c r="B4332">
        <v>1</v>
      </c>
    </row>
    <row r="4333" spans="1:2" x14ac:dyDescent="0.25">
      <c r="A4333" s="27"/>
      <c r="B4333">
        <v>1</v>
      </c>
    </row>
    <row r="4334" spans="1:2" x14ac:dyDescent="0.25">
      <c r="A4334" s="26"/>
      <c r="B4334">
        <v>1</v>
      </c>
    </row>
    <row r="4335" spans="1:2" x14ac:dyDescent="0.25">
      <c r="A4335" s="27"/>
      <c r="B4335">
        <v>1</v>
      </c>
    </row>
    <row r="4336" spans="1:2" x14ac:dyDescent="0.25">
      <c r="A4336" s="26"/>
      <c r="B4336">
        <v>1</v>
      </c>
    </row>
    <row r="4337" spans="1:2" x14ac:dyDescent="0.25">
      <c r="A4337" s="27"/>
      <c r="B4337">
        <v>1</v>
      </c>
    </row>
    <row r="4338" spans="1:2" x14ac:dyDescent="0.25">
      <c r="A4338" s="26"/>
      <c r="B4338">
        <v>1</v>
      </c>
    </row>
    <row r="4339" spans="1:2" x14ac:dyDescent="0.25">
      <c r="A4339" s="27"/>
      <c r="B4339">
        <v>1</v>
      </c>
    </row>
    <row r="4340" spans="1:2" x14ac:dyDescent="0.25">
      <c r="A4340" s="26"/>
      <c r="B4340">
        <v>1</v>
      </c>
    </row>
    <row r="4341" spans="1:2" x14ac:dyDescent="0.25">
      <c r="A4341" s="27"/>
      <c r="B4341">
        <v>1</v>
      </c>
    </row>
    <row r="4342" spans="1:2" x14ac:dyDescent="0.25">
      <c r="A4342" s="26"/>
      <c r="B4342">
        <v>1</v>
      </c>
    </row>
    <row r="4343" spans="1:2" x14ac:dyDescent="0.25">
      <c r="A4343" s="27"/>
      <c r="B4343">
        <v>1</v>
      </c>
    </row>
    <row r="4344" spans="1:2" x14ac:dyDescent="0.25">
      <c r="A4344" s="26"/>
      <c r="B4344">
        <v>1</v>
      </c>
    </row>
    <row r="4345" spans="1:2" x14ac:dyDescent="0.25">
      <c r="A4345" s="27"/>
      <c r="B4345">
        <v>1</v>
      </c>
    </row>
    <row r="4346" spans="1:2" x14ac:dyDescent="0.25">
      <c r="A4346" s="26"/>
      <c r="B4346">
        <v>1</v>
      </c>
    </row>
    <row r="4347" spans="1:2" x14ac:dyDescent="0.25">
      <c r="A4347" s="27"/>
      <c r="B4347">
        <v>1</v>
      </c>
    </row>
    <row r="4348" spans="1:2" x14ac:dyDescent="0.25">
      <c r="A4348" s="26"/>
      <c r="B4348">
        <v>1</v>
      </c>
    </row>
    <row r="4349" spans="1:2" x14ac:dyDescent="0.25">
      <c r="A4349" s="27"/>
      <c r="B4349">
        <v>1</v>
      </c>
    </row>
    <row r="4350" spans="1:2" x14ac:dyDescent="0.25">
      <c r="A4350" s="26"/>
      <c r="B4350">
        <v>1</v>
      </c>
    </row>
    <row r="4351" spans="1:2" x14ac:dyDescent="0.25">
      <c r="A4351" s="27"/>
      <c r="B4351">
        <v>1</v>
      </c>
    </row>
    <row r="4352" spans="1:2" x14ac:dyDescent="0.25">
      <c r="A4352" s="26"/>
      <c r="B4352">
        <v>1</v>
      </c>
    </row>
    <row r="4353" spans="1:2" x14ac:dyDescent="0.25">
      <c r="A4353" s="27"/>
      <c r="B4353">
        <v>1</v>
      </c>
    </row>
    <row r="4354" spans="1:2" x14ac:dyDescent="0.25">
      <c r="A4354" s="26"/>
      <c r="B4354">
        <v>1</v>
      </c>
    </row>
    <row r="4355" spans="1:2" x14ac:dyDescent="0.25">
      <c r="A4355" s="27"/>
      <c r="B4355">
        <v>1</v>
      </c>
    </row>
    <row r="4356" spans="1:2" x14ac:dyDescent="0.25">
      <c r="A4356" s="26"/>
      <c r="B4356">
        <v>1</v>
      </c>
    </row>
    <row r="4357" spans="1:2" x14ac:dyDescent="0.25">
      <c r="A4357" s="27"/>
      <c r="B4357">
        <v>1</v>
      </c>
    </row>
    <row r="4358" spans="1:2" x14ac:dyDescent="0.25">
      <c r="A4358" s="26"/>
      <c r="B4358">
        <v>1</v>
      </c>
    </row>
    <row r="4359" spans="1:2" x14ac:dyDescent="0.25">
      <c r="A4359" s="27"/>
      <c r="B4359">
        <v>1</v>
      </c>
    </row>
    <row r="4360" spans="1:2" x14ac:dyDescent="0.25">
      <c r="A4360" s="26"/>
      <c r="B4360">
        <v>1</v>
      </c>
    </row>
    <row r="4361" spans="1:2" x14ac:dyDescent="0.25">
      <c r="A4361" s="27"/>
      <c r="B4361">
        <v>1</v>
      </c>
    </row>
    <row r="4362" spans="1:2" x14ac:dyDescent="0.25">
      <c r="A4362" s="26"/>
      <c r="B4362">
        <v>1</v>
      </c>
    </row>
    <row r="4363" spans="1:2" x14ac:dyDescent="0.25">
      <c r="A4363" s="27"/>
      <c r="B4363">
        <v>1</v>
      </c>
    </row>
    <row r="4364" spans="1:2" x14ac:dyDescent="0.25">
      <c r="A4364" s="26"/>
      <c r="B4364">
        <v>1</v>
      </c>
    </row>
    <row r="4365" spans="1:2" x14ac:dyDescent="0.25">
      <c r="A4365" s="27"/>
      <c r="B4365">
        <v>1</v>
      </c>
    </row>
    <row r="4366" spans="1:2" x14ac:dyDescent="0.25">
      <c r="A4366" s="26"/>
      <c r="B4366">
        <v>1</v>
      </c>
    </row>
    <row r="4367" spans="1:2" x14ac:dyDescent="0.25">
      <c r="A4367" s="27"/>
      <c r="B4367">
        <v>1</v>
      </c>
    </row>
    <row r="4368" spans="1:2" x14ac:dyDescent="0.25">
      <c r="A4368" s="26"/>
      <c r="B4368">
        <v>1</v>
      </c>
    </row>
    <row r="4369" spans="1:2" x14ac:dyDescent="0.25">
      <c r="A4369" s="27"/>
      <c r="B4369">
        <v>1</v>
      </c>
    </row>
    <row r="4370" spans="1:2" x14ac:dyDescent="0.25">
      <c r="A4370" s="26"/>
      <c r="B4370">
        <v>1</v>
      </c>
    </row>
    <row r="4371" spans="1:2" x14ac:dyDescent="0.25">
      <c r="A4371" s="27"/>
      <c r="B4371">
        <v>1</v>
      </c>
    </row>
    <row r="4372" spans="1:2" x14ac:dyDescent="0.25">
      <c r="A4372" s="26"/>
      <c r="B4372">
        <v>1</v>
      </c>
    </row>
    <row r="4373" spans="1:2" x14ac:dyDescent="0.25">
      <c r="A4373" s="27"/>
      <c r="B4373">
        <v>1</v>
      </c>
    </row>
    <row r="4374" spans="1:2" x14ac:dyDescent="0.25">
      <c r="A4374" s="26"/>
      <c r="B4374">
        <v>1</v>
      </c>
    </row>
    <row r="4375" spans="1:2" x14ac:dyDescent="0.25">
      <c r="A4375" s="27"/>
      <c r="B4375">
        <v>1</v>
      </c>
    </row>
    <row r="4376" spans="1:2" x14ac:dyDescent="0.25">
      <c r="A4376" s="26"/>
      <c r="B4376">
        <v>1</v>
      </c>
    </row>
    <row r="4377" spans="1:2" x14ac:dyDescent="0.25">
      <c r="A4377" s="27"/>
      <c r="B4377">
        <v>1</v>
      </c>
    </row>
    <row r="4378" spans="1:2" x14ac:dyDescent="0.25">
      <c r="A4378" s="26"/>
      <c r="B4378">
        <v>1</v>
      </c>
    </row>
    <row r="4379" spans="1:2" x14ac:dyDescent="0.25">
      <c r="A4379" s="27"/>
      <c r="B4379">
        <v>1</v>
      </c>
    </row>
    <row r="4380" spans="1:2" x14ac:dyDescent="0.25">
      <c r="A4380" s="26"/>
      <c r="B4380">
        <v>1</v>
      </c>
    </row>
    <row r="4381" spans="1:2" x14ac:dyDescent="0.25">
      <c r="A4381" s="27"/>
      <c r="B4381">
        <v>1</v>
      </c>
    </row>
    <row r="4382" spans="1:2" x14ac:dyDescent="0.25">
      <c r="A4382" s="26"/>
      <c r="B4382">
        <v>1</v>
      </c>
    </row>
    <row r="4383" spans="1:2" x14ac:dyDescent="0.25">
      <c r="A4383" s="27"/>
      <c r="B4383">
        <v>1</v>
      </c>
    </row>
    <row r="4384" spans="1:2" x14ac:dyDescent="0.25">
      <c r="A4384" s="26"/>
      <c r="B4384">
        <v>1</v>
      </c>
    </row>
    <row r="4385" spans="1:2" x14ac:dyDescent="0.25">
      <c r="A4385" s="27"/>
      <c r="B4385">
        <v>1</v>
      </c>
    </row>
    <row r="4386" spans="1:2" x14ac:dyDescent="0.25">
      <c r="A4386" s="26"/>
      <c r="B4386">
        <v>1</v>
      </c>
    </row>
    <row r="4387" spans="1:2" x14ac:dyDescent="0.25">
      <c r="A4387" s="27"/>
      <c r="B4387">
        <v>1</v>
      </c>
    </row>
    <row r="4388" spans="1:2" x14ac:dyDescent="0.25">
      <c r="A4388" s="26"/>
      <c r="B4388">
        <v>1</v>
      </c>
    </row>
    <row r="4389" spans="1:2" x14ac:dyDescent="0.25">
      <c r="A4389" s="27"/>
      <c r="B4389">
        <v>1</v>
      </c>
    </row>
    <row r="4390" spans="1:2" x14ac:dyDescent="0.25">
      <c r="A4390" s="26"/>
      <c r="B4390">
        <v>1</v>
      </c>
    </row>
    <row r="4391" spans="1:2" x14ac:dyDescent="0.25">
      <c r="A4391" s="27"/>
      <c r="B4391">
        <v>1</v>
      </c>
    </row>
    <row r="4392" spans="1:2" x14ac:dyDescent="0.25">
      <c r="A4392" s="26"/>
      <c r="B4392">
        <v>1</v>
      </c>
    </row>
    <row r="4393" spans="1:2" x14ac:dyDescent="0.25">
      <c r="A4393" s="27"/>
      <c r="B4393">
        <v>1</v>
      </c>
    </row>
    <row r="4394" spans="1:2" x14ac:dyDescent="0.25">
      <c r="A4394" s="26"/>
      <c r="B4394">
        <v>1</v>
      </c>
    </row>
    <row r="4395" spans="1:2" x14ac:dyDescent="0.25">
      <c r="A4395" s="27"/>
      <c r="B4395">
        <v>1</v>
      </c>
    </row>
    <row r="4396" spans="1:2" x14ac:dyDescent="0.25">
      <c r="A4396" s="26"/>
      <c r="B4396">
        <v>1</v>
      </c>
    </row>
    <row r="4397" spans="1:2" x14ac:dyDescent="0.25">
      <c r="A4397" s="27"/>
      <c r="B4397">
        <v>1</v>
      </c>
    </row>
    <row r="4398" spans="1:2" x14ac:dyDescent="0.25">
      <c r="A4398" s="26"/>
      <c r="B4398">
        <v>1</v>
      </c>
    </row>
    <row r="4399" spans="1:2" x14ac:dyDescent="0.25">
      <c r="A4399" s="27"/>
      <c r="B4399">
        <v>1</v>
      </c>
    </row>
    <row r="4400" spans="1:2" x14ac:dyDescent="0.25">
      <c r="A4400" s="26"/>
      <c r="B4400">
        <v>1</v>
      </c>
    </row>
    <row r="4401" spans="1:2" x14ac:dyDescent="0.25">
      <c r="A4401" s="27"/>
      <c r="B4401">
        <v>1</v>
      </c>
    </row>
    <row r="4402" spans="1:2" x14ac:dyDescent="0.25">
      <c r="A4402" s="26"/>
      <c r="B4402">
        <v>1</v>
      </c>
    </row>
    <row r="4403" spans="1:2" x14ac:dyDescent="0.25">
      <c r="A4403" s="27"/>
      <c r="B4403">
        <v>1</v>
      </c>
    </row>
    <row r="4404" spans="1:2" x14ac:dyDescent="0.25">
      <c r="A4404" s="26"/>
      <c r="B4404">
        <v>1</v>
      </c>
    </row>
    <row r="4405" spans="1:2" x14ac:dyDescent="0.25">
      <c r="A4405" s="27"/>
      <c r="B4405">
        <v>1</v>
      </c>
    </row>
    <row r="4406" spans="1:2" x14ac:dyDescent="0.25">
      <c r="A4406" s="26"/>
      <c r="B4406">
        <v>1</v>
      </c>
    </row>
    <row r="4407" spans="1:2" x14ac:dyDescent="0.25">
      <c r="A4407" s="27"/>
      <c r="B4407">
        <v>1</v>
      </c>
    </row>
    <row r="4408" spans="1:2" x14ac:dyDescent="0.25">
      <c r="A4408" s="26"/>
      <c r="B4408">
        <v>1</v>
      </c>
    </row>
    <row r="4409" spans="1:2" x14ac:dyDescent="0.25">
      <c r="A4409" s="27"/>
      <c r="B4409">
        <v>1</v>
      </c>
    </row>
    <row r="4410" spans="1:2" x14ac:dyDescent="0.25">
      <c r="A4410" s="26"/>
      <c r="B4410">
        <v>1</v>
      </c>
    </row>
    <row r="4411" spans="1:2" x14ac:dyDescent="0.25">
      <c r="A4411" s="27"/>
      <c r="B4411">
        <v>1</v>
      </c>
    </row>
    <row r="4412" spans="1:2" x14ac:dyDescent="0.25">
      <c r="A4412" s="26"/>
      <c r="B4412">
        <v>1</v>
      </c>
    </row>
    <row r="4413" spans="1:2" x14ac:dyDescent="0.25">
      <c r="A4413" s="27"/>
      <c r="B4413">
        <v>1</v>
      </c>
    </row>
    <row r="4414" spans="1:2" x14ac:dyDescent="0.25">
      <c r="A4414" s="26"/>
      <c r="B4414">
        <v>1</v>
      </c>
    </row>
    <row r="4415" spans="1:2" x14ac:dyDescent="0.25">
      <c r="A4415" s="27"/>
      <c r="B4415">
        <v>1</v>
      </c>
    </row>
    <row r="4416" spans="1:2" x14ac:dyDescent="0.25">
      <c r="A4416" s="26"/>
      <c r="B4416">
        <v>1</v>
      </c>
    </row>
    <row r="4417" spans="1:2" x14ac:dyDescent="0.25">
      <c r="A4417" s="27"/>
      <c r="B4417">
        <v>1</v>
      </c>
    </row>
    <row r="4418" spans="1:2" x14ac:dyDescent="0.25">
      <c r="A4418" s="26"/>
      <c r="B4418">
        <v>1</v>
      </c>
    </row>
    <row r="4419" spans="1:2" x14ac:dyDescent="0.25">
      <c r="A4419" s="27"/>
      <c r="B4419">
        <v>1</v>
      </c>
    </row>
    <row r="4420" spans="1:2" x14ac:dyDescent="0.25">
      <c r="A4420" s="26"/>
      <c r="B4420">
        <v>1</v>
      </c>
    </row>
    <row r="4421" spans="1:2" x14ac:dyDescent="0.25">
      <c r="A4421" s="27"/>
      <c r="B4421">
        <v>1</v>
      </c>
    </row>
    <row r="4422" spans="1:2" x14ac:dyDescent="0.25">
      <c r="A4422" s="26"/>
      <c r="B4422">
        <v>1</v>
      </c>
    </row>
    <row r="4423" spans="1:2" x14ac:dyDescent="0.25">
      <c r="A4423" s="27"/>
      <c r="B4423">
        <v>1</v>
      </c>
    </row>
    <row r="4424" spans="1:2" x14ac:dyDescent="0.25">
      <c r="A4424" s="26"/>
      <c r="B4424">
        <v>1</v>
      </c>
    </row>
    <row r="4425" spans="1:2" x14ac:dyDescent="0.25">
      <c r="A4425" s="27"/>
      <c r="B4425">
        <v>1</v>
      </c>
    </row>
    <row r="4426" spans="1:2" x14ac:dyDescent="0.25">
      <c r="A4426" s="26"/>
      <c r="B4426">
        <v>1</v>
      </c>
    </row>
    <row r="4427" spans="1:2" x14ac:dyDescent="0.25">
      <c r="A4427" s="27"/>
      <c r="B4427">
        <v>1</v>
      </c>
    </row>
    <row r="4428" spans="1:2" x14ac:dyDescent="0.25">
      <c r="A4428" s="26"/>
      <c r="B4428">
        <v>1</v>
      </c>
    </row>
    <row r="4429" spans="1:2" x14ac:dyDescent="0.25">
      <c r="A4429" s="27"/>
      <c r="B4429">
        <v>1</v>
      </c>
    </row>
    <row r="4430" spans="1:2" x14ac:dyDescent="0.25">
      <c r="A4430" s="26"/>
      <c r="B4430">
        <v>1</v>
      </c>
    </row>
    <row r="4431" spans="1:2" x14ac:dyDescent="0.25">
      <c r="A4431" s="27"/>
      <c r="B4431">
        <v>1</v>
      </c>
    </row>
    <row r="4432" spans="1:2" x14ac:dyDescent="0.25">
      <c r="A4432" s="26"/>
      <c r="B4432">
        <v>1</v>
      </c>
    </row>
    <row r="4433" spans="1:2" x14ac:dyDescent="0.25">
      <c r="A4433" s="27"/>
      <c r="B4433">
        <v>1</v>
      </c>
    </row>
    <row r="4434" spans="1:2" x14ac:dyDescent="0.25">
      <c r="A4434" s="26"/>
      <c r="B4434">
        <v>1</v>
      </c>
    </row>
    <row r="4435" spans="1:2" x14ac:dyDescent="0.25">
      <c r="A4435" s="27"/>
      <c r="B4435">
        <v>1</v>
      </c>
    </row>
    <row r="4436" spans="1:2" x14ac:dyDescent="0.25">
      <c r="A4436" s="26"/>
      <c r="B4436">
        <v>1</v>
      </c>
    </row>
    <row r="4437" spans="1:2" x14ac:dyDescent="0.25">
      <c r="A4437" s="27"/>
      <c r="B4437">
        <v>1</v>
      </c>
    </row>
    <row r="4438" spans="1:2" x14ac:dyDescent="0.25">
      <c r="A4438" s="26"/>
      <c r="B4438">
        <v>1</v>
      </c>
    </row>
    <row r="4439" spans="1:2" x14ac:dyDescent="0.25">
      <c r="A4439" s="27"/>
      <c r="B4439">
        <v>1</v>
      </c>
    </row>
    <row r="4440" spans="1:2" x14ac:dyDescent="0.25">
      <c r="A4440" s="26"/>
      <c r="B4440">
        <v>1</v>
      </c>
    </row>
    <row r="4441" spans="1:2" x14ac:dyDescent="0.25">
      <c r="A4441" s="27"/>
      <c r="B4441">
        <v>1</v>
      </c>
    </row>
    <row r="4442" spans="1:2" x14ac:dyDescent="0.25">
      <c r="A4442" s="26"/>
      <c r="B4442">
        <v>1</v>
      </c>
    </row>
    <row r="4443" spans="1:2" x14ac:dyDescent="0.25">
      <c r="A4443" s="27"/>
      <c r="B4443">
        <v>1</v>
      </c>
    </row>
    <row r="4444" spans="1:2" x14ac:dyDescent="0.25">
      <c r="A4444" s="26"/>
      <c r="B4444">
        <v>1</v>
      </c>
    </row>
    <row r="4445" spans="1:2" x14ac:dyDescent="0.25">
      <c r="A4445" s="27"/>
      <c r="B4445">
        <v>1</v>
      </c>
    </row>
    <row r="4446" spans="1:2" x14ac:dyDescent="0.25">
      <c r="A4446" s="26"/>
      <c r="B4446">
        <v>1</v>
      </c>
    </row>
    <row r="4447" spans="1:2" x14ac:dyDescent="0.25">
      <c r="A4447" s="27"/>
      <c r="B4447">
        <v>1</v>
      </c>
    </row>
    <row r="4448" spans="1:2" x14ac:dyDescent="0.25">
      <c r="A4448" s="26"/>
      <c r="B4448">
        <v>1</v>
      </c>
    </row>
    <row r="4449" spans="1:2" x14ac:dyDescent="0.25">
      <c r="A4449" s="27"/>
      <c r="B4449">
        <v>1</v>
      </c>
    </row>
    <row r="4450" spans="1:2" x14ac:dyDescent="0.25">
      <c r="A4450" s="26"/>
      <c r="B4450">
        <v>1</v>
      </c>
    </row>
    <row r="4451" spans="1:2" x14ac:dyDescent="0.25">
      <c r="A4451" s="27"/>
      <c r="B4451">
        <v>1</v>
      </c>
    </row>
    <row r="4452" spans="1:2" x14ac:dyDescent="0.25">
      <c r="A4452" s="26"/>
      <c r="B4452">
        <v>1</v>
      </c>
    </row>
    <row r="4453" spans="1:2" x14ac:dyDescent="0.25">
      <c r="A4453" s="27"/>
      <c r="B4453">
        <v>1</v>
      </c>
    </row>
    <row r="4454" spans="1:2" x14ac:dyDescent="0.25">
      <c r="A4454" s="26"/>
      <c r="B4454">
        <v>1</v>
      </c>
    </row>
    <row r="4455" spans="1:2" x14ac:dyDescent="0.25">
      <c r="A4455" s="27"/>
      <c r="B4455">
        <v>1</v>
      </c>
    </row>
    <row r="4456" spans="1:2" x14ac:dyDescent="0.25">
      <c r="A4456" s="26"/>
      <c r="B4456">
        <v>1</v>
      </c>
    </row>
    <row r="4457" spans="1:2" x14ac:dyDescent="0.25">
      <c r="A4457" s="27"/>
      <c r="B4457">
        <v>1</v>
      </c>
    </row>
    <row r="4458" spans="1:2" x14ac:dyDescent="0.25">
      <c r="A4458" s="26"/>
      <c r="B4458">
        <v>1</v>
      </c>
    </row>
    <row r="4459" spans="1:2" x14ac:dyDescent="0.25">
      <c r="A4459" s="27"/>
      <c r="B4459">
        <v>1</v>
      </c>
    </row>
    <row r="4460" spans="1:2" x14ac:dyDescent="0.25">
      <c r="A4460" s="26"/>
      <c r="B4460">
        <v>1</v>
      </c>
    </row>
    <row r="4461" spans="1:2" x14ac:dyDescent="0.25">
      <c r="A4461" s="27"/>
      <c r="B4461">
        <v>1</v>
      </c>
    </row>
    <row r="4462" spans="1:2" x14ac:dyDescent="0.25">
      <c r="A4462" s="26"/>
      <c r="B4462">
        <v>1</v>
      </c>
    </row>
    <row r="4463" spans="1:2" x14ac:dyDescent="0.25">
      <c r="A4463" s="27"/>
      <c r="B4463">
        <v>1</v>
      </c>
    </row>
    <row r="4464" spans="1:2" x14ac:dyDescent="0.25">
      <c r="A4464" s="26"/>
      <c r="B4464">
        <v>1</v>
      </c>
    </row>
    <row r="4465" spans="1:2" x14ac:dyDescent="0.25">
      <c r="A4465" s="27"/>
      <c r="B4465">
        <v>1</v>
      </c>
    </row>
    <row r="4466" spans="1:2" x14ac:dyDescent="0.25">
      <c r="A4466" s="26"/>
      <c r="B4466">
        <v>1</v>
      </c>
    </row>
    <row r="4467" spans="1:2" x14ac:dyDescent="0.25">
      <c r="A4467" s="27"/>
      <c r="B4467">
        <v>1</v>
      </c>
    </row>
    <row r="4468" spans="1:2" x14ac:dyDescent="0.25">
      <c r="A4468" s="26"/>
      <c r="B4468">
        <v>1</v>
      </c>
    </row>
    <row r="4469" spans="1:2" x14ac:dyDescent="0.25">
      <c r="A4469" s="27"/>
      <c r="B4469">
        <v>1</v>
      </c>
    </row>
    <row r="4470" spans="1:2" x14ac:dyDescent="0.25">
      <c r="A4470" s="26"/>
      <c r="B4470">
        <v>1</v>
      </c>
    </row>
    <row r="4471" spans="1:2" x14ac:dyDescent="0.25">
      <c r="A4471" s="27"/>
      <c r="B4471">
        <v>1</v>
      </c>
    </row>
    <row r="4472" spans="1:2" x14ac:dyDescent="0.25">
      <c r="A4472" s="26"/>
      <c r="B4472">
        <v>1</v>
      </c>
    </row>
    <row r="4473" spans="1:2" x14ac:dyDescent="0.25">
      <c r="A4473" s="27"/>
      <c r="B4473">
        <v>1</v>
      </c>
    </row>
    <row r="4474" spans="1:2" x14ac:dyDescent="0.25">
      <c r="A4474" s="26"/>
      <c r="B4474">
        <v>1</v>
      </c>
    </row>
    <row r="4475" spans="1:2" x14ac:dyDescent="0.25">
      <c r="A4475" s="27"/>
      <c r="B4475">
        <v>1</v>
      </c>
    </row>
    <row r="4476" spans="1:2" x14ac:dyDescent="0.25">
      <c r="A4476" s="26"/>
      <c r="B4476">
        <v>1</v>
      </c>
    </row>
    <row r="4477" spans="1:2" x14ac:dyDescent="0.25">
      <c r="A4477" s="27"/>
      <c r="B4477">
        <v>1</v>
      </c>
    </row>
    <row r="4478" spans="1:2" x14ac:dyDescent="0.25">
      <c r="A4478" s="26"/>
      <c r="B4478">
        <v>1</v>
      </c>
    </row>
    <row r="4479" spans="1:2" x14ac:dyDescent="0.25">
      <c r="A4479" s="27"/>
      <c r="B4479">
        <v>1</v>
      </c>
    </row>
    <row r="4480" spans="1:2" x14ac:dyDescent="0.25">
      <c r="A4480" s="26"/>
      <c r="B4480">
        <v>1</v>
      </c>
    </row>
    <row r="4481" spans="1:2" x14ac:dyDescent="0.25">
      <c r="A4481" s="27"/>
      <c r="B4481">
        <v>1</v>
      </c>
    </row>
    <row r="4482" spans="1:2" x14ac:dyDescent="0.25">
      <c r="A4482" s="26"/>
      <c r="B4482">
        <v>1</v>
      </c>
    </row>
    <row r="4483" spans="1:2" x14ac:dyDescent="0.25">
      <c r="A4483" s="27"/>
      <c r="B4483">
        <v>1</v>
      </c>
    </row>
    <row r="4484" spans="1:2" x14ac:dyDescent="0.25">
      <c r="A4484" s="26"/>
      <c r="B4484">
        <v>1</v>
      </c>
    </row>
    <row r="4485" spans="1:2" x14ac:dyDescent="0.25">
      <c r="A4485" s="27"/>
      <c r="B4485">
        <v>1</v>
      </c>
    </row>
    <row r="4486" spans="1:2" x14ac:dyDescent="0.25">
      <c r="A4486" s="26"/>
      <c r="B4486">
        <v>1</v>
      </c>
    </row>
    <row r="4487" spans="1:2" x14ac:dyDescent="0.25">
      <c r="A4487" s="27"/>
      <c r="B4487">
        <v>1</v>
      </c>
    </row>
    <row r="4488" spans="1:2" x14ac:dyDescent="0.25">
      <c r="A4488" s="26"/>
      <c r="B4488">
        <v>1</v>
      </c>
    </row>
    <row r="4489" spans="1:2" x14ac:dyDescent="0.25">
      <c r="A4489" s="27"/>
      <c r="B4489">
        <v>1</v>
      </c>
    </row>
    <row r="4490" spans="1:2" x14ac:dyDescent="0.25">
      <c r="A4490" s="26"/>
      <c r="B4490">
        <v>1</v>
      </c>
    </row>
    <row r="4491" spans="1:2" x14ac:dyDescent="0.25">
      <c r="A4491" s="27"/>
      <c r="B4491">
        <v>1</v>
      </c>
    </row>
    <row r="4492" spans="1:2" x14ac:dyDescent="0.25">
      <c r="A4492" s="26"/>
      <c r="B4492">
        <v>1</v>
      </c>
    </row>
    <row r="4493" spans="1:2" x14ac:dyDescent="0.25">
      <c r="A4493" s="27"/>
      <c r="B4493">
        <v>1</v>
      </c>
    </row>
    <row r="4494" spans="1:2" x14ac:dyDescent="0.25">
      <c r="A4494" s="26"/>
      <c r="B4494">
        <v>1</v>
      </c>
    </row>
    <row r="4495" spans="1:2" x14ac:dyDescent="0.25">
      <c r="A4495" s="27"/>
      <c r="B4495">
        <v>1</v>
      </c>
    </row>
    <row r="4496" spans="1:2" x14ac:dyDescent="0.25">
      <c r="A4496" s="26"/>
      <c r="B4496">
        <v>1</v>
      </c>
    </row>
    <row r="4497" spans="1:2" x14ac:dyDescent="0.25">
      <c r="A4497" s="27"/>
      <c r="B4497">
        <v>1</v>
      </c>
    </row>
    <row r="4498" spans="1:2" x14ac:dyDescent="0.25">
      <c r="A4498" s="26"/>
      <c r="B4498">
        <v>1</v>
      </c>
    </row>
    <row r="4499" spans="1:2" x14ac:dyDescent="0.25">
      <c r="A4499" s="27"/>
      <c r="B4499">
        <v>1</v>
      </c>
    </row>
    <row r="4500" spans="1:2" x14ac:dyDescent="0.25">
      <c r="A4500" s="26"/>
      <c r="B4500">
        <v>1</v>
      </c>
    </row>
    <row r="4501" spans="1:2" x14ac:dyDescent="0.25">
      <c r="A4501" s="27"/>
      <c r="B4501">
        <v>1</v>
      </c>
    </row>
    <row r="4502" spans="1:2" x14ac:dyDescent="0.25">
      <c r="A4502" s="26"/>
      <c r="B4502">
        <v>1</v>
      </c>
    </row>
    <row r="4503" spans="1:2" x14ac:dyDescent="0.25">
      <c r="A4503" s="27"/>
      <c r="B4503">
        <v>1</v>
      </c>
    </row>
    <row r="4504" spans="1:2" x14ac:dyDescent="0.25">
      <c r="A4504" s="26"/>
      <c r="B4504">
        <v>1</v>
      </c>
    </row>
    <row r="4505" spans="1:2" x14ac:dyDescent="0.25">
      <c r="A4505" s="27"/>
      <c r="B4505">
        <v>1</v>
      </c>
    </row>
    <row r="4506" spans="1:2" x14ac:dyDescent="0.25">
      <c r="A4506" s="26"/>
      <c r="B4506">
        <v>1</v>
      </c>
    </row>
    <row r="4507" spans="1:2" x14ac:dyDescent="0.25">
      <c r="A4507" s="27"/>
      <c r="B4507">
        <v>1</v>
      </c>
    </row>
    <row r="4508" spans="1:2" x14ac:dyDescent="0.25">
      <c r="A4508" s="26"/>
      <c r="B4508">
        <v>1</v>
      </c>
    </row>
    <row r="4509" spans="1:2" x14ac:dyDescent="0.25">
      <c r="A4509" s="27"/>
      <c r="B4509">
        <v>1</v>
      </c>
    </row>
    <row r="4510" spans="1:2" x14ac:dyDescent="0.25">
      <c r="A4510" s="26"/>
      <c r="B4510">
        <v>1</v>
      </c>
    </row>
    <row r="4511" spans="1:2" x14ac:dyDescent="0.25">
      <c r="A4511" s="27"/>
      <c r="B4511">
        <v>1</v>
      </c>
    </row>
    <row r="4512" spans="1:2" x14ac:dyDescent="0.25">
      <c r="A4512" s="26"/>
      <c r="B4512">
        <v>1</v>
      </c>
    </row>
    <row r="4513" spans="1:2" x14ac:dyDescent="0.25">
      <c r="A4513" s="27"/>
      <c r="B4513">
        <v>1</v>
      </c>
    </row>
    <row r="4514" spans="1:2" x14ac:dyDescent="0.25">
      <c r="A4514" s="26"/>
      <c r="B4514">
        <v>1</v>
      </c>
    </row>
    <row r="4515" spans="1:2" x14ac:dyDescent="0.25">
      <c r="A4515" s="27"/>
      <c r="B4515">
        <v>1</v>
      </c>
    </row>
    <row r="4516" spans="1:2" x14ac:dyDescent="0.25">
      <c r="A4516" s="26"/>
      <c r="B4516">
        <v>1</v>
      </c>
    </row>
    <row r="4517" spans="1:2" x14ac:dyDescent="0.25">
      <c r="A4517" s="27"/>
      <c r="B4517">
        <v>1</v>
      </c>
    </row>
    <row r="4518" spans="1:2" x14ac:dyDescent="0.25">
      <c r="A4518" s="26"/>
      <c r="B4518">
        <v>1</v>
      </c>
    </row>
    <row r="4519" spans="1:2" x14ac:dyDescent="0.25">
      <c r="A4519" s="27"/>
      <c r="B4519">
        <v>1</v>
      </c>
    </row>
    <row r="4520" spans="1:2" x14ac:dyDescent="0.25">
      <c r="A4520" s="26"/>
      <c r="B4520">
        <v>1</v>
      </c>
    </row>
    <row r="4521" spans="1:2" x14ac:dyDescent="0.25">
      <c r="A4521" s="27"/>
      <c r="B4521">
        <v>1</v>
      </c>
    </row>
    <row r="4522" spans="1:2" x14ac:dyDescent="0.25">
      <c r="A4522" s="26"/>
      <c r="B4522">
        <v>1</v>
      </c>
    </row>
    <row r="4523" spans="1:2" x14ac:dyDescent="0.25">
      <c r="A4523" s="27"/>
      <c r="B4523">
        <v>1</v>
      </c>
    </row>
    <row r="4524" spans="1:2" x14ac:dyDescent="0.25">
      <c r="A4524" s="26"/>
      <c r="B4524">
        <v>1</v>
      </c>
    </row>
    <row r="4525" spans="1:2" x14ac:dyDescent="0.25">
      <c r="A4525" s="27"/>
      <c r="B4525">
        <v>1</v>
      </c>
    </row>
    <row r="4526" spans="1:2" x14ac:dyDescent="0.25">
      <c r="A4526" s="26"/>
      <c r="B4526">
        <v>1</v>
      </c>
    </row>
    <row r="4527" spans="1:2" x14ac:dyDescent="0.25">
      <c r="A4527" s="27"/>
      <c r="B4527">
        <v>1</v>
      </c>
    </row>
    <row r="4528" spans="1:2" x14ac:dyDescent="0.25">
      <c r="A4528" s="26"/>
      <c r="B4528">
        <v>1</v>
      </c>
    </row>
    <row r="4529" spans="1:2" x14ac:dyDescent="0.25">
      <c r="A4529" s="27"/>
      <c r="B4529">
        <v>1</v>
      </c>
    </row>
    <row r="4530" spans="1:2" x14ac:dyDescent="0.25">
      <c r="A4530" s="26"/>
      <c r="B4530">
        <v>1</v>
      </c>
    </row>
    <row r="4531" spans="1:2" x14ac:dyDescent="0.25">
      <c r="A4531" s="27"/>
      <c r="B4531">
        <v>1</v>
      </c>
    </row>
    <row r="4532" spans="1:2" x14ac:dyDescent="0.25">
      <c r="A4532" s="26"/>
      <c r="B4532">
        <v>1</v>
      </c>
    </row>
    <row r="4533" spans="1:2" x14ac:dyDescent="0.25">
      <c r="A4533" s="27"/>
      <c r="B4533">
        <v>1</v>
      </c>
    </row>
    <row r="4534" spans="1:2" x14ac:dyDescent="0.25">
      <c r="A4534" s="26"/>
      <c r="B4534">
        <v>1</v>
      </c>
    </row>
    <row r="4535" spans="1:2" x14ac:dyDescent="0.25">
      <c r="A4535" s="27"/>
      <c r="B4535">
        <v>1</v>
      </c>
    </row>
    <row r="4536" spans="1:2" x14ac:dyDescent="0.25">
      <c r="A4536" s="26"/>
      <c r="B4536">
        <v>1</v>
      </c>
    </row>
    <row r="4537" spans="1:2" x14ac:dyDescent="0.25">
      <c r="A4537" s="27"/>
      <c r="B4537">
        <v>1</v>
      </c>
    </row>
    <row r="4538" spans="1:2" x14ac:dyDescent="0.25">
      <c r="A4538" s="26"/>
      <c r="B4538">
        <v>1</v>
      </c>
    </row>
    <row r="4539" spans="1:2" x14ac:dyDescent="0.25">
      <c r="A4539" s="27"/>
      <c r="B4539">
        <v>1</v>
      </c>
    </row>
    <row r="4540" spans="1:2" x14ac:dyDescent="0.25">
      <c r="A4540" s="26"/>
      <c r="B4540">
        <v>1</v>
      </c>
    </row>
    <row r="4541" spans="1:2" x14ac:dyDescent="0.25">
      <c r="A4541" s="27"/>
      <c r="B4541">
        <v>1</v>
      </c>
    </row>
    <row r="4542" spans="1:2" x14ac:dyDescent="0.25">
      <c r="A4542" s="26"/>
      <c r="B4542">
        <v>1</v>
      </c>
    </row>
    <row r="4543" spans="1:2" x14ac:dyDescent="0.25">
      <c r="A4543" s="27"/>
      <c r="B4543">
        <v>1</v>
      </c>
    </row>
    <row r="4544" spans="1:2" x14ac:dyDescent="0.25">
      <c r="A4544" s="26"/>
      <c r="B4544">
        <v>1</v>
      </c>
    </row>
    <row r="4545" spans="1:2" x14ac:dyDescent="0.25">
      <c r="A4545" s="27"/>
      <c r="B4545">
        <v>1</v>
      </c>
    </row>
    <row r="4546" spans="1:2" x14ac:dyDescent="0.25">
      <c r="A4546" s="26"/>
      <c r="B4546">
        <v>1</v>
      </c>
    </row>
    <row r="4547" spans="1:2" x14ac:dyDescent="0.25">
      <c r="A4547" s="27"/>
      <c r="B4547">
        <v>1</v>
      </c>
    </row>
    <row r="4548" spans="1:2" x14ac:dyDescent="0.25">
      <c r="A4548" s="26"/>
      <c r="B4548">
        <v>1</v>
      </c>
    </row>
    <row r="4549" spans="1:2" x14ac:dyDescent="0.25">
      <c r="A4549" s="27"/>
      <c r="B4549">
        <v>1</v>
      </c>
    </row>
    <row r="4550" spans="1:2" x14ac:dyDescent="0.25">
      <c r="A4550" s="26"/>
      <c r="B4550">
        <v>1</v>
      </c>
    </row>
    <row r="4551" spans="1:2" x14ac:dyDescent="0.25">
      <c r="A4551" s="27"/>
      <c r="B4551">
        <v>1</v>
      </c>
    </row>
    <row r="4552" spans="1:2" x14ac:dyDescent="0.25">
      <c r="A4552" s="26"/>
      <c r="B4552">
        <v>1</v>
      </c>
    </row>
    <row r="4553" spans="1:2" x14ac:dyDescent="0.25">
      <c r="A4553" s="27"/>
      <c r="B4553">
        <v>1</v>
      </c>
    </row>
    <row r="4554" spans="1:2" x14ac:dyDescent="0.25">
      <c r="A4554" s="26"/>
      <c r="B4554">
        <v>1</v>
      </c>
    </row>
    <row r="4555" spans="1:2" x14ac:dyDescent="0.25">
      <c r="A4555" s="27"/>
      <c r="B4555">
        <v>1</v>
      </c>
    </row>
    <row r="4556" spans="1:2" x14ac:dyDescent="0.25">
      <c r="A4556" s="26"/>
      <c r="B4556">
        <v>1</v>
      </c>
    </row>
    <row r="4557" spans="1:2" x14ac:dyDescent="0.25">
      <c r="A4557" s="27"/>
      <c r="B4557">
        <v>1</v>
      </c>
    </row>
    <row r="4558" spans="1:2" x14ac:dyDescent="0.25">
      <c r="A4558" s="26"/>
      <c r="B4558">
        <v>1</v>
      </c>
    </row>
    <row r="4559" spans="1:2" x14ac:dyDescent="0.25">
      <c r="A4559" s="27"/>
      <c r="B4559">
        <v>1</v>
      </c>
    </row>
    <row r="4560" spans="1:2" x14ac:dyDescent="0.25">
      <c r="A4560" s="26"/>
      <c r="B4560">
        <v>1</v>
      </c>
    </row>
    <row r="4561" spans="1:2" x14ac:dyDescent="0.25">
      <c r="A4561" s="27"/>
      <c r="B4561">
        <v>1</v>
      </c>
    </row>
    <row r="4562" spans="1:2" x14ac:dyDescent="0.25">
      <c r="A4562" s="26"/>
      <c r="B4562">
        <v>1</v>
      </c>
    </row>
    <row r="4563" spans="1:2" x14ac:dyDescent="0.25">
      <c r="A4563" s="27"/>
      <c r="B4563">
        <v>1</v>
      </c>
    </row>
    <row r="4564" spans="1:2" x14ac:dyDescent="0.25">
      <c r="A4564" s="26"/>
      <c r="B4564">
        <v>1</v>
      </c>
    </row>
    <row r="4565" spans="1:2" x14ac:dyDescent="0.25">
      <c r="A4565" s="27"/>
      <c r="B4565">
        <v>1</v>
      </c>
    </row>
    <row r="4566" spans="1:2" x14ac:dyDescent="0.25">
      <c r="A4566" s="26"/>
      <c r="B4566">
        <v>1</v>
      </c>
    </row>
    <row r="4567" spans="1:2" x14ac:dyDescent="0.25">
      <c r="A4567" s="27"/>
      <c r="B4567">
        <v>1</v>
      </c>
    </row>
    <row r="4568" spans="1:2" x14ac:dyDescent="0.25">
      <c r="A4568" s="26"/>
      <c r="B4568">
        <v>1</v>
      </c>
    </row>
    <row r="4569" spans="1:2" x14ac:dyDescent="0.25">
      <c r="A4569" s="27"/>
      <c r="B4569">
        <v>1</v>
      </c>
    </row>
    <row r="4570" spans="1:2" x14ac:dyDescent="0.25">
      <c r="A4570" s="26"/>
      <c r="B4570">
        <v>1</v>
      </c>
    </row>
    <row r="4571" spans="1:2" x14ac:dyDescent="0.25">
      <c r="A4571" s="27"/>
      <c r="B4571">
        <v>1</v>
      </c>
    </row>
    <row r="4572" spans="1:2" x14ac:dyDescent="0.25">
      <c r="A4572" s="26"/>
      <c r="B4572">
        <v>1</v>
      </c>
    </row>
    <row r="4573" spans="1:2" x14ac:dyDescent="0.25">
      <c r="A4573" s="27"/>
      <c r="B4573">
        <v>1</v>
      </c>
    </row>
    <row r="4574" spans="1:2" x14ac:dyDescent="0.25">
      <c r="A4574" s="26"/>
      <c r="B4574">
        <v>1</v>
      </c>
    </row>
    <row r="4575" spans="1:2" x14ac:dyDescent="0.25">
      <c r="A4575" s="27"/>
      <c r="B4575">
        <v>1</v>
      </c>
    </row>
    <row r="4576" spans="1:2" x14ac:dyDescent="0.25">
      <c r="A4576" s="26"/>
      <c r="B4576">
        <v>1</v>
      </c>
    </row>
    <row r="4577" spans="1:2" x14ac:dyDescent="0.25">
      <c r="A4577" s="27"/>
      <c r="B4577">
        <v>1</v>
      </c>
    </row>
    <row r="4578" spans="1:2" x14ac:dyDescent="0.25">
      <c r="A4578" s="26"/>
      <c r="B4578">
        <v>1</v>
      </c>
    </row>
    <row r="4579" spans="1:2" x14ac:dyDescent="0.25">
      <c r="A4579" s="27"/>
      <c r="B4579">
        <v>1</v>
      </c>
    </row>
    <row r="4580" spans="1:2" x14ac:dyDescent="0.25">
      <c r="A4580" s="26"/>
      <c r="B4580">
        <v>1</v>
      </c>
    </row>
    <row r="4581" spans="1:2" x14ac:dyDescent="0.25">
      <c r="A4581" s="27"/>
      <c r="B4581">
        <v>1</v>
      </c>
    </row>
    <row r="4582" spans="1:2" x14ac:dyDescent="0.25">
      <c r="A4582" s="26"/>
      <c r="B4582">
        <v>1</v>
      </c>
    </row>
    <row r="4583" spans="1:2" x14ac:dyDescent="0.25">
      <c r="A4583" s="27"/>
      <c r="B4583">
        <v>1</v>
      </c>
    </row>
    <row r="4584" spans="1:2" x14ac:dyDescent="0.25">
      <c r="A4584" s="26"/>
      <c r="B4584">
        <v>1</v>
      </c>
    </row>
    <row r="4585" spans="1:2" x14ac:dyDescent="0.25">
      <c r="A4585" s="27"/>
      <c r="B4585">
        <v>1</v>
      </c>
    </row>
    <row r="4586" spans="1:2" x14ac:dyDescent="0.25">
      <c r="A4586" s="26"/>
      <c r="B4586">
        <v>1</v>
      </c>
    </row>
    <row r="4587" spans="1:2" x14ac:dyDescent="0.25">
      <c r="A4587" s="27"/>
      <c r="B4587">
        <v>1</v>
      </c>
    </row>
    <row r="4588" spans="1:2" x14ac:dyDescent="0.25">
      <c r="A4588" s="26"/>
      <c r="B4588">
        <v>1</v>
      </c>
    </row>
    <row r="4589" spans="1:2" x14ac:dyDescent="0.25">
      <c r="A4589" s="27"/>
      <c r="B4589">
        <v>1</v>
      </c>
    </row>
    <row r="4590" spans="1:2" x14ac:dyDescent="0.25">
      <c r="A4590" s="26"/>
      <c r="B4590">
        <v>1</v>
      </c>
    </row>
    <row r="4591" spans="1:2" x14ac:dyDescent="0.25">
      <c r="A4591" s="27"/>
      <c r="B4591">
        <v>1</v>
      </c>
    </row>
    <row r="4592" spans="1:2" x14ac:dyDescent="0.25">
      <c r="A4592" s="26"/>
      <c r="B4592">
        <v>1</v>
      </c>
    </row>
    <row r="4593" spans="1:2" x14ac:dyDescent="0.25">
      <c r="A4593" s="27"/>
      <c r="B4593">
        <v>1</v>
      </c>
    </row>
    <row r="4594" spans="1:2" x14ac:dyDescent="0.25">
      <c r="A4594" s="26"/>
      <c r="B4594">
        <v>1</v>
      </c>
    </row>
    <row r="4595" spans="1:2" x14ac:dyDescent="0.25">
      <c r="A4595" s="27"/>
      <c r="B4595">
        <v>1</v>
      </c>
    </row>
    <row r="4596" spans="1:2" x14ac:dyDescent="0.25">
      <c r="A4596" s="26"/>
      <c r="B4596">
        <v>1</v>
      </c>
    </row>
    <row r="4597" spans="1:2" x14ac:dyDescent="0.25">
      <c r="A4597" s="27"/>
      <c r="B4597">
        <v>1</v>
      </c>
    </row>
    <row r="4598" spans="1:2" x14ac:dyDescent="0.25">
      <c r="A4598" s="26"/>
      <c r="B4598">
        <v>1</v>
      </c>
    </row>
    <row r="4599" spans="1:2" x14ac:dyDescent="0.25">
      <c r="A4599" s="27"/>
      <c r="B4599">
        <v>1</v>
      </c>
    </row>
    <row r="4600" spans="1:2" x14ac:dyDescent="0.25">
      <c r="A4600" s="26"/>
      <c r="B4600">
        <v>1</v>
      </c>
    </row>
    <row r="4601" spans="1:2" x14ac:dyDescent="0.25">
      <c r="A4601" s="27"/>
      <c r="B4601">
        <v>1</v>
      </c>
    </row>
    <row r="4602" spans="1:2" x14ac:dyDescent="0.25">
      <c r="A4602" s="26"/>
      <c r="B4602">
        <v>1</v>
      </c>
    </row>
    <row r="4603" spans="1:2" x14ac:dyDescent="0.25">
      <c r="A4603" s="27"/>
      <c r="B4603">
        <v>1</v>
      </c>
    </row>
    <row r="4604" spans="1:2" x14ac:dyDescent="0.25">
      <c r="A4604" s="26"/>
      <c r="B4604">
        <v>1</v>
      </c>
    </row>
    <row r="4605" spans="1:2" x14ac:dyDescent="0.25">
      <c r="A4605" s="27"/>
      <c r="B4605">
        <v>1</v>
      </c>
    </row>
    <row r="4606" spans="1:2" x14ac:dyDescent="0.25">
      <c r="A4606" s="26"/>
      <c r="B4606">
        <v>1</v>
      </c>
    </row>
    <row r="4607" spans="1:2" x14ac:dyDescent="0.25">
      <c r="A4607" s="27"/>
      <c r="B4607">
        <v>1</v>
      </c>
    </row>
    <row r="4608" spans="1:2" x14ac:dyDescent="0.25">
      <c r="A4608" s="26"/>
      <c r="B4608">
        <v>1</v>
      </c>
    </row>
    <row r="4609" spans="1:2" x14ac:dyDescent="0.25">
      <c r="A4609" s="27"/>
      <c r="B4609">
        <v>1</v>
      </c>
    </row>
    <row r="4610" spans="1:2" x14ac:dyDescent="0.25">
      <c r="A4610" s="26"/>
      <c r="B4610">
        <v>1</v>
      </c>
    </row>
    <row r="4611" spans="1:2" x14ac:dyDescent="0.25">
      <c r="A4611" s="27"/>
      <c r="B4611">
        <v>1</v>
      </c>
    </row>
    <row r="4612" spans="1:2" x14ac:dyDescent="0.25">
      <c r="A4612" s="26"/>
      <c r="B4612">
        <v>1</v>
      </c>
    </row>
    <row r="4613" spans="1:2" x14ac:dyDescent="0.25">
      <c r="A4613" s="27"/>
      <c r="B4613">
        <v>1</v>
      </c>
    </row>
    <row r="4614" spans="1:2" x14ac:dyDescent="0.25">
      <c r="A4614" s="26"/>
      <c r="B4614">
        <v>1</v>
      </c>
    </row>
    <row r="4615" spans="1:2" x14ac:dyDescent="0.25">
      <c r="A4615" s="27"/>
      <c r="B4615">
        <v>1</v>
      </c>
    </row>
    <row r="4616" spans="1:2" x14ac:dyDescent="0.25">
      <c r="A4616" s="26"/>
      <c r="B4616">
        <v>1</v>
      </c>
    </row>
    <row r="4617" spans="1:2" x14ac:dyDescent="0.25">
      <c r="A4617" s="27"/>
      <c r="B4617">
        <v>1</v>
      </c>
    </row>
    <row r="4618" spans="1:2" x14ac:dyDescent="0.25">
      <c r="A4618" s="26"/>
      <c r="B4618">
        <v>1</v>
      </c>
    </row>
    <row r="4619" spans="1:2" x14ac:dyDescent="0.25">
      <c r="A4619" s="27"/>
      <c r="B4619">
        <v>1</v>
      </c>
    </row>
    <row r="4620" spans="1:2" x14ac:dyDescent="0.25">
      <c r="A4620" s="26"/>
      <c r="B4620">
        <v>1</v>
      </c>
    </row>
    <row r="4621" spans="1:2" x14ac:dyDescent="0.25">
      <c r="A4621" s="27"/>
      <c r="B4621">
        <v>1</v>
      </c>
    </row>
    <row r="4622" spans="1:2" x14ac:dyDescent="0.25">
      <c r="A4622" s="26"/>
      <c r="B4622">
        <v>1</v>
      </c>
    </row>
    <row r="4623" spans="1:2" x14ac:dyDescent="0.25">
      <c r="A4623" s="27"/>
      <c r="B4623">
        <v>1</v>
      </c>
    </row>
    <row r="4624" spans="1:2" x14ac:dyDescent="0.25">
      <c r="A4624" s="26"/>
      <c r="B4624">
        <v>1</v>
      </c>
    </row>
    <row r="4625" spans="1:2" x14ac:dyDescent="0.25">
      <c r="A4625" s="27"/>
      <c r="B4625">
        <v>1</v>
      </c>
    </row>
    <row r="4626" spans="1:2" x14ac:dyDescent="0.25">
      <c r="A4626" s="26"/>
      <c r="B4626">
        <v>1</v>
      </c>
    </row>
    <row r="4627" spans="1:2" x14ac:dyDescent="0.25">
      <c r="A4627" s="27"/>
      <c r="B4627">
        <v>1</v>
      </c>
    </row>
    <row r="4628" spans="1:2" x14ac:dyDescent="0.25">
      <c r="A4628" s="26"/>
      <c r="B4628">
        <v>1</v>
      </c>
    </row>
    <row r="4629" spans="1:2" x14ac:dyDescent="0.25">
      <c r="A4629" s="27"/>
      <c r="B4629">
        <v>1</v>
      </c>
    </row>
    <row r="4630" spans="1:2" x14ac:dyDescent="0.25">
      <c r="A4630" s="26"/>
      <c r="B4630">
        <v>1</v>
      </c>
    </row>
    <row r="4631" spans="1:2" x14ac:dyDescent="0.25">
      <c r="A4631" s="27"/>
      <c r="B4631">
        <v>1</v>
      </c>
    </row>
    <row r="4632" spans="1:2" x14ac:dyDescent="0.25">
      <c r="A4632" s="26"/>
      <c r="B4632">
        <v>1</v>
      </c>
    </row>
    <row r="4633" spans="1:2" x14ac:dyDescent="0.25">
      <c r="A4633" s="27"/>
      <c r="B4633">
        <v>1</v>
      </c>
    </row>
    <row r="4634" spans="1:2" x14ac:dyDescent="0.25">
      <c r="A4634" s="26"/>
      <c r="B4634">
        <v>1</v>
      </c>
    </row>
    <row r="4635" spans="1:2" x14ac:dyDescent="0.25">
      <c r="A4635" s="27"/>
      <c r="B4635">
        <v>1</v>
      </c>
    </row>
    <row r="4636" spans="1:2" x14ac:dyDescent="0.25">
      <c r="A4636" s="26"/>
      <c r="B4636">
        <v>1</v>
      </c>
    </row>
    <row r="4637" spans="1:2" x14ac:dyDescent="0.25">
      <c r="A4637" s="27"/>
      <c r="B4637">
        <v>1</v>
      </c>
    </row>
    <row r="4638" spans="1:2" x14ac:dyDescent="0.25">
      <c r="A4638" s="26"/>
      <c r="B4638">
        <v>1</v>
      </c>
    </row>
    <row r="4639" spans="1:2" x14ac:dyDescent="0.25">
      <c r="A4639" s="27"/>
      <c r="B4639">
        <v>1</v>
      </c>
    </row>
    <row r="4640" spans="1:2" x14ac:dyDescent="0.25">
      <c r="A4640" s="26"/>
      <c r="B4640">
        <v>1</v>
      </c>
    </row>
    <row r="4641" spans="1:2" x14ac:dyDescent="0.25">
      <c r="A4641" s="27"/>
      <c r="B4641">
        <v>1</v>
      </c>
    </row>
    <row r="4642" spans="1:2" x14ac:dyDescent="0.25">
      <c r="A4642" s="26"/>
      <c r="B4642">
        <v>1</v>
      </c>
    </row>
    <row r="4643" spans="1:2" x14ac:dyDescent="0.25">
      <c r="A4643" s="27"/>
      <c r="B4643">
        <v>1</v>
      </c>
    </row>
    <row r="4644" spans="1:2" x14ac:dyDescent="0.25">
      <c r="A4644" s="26"/>
      <c r="B4644">
        <v>1</v>
      </c>
    </row>
    <row r="4645" spans="1:2" x14ac:dyDescent="0.25">
      <c r="A4645" s="27"/>
      <c r="B4645">
        <v>1</v>
      </c>
    </row>
    <row r="4646" spans="1:2" x14ac:dyDescent="0.25">
      <c r="A4646" s="26"/>
      <c r="B4646">
        <v>1</v>
      </c>
    </row>
    <row r="4647" spans="1:2" x14ac:dyDescent="0.25">
      <c r="A4647" s="27"/>
      <c r="B4647">
        <v>1</v>
      </c>
    </row>
    <row r="4648" spans="1:2" x14ac:dyDescent="0.25">
      <c r="A4648" s="26"/>
      <c r="B4648">
        <v>1</v>
      </c>
    </row>
    <row r="4649" spans="1:2" x14ac:dyDescent="0.25">
      <c r="A4649" s="27"/>
      <c r="B4649">
        <v>1</v>
      </c>
    </row>
    <row r="4650" spans="1:2" x14ac:dyDescent="0.25">
      <c r="A4650" s="26"/>
      <c r="B4650">
        <v>1</v>
      </c>
    </row>
    <row r="4651" spans="1:2" x14ac:dyDescent="0.25">
      <c r="A4651" s="27"/>
      <c r="B4651">
        <v>1</v>
      </c>
    </row>
    <row r="4652" spans="1:2" x14ac:dyDescent="0.25">
      <c r="A4652" s="26"/>
      <c r="B4652">
        <v>1</v>
      </c>
    </row>
    <row r="4653" spans="1:2" x14ac:dyDescent="0.25">
      <c r="A4653" s="27"/>
      <c r="B4653">
        <v>1</v>
      </c>
    </row>
    <row r="4654" spans="1:2" x14ac:dyDescent="0.25">
      <c r="A4654" s="26"/>
      <c r="B4654">
        <v>1</v>
      </c>
    </row>
    <row r="4655" spans="1:2" x14ac:dyDescent="0.25">
      <c r="A4655" s="27"/>
      <c r="B4655">
        <v>1</v>
      </c>
    </row>
    <row r="4656" spans="1:2" x14ac:dyDescent="0.25">
      <c r="A4656" s="26"/>
      <c r="B4656">
        <v>1</v>
      </c>
    </row>
    <row r="4657" spans="1:2" x14ac:dyDescent="0.25">
      <c r="A4657" s="27"/>
      <c r="B4657">
        <v>1</v>
      </c>
    </row>
    <row r="4658" spans="1:2" x14ac:dyDescent="0.25">
      <c r="A4658" s="26"/>
      <c r="B4658">
        <v>1</v>
      </c>
    </row>
    <row r="4659" spans="1:2" x14ac:dyDescent="0.25">
      <c r="A4659" s="27"/>
      <c r="B4659">
        <v>1</v>
      </c>
    </row>
    <row r="4660" spans="1:2" x14ac:dyDescent="0.25">
      <c r="A4660" s="26"/>
      <c r="B4660">
        <v>1</v>
      </c>
    </row>
    <row r="4661" spans="1:2" x14ac:dyDescent="0.25">
      <c r="A4661" s="27"/>
      <c r="B4661">
        <v>1</v>
      </c>
    </row>
    <row r="4662" spans="1:2" x14ac:dyDescent="0.25">
      <c r="A4662" s="26"/>
      <c r="B4662">
        <v>1</v>
      </c>
    </row>
    <row r="4663" spans="1:2" x14ac:dyDescent="0.25">
      <c r="A4663" s="27"/>
      <c r="B4663">
        <v>1</v>
      </c>
    </row>
    <row r="4664" spans="1:2" x14ac:dyDescent="0.25">
      <c r="A4664" s="26"/>
      <c r="B4664">
        <v>1</v>
      </c>
    </row>
    <row r="4665" spans="1:2" x14ac:dyDescent="0.25">
      <c r="A4665" s="27"/>
      <c r="B4665">
        <v>1</v>
      </c>
    </row>
    <row r="4666" spans="1:2" x14ac:dyDescent="0.25">
      <c r="A4666" s="26"/>
      <c r="B4666">
        <v>1</v>
      </c>
    </row>
    <row r="4667" spans="1:2" x14ac:dyDescent="0.25">
      <c r="A4667" s="27"/>
      <c r="B4667">
        <v>1</v>
      </c>
    </row>
    <row r="4668" spans="1:2" x14ac:dyDescent="0.25">
      <c r="A4668" s="26"/>
      <c r="B4668">
        <v>1</v>
      </c>
    </row>
    <row r="4669" spans="1:2" x14ac:dyDescent="0.25">
      <c r="A4669" s="27"/>
      <c r="B4669">
        <v>1</v>
      </c>
    </row>
    <row r="4670" spans="1:2" x14ac:dyDescent="0.25">
      <c r="A4670" s="26"/>
      <c r="B4670">
        <v>1</v>
      </c>
    </row>
    <row r="4671" spans="1:2" x14ac:dyDescent="0.25">
      <c r="A4671" s="27"/>
      <c r="B4671">
        <v>1</v>
      </c>
    </row>
    <row r="4672" spans="1:2" x14ac:dyDescent="0.25">
      <c r="A4672" s="26"/>
      <c r="B4672">
        <v>1</v>
      </c>
    </row>
    <row r="4673" spans="1:2" x14ac:dyDescent="0.25">
      <c r="A4673" s="27"/>
      <c r="B4673">
        <v>1</v>
      </c>
    </row>
    <row r="4674" spans="1:2" x14ac:dyDescent="0.25">
      <c r="A4674" s="26"/>
      <c r="B4674">
        <v>1</v>
      </c>
    </row>
    <row r="4675" spans="1:2" x14ac:dyDescent="0.25">
      <c r="A4675" s="27"/>
      <c r="B4675">
        <v>1</v>
      </c>
    </row>
    <row r="4676" spans="1:2" x14ac:dyDescent="0.25">
      <c r="A4676" s="26"/>
      <c r="B4676">
        <v>1</v>
      </c>
    </row>
    <row r="4677" spans="1:2" x14ac:dyDescent="0.25">
      <c r="A4677" s="27"/>
      <c r="B4677">
        <v>1</v>
      </c>
    </row>
    <row r="4678" spans="1:2" x14ac:dyDescent="0.25">
      <c r="A4678" s="26"/>
      <c r="B4678">
        <v>1</v>
      </c>
    </row>
    <row r="4679" spans="1:2" x14ac:dyDescent="0.25">
      <c r="A4679" s="27"/>
      <c r="B4679">
        <v>1</v>
      </c>
    </row>
    <row r="4680" spans="1:2" x14ac:dyDescent="0.25">
      <c r="A4680" s="26"/>
      <c r="B4680">
        <v>1</v>
      </c>
    </row>
    <row r="4681" spans="1:2" x14ac:dyDescent="0.25">
      <c r="A4681" s="27"/>
      <c r="B4681">
        <v>1</v>
      </c>
    </row>
    <row r="4682" spans="1:2" x14ac:dyDescent="0.25">
      <c r="A4682" s="26"/>
      <c r="B4682">
        <v>1</v>
      </c>
    </row>
    <row r="4683" spans="1:2" x14ac:dyDescent="0.25">
      <c r="A4683" s="27"/>
      <c r="B4683">
        <v>1</v>
      </c>
    </row>
    <row r="4684" spans="1:2" x14ac:dyDescent="0.25">
      <c r="A4684" s="26"/>
      <c r="B4684">
        <v>1</v>
      </c>
    </row>
    <row r="4685" spans="1:2" x14ac:dyDescent="0.25">
      <c r="A4685" s="27"/>
      <c r="B4685">
        <v>1</v>
      </c>
    </row>
    <row r="4686" spans="1:2" x14ac:dyDescent="0.25">
      <c r="A4686" s="26"/>
      <c r="B4686">
        <v>1</v>
      </c>
    </row>
    <row r="4687" spans="1:2" x14ac:dyDescent="0.25">
      <c r="A4687" s="27"/>
      <c r="B4687">
        <v>1</v>
      </c>
    </row>
    <row r="4688" spans="1:2" x14ac:dyDescent="0.25">
      <c r="A4688" s="26"/>
      <c r="B4688">
        <v>1</v>
      </c>
    </row>
    <row r="4689" spans="1:2" x14ac:dyDescent="0.25">
      <c r="A4689" s="27"/>
      <c r="B4689">
        <v>1</v>
      </c>
    </row>
    <row r="4690" spans="1:2" x14ac:dyDescent="0.25">
      <c r="A4690" s="26"/>
      <c r="B4690">
        <v>1</v>
      </c>
    </row>
    <row r="4691" spans="1:2" x14ac:dyDescent="0.25">
      <c r="A4691" s="27"/>
      <c r="B4691">
        <v>1</v>
      </c>
    </row>
    <row r="4692" spans="1:2" x14ac:dyDescent="0.25">
      <c r="A4692" s="26"/>
      <c r="B4692">
        <v>1</v>
      </c>
    </row>
    <row r="4693" spans="1:2" x14ac:dyDescent="0.25">
      <c r="A4693" s="27"/>
      <c r="B4693">
        <v>1</v>
      </c>
    </row>
    <row r="4694" spans="1:2" x14ac:dyDescent="0.25">
      <c r="A4694" s="26"/>
      <c r="B4694">
        <v>1</v>
      </c>
    </row>
    <row r="4695" spans="1:2" x14ac:dyDescent="0.25">
      <c r="A4695" s="27"/>
      <c r="B4695">
        <v>1</v>
      </c>
    </row>
    <row r="4696" spans="1:2" x14ac:dyDescent="0.25">
      <c r="A4696" s="26"/>
      <c r="B4696">
        <v>1</v>
      </c>
    </row>
    <row r="4697" spans="1:2" x14ac:dyDescent="0.25">
      <c r="A4697" s="27"/>
      <c r="B4697">
        <v>1</v>
      </c>
    </row>
    <row r="4698" spans="1:2" x14ac:dyDescent="0.25">
      <c r="A4698" s="26"/>
      <c r="B4698">
        <v>1</v>
      </c>
    </row>
    <row r="4699" spans="1:2" x14ac:dyDescent="0.25">
      <c r="A4699" s="27"/>
      <c r="B4699">
        <v>1</v>
      </c>
    </row>
    <row r="4700" spans="1:2" x14ac:dyDescent="0.25">
      <c r="A4700" s="26"/>
      <c r="B4700">
        <v>1</v>
      </c>
    </row>
    <row r="4701" spans="1:2" x14ac:dyDescent="0.25">
      <c r="A4701" s="27"/>
      <c r="B4701">
        <v>1</v>
      </c>
    </row>
    <row r="4702" spans="1:2" x14ac:dyDescent="0.25">
      <c r="A4702" s="26"/>
      <c r="B4702">
        <v>1</v>
      </c>
    </row>
    <row r="4703" spans="1:2" x14ac:dyDescent="0.25">
      <c r="A4703" s="27"/>
      <c r="B4703">
        <v>1</v>
      </c>
    </row>
    <row r="4704" spans="1:2" x14ac:dyDescent="0.25">
      <c r="A4704" s="26"/>
      <c r="B4704">
        <v>1</v>
      </c>
    </row>
    <row r="4705" spans="1:2" x14ac:dyDescent="0.25">
      <c r="A4705" s="27"/>
      <c r="B4705">
        <v>1</v>
      </c>
    </row>
    <row r="4706" spans="1:2" x14ac:dyDescent="0.25">
      <c r="A4706" s="26"/>
      <c r="B4706">
        <v>1</v>
      </c>
    </row>
    <row r="4707" spans="1:2" x14ac:dyDescent="0.25">
      <c r="A4707" s="27"/>
      <c r="B4707">
        <v>1</v>
      </c>
    </row>
    <row r="4708" spans="1:2" x14ac:dyDescent="0.25">
      <c r="A4708" s="26"/>
      <c r="B4708">
        <v>1</v>
      </c>
    </row>
    <row r="4709" spans="1:2" x14ac:dyDescent="0.25">
      <c r="A4709" s="27"/>
      <c r="B4709">
        <v>1</v>
      </c>
    </row>
    <row r="4710" spans="1:2" x14ac:dyDescent="0.25">
      <c r="A4710" s="26"/>
      <c r="B4710">
        <v>1</v>
      </c>
    </row>
    <row r="4711" spans="1:2" x14ac:dyDescent="0.25">
      <c r="A4711" s="27"/>
      <c r="B4711">
        <v>1</v>
      </c>
    </row>
    <row r="4712" spans="1:2" x14ac:dyDescent="0.25">
      <c r="A4712" s="26"/>
      <c r="B4712">
        <v>1</v>
      </c>
    </row>
    <row r="4713" spans="1:2" x14ac:dyDescent="0.25">
      <c r="A4713" s="27"/>
      <c r="B4713">
        <v>1</v>
      </c>
    </row>
    <row r="4714" spans="1:2" x14ac:dyDescent="0.25">
      <c r="A4714" s="26"/>
      <c r="B4714">
        <v>1</v>
      </c>
    </row>
    <row r="4715" spans="1:2" x14ac:dyDescent="0.25">
      <c r="A4715" s="27"/>
      <c r="B4715">
        <v>1</v>
      </c>
    </row>
    <row r="4716" spans="1:2" x14ac:dyDescent="0.25">
      <c r="A4716" s="26"/>
      <c r="B4716">
        <v>1</v>
      </c>
    </row>
    <row r="4717" spans="1:2" x14ac:dyDescent="0.25">
      <c r="A4717" s="27"/>
      <c r="B4717">
        <v>1</v>
      </c>
    </row>
    <row r="4718" spans="1:2" x14ac:dyDescent="0.25">
      <c r="A4718" s="26"/>
      <c r="B4718">
        <v>1</v>
      </c>
    </row>
    <row r="4719" spans="1:2" x14ac:dyDescent="0.25">
      <c r="A4719" s="27"/>
      <c r="B4719">
        <v>1</v>
      </c>
    </row>
    <row r="4720" spans="1:2" x14ac:dyDescent="0.25">
      <c r="A4720" s="26"/>
      <c r="B4720">
        <v>1</v>
      </c>
    </row>
    <row r="4721" spans="1:2" x14ac:dyDescent="0.25">
      <c r="A4721" s="27"/>
      <c r="B4721">
        <v>1</v>
      </c>
    </row>
    <row r="4722" spans="1:2" x14ac:dyDescent="0.25">
      <c r="A4722" s="26"/>
      <c r="B4722">
        <v>1</v>
      </c>
    </row>
    <row r="4723" spans="1:2" x14ac:dyDescent="0.25">
      <c r="A4723" s="27"/>
      <c r="B4723">
        <v>1</v>
      </c>
    </row>
    <row r="4724" spans="1:2" x14ac:dyDescent="0.25">
      <c r="A4724" s="26"/>
      <c r="B4724">
        <v>1</v>
      </c>
    </row>
    <row r="4725" spans="1:2" x14ac:dyDescent="0.25">
      <c r="A4725" s="27"/>
      <c r="B4725">
        <v>1</v>
      </c>
    </row>
    <row r="4726" spans="1:2" x14ac:dyDescent="0.25">
      <c r="A4726" s="26"/>
      <c r="B4726">
        <v>1</v>
      </c>
    </row>
    <row r="4727" spans="1:2" x14ac:dyDescent="0.25">
      <c r="A4727" s="27"/>
      <c r="B4727">
        <v>1</v>
      </c>
    </row>
    <row r="4728" spans="1:2" x14ac:dyDescent="0.25">
      <c r="A4728" s="26"/>
      <c r="B4728">
        <v>1</v>
      </c>
    </row>
    <row r="4729" spans="1:2" x14ac:dyDescent="0.25">
      <c r="A4729" s="27"/>
      <c r="B4729">
        <v>1</v>
      </c>
    </row>
    <row r="4730" spans="1:2" x14ac:dyDescent="0.25">
      <c r="A4730" s="26"/>
      <c r="B4730">
        <v>1</v>
      </c>
    </row>
    <row r="4731" spans="1:2" x14ac:dyDescent="0.25">
      <c r="A4731" s="27"/>
      <c r="B4731">
        <v>1</v>
      </c>
    </row>
    <row r="4732" spans="1:2" x14ac:dyDescent="0.25">
      <c r="A4732" s="26"/>
      <c r="B4732">
        <v>1</v>
      </c>
    </row>
    <row r="4733" spans="1:2" x14ac:dyDescent="0.25">
      <c r="A4733" s="27"/>
      <c r="B4733">
        <v>1</v>
      </c>
    </row>
    <row r="4734" spans="1:2" x14ac:dyDescent="0.25">
      <c r="A4734" s="26"/>
      <c r="B4734">
        <v>1</v>
      </c>
    </row>
    <row r="4735" spans="1:2" x14ac:dyDescent="0.25">
      <c r="A4735" s="27"/>
      <c r="B4735">
        <v>1</v>
      </c>
    </row>
    <row r="4736" spans="1:2" x14ac:dyDescent="0.25">
      <c r="A4736" s="26"/>
      <c r="B4736">
        <v>1</v>
      </c>
    </row>
    <row r="4737" spans="1:2" x14ac:dyDescent="0.25">
      <c r="A4737" s="27"/>
      <c r="B4737">
        <v>1</v>
      </c>
    </row>
    <row r="4738" spans="1:2" x14ac:dyDescent="0.25">
      <c r="A4738" s="26"/>
      <c r="B4738">
        <v>1</v>
      </c>
    </row>
    <row r="4739" spans="1:2" x14ac:dyDescent="0.25">
      <c r="A4739" s="27"/>
      <c r="B4739">
        <v>1</v>
      </c>
    </row>
    <row r="4740" spans="1:2" x14ac:dyDescent="0.25">
      <c r="A4740" s="26"/>
      <c r="B4740">
        <v>1</v>
      </c>
    </row>
    <row r="4741" spans="1:2" x14ac:dyDescent="0.25">
      <c r="A4741" s="27"/>
      <c r="B4741">
        <v>1</v>
      </c>
    </row>
    <row r="4742" spans="1:2" x14ac:dyDescent="0.25">
      <c r="A4742" s="26"/>
      <c r="B4742">
        <v>1</v>
      </c>
    </row>
    <row r="4743" spans="1:2" x14ac:dyDescent="0.25">
      <c r="A4743" s="27"/>
      <c r="B4743">
        <v>1</v>
      </c>
    </row>
    <row r="4744" spans="1:2" x14ac:dyDescent="0.25">
      <c r="A4744" s="26"/>
      <c r="B4744">
        <v>1</v>
      </c>
    </row>
    <row r="4745" spans="1:2" x14ac:dyDescent="0.25">
      <c r="A4745" s="27"/>
      <c r="B4745">
        <v>1</v>
      </c>
    </row>
    <row r="4746" spans="1:2" x14ac:dyDescent="0.25">
      <c r="A4746" s="26"/>
      <c r="B4746">
        <v>1</v>
      </c>
    </row>
    <row r="4747" spans="1:2" x14ac:dyDescent="0.25">
      <c r="A4747" s="27"/>
      <c r="B4747">
        <v>1</v>
      </c>
    </row>
    <row r="4748" spans="1:2" x14ac:dyDescent="0.25">
      <c r="A4748" s="26"/>
      <c r="B4748">
        <v>1</v>
      </c>
    </row>
    <row r="4749" spans="1:2" x14ac:dyDescent="0.25">
      <c r="A4749" s="27"/>
      <c r="B4749">
        <v>1</v>
      </c>
    </row>
    <row r="4750" spans="1:2" x14ac:dyDescent="0.25">
      <c r="A4750" s="26"/>
      <c r="B4750">
        <v>1</v>
      </c>
    </row>
    <row r="4751" spans="1:2" x14ac:dyDescent="0.25">
      <c r="A4751" s="27"/>
      <c r="B4751">
        <v>1</v>
      </c>
    </row>
    <row r="4752" spans="1:2" x14ac:dyDescent="0.25">
      <c r="A4752" s="26"/>
      <c r="B4752">
        <v>1</v>
      </c>
    </row>
    <row r="4753" spans="1:2" x14ac:dyDescent="0.25">
      <c r="A4753" s="27"/>
      <c r="B4753">
        <v>1</v>
      </c>
    </row>
    <row r="4754" spans="1:2" x14ac:dyDescent="0.25">
      <c r="A4754" s="26"/>
      <c r="B4754">
        <v>1</v>
      </c>
    </row>
    <row r="4755" spans="1:2" x14ac:dyDescent="0.25">
      <c r="A4755" s="27"/>
      <c r="B4755">
        <v>1</v>
      </c>
    </row>
    <row r="4756" spans="1:2" x14ac:dyDescent="0.25">
      <c r="A4756" s="26"/>
      <c r="B4756">
        <v>1</v>
      </c>
    </row>
    <row r="4757" spans="1:2" x14ac:dyDescent="0.25">
      <c r="A4757" s="27"/>
      <c r="B4757">
        <v>1</v>
      </c>
    </row>
    <row r="4758" spans="1:2" x14ac:dyDescent="0.25">
      <c r="A4758" s="26"/>
      <c r="B4758">
        <v>1</v>
      </c>
    </row>
    <row r="4759" spans="1:2" x14ac:dyDescent="0.25">
      <c r="A4759" s="27"/>
      <c r="B4759">
        <v>1</v>
      </c>
    </row>
    <row r="4760" spans="1:2" x14ac:dyDescent="0.25">
      <c r="A4760" s="26"/>
      <c r="B4760">
        <v>1</v>
      </c>
    </row>
    <row r="4761" spans="1:2" x14ac:dyDescent="0.25">
      <c r="A4761" s="27"/>
      <c r="B4761">
        <v>1</v>
      </c>
    </row>
    <row r="4762" spans="1:2" x14ac:dyDescent="0.25">
      <c r="A4762" s="26"/>
      <c r="B4762">
        <v>1</v>
      </c>
    </row>
    <row r="4763" spans="1:2" x14ac:dyDescent="0.25">
      <c r="A4763" s="27"/>
      <c r="B4763">
        <v>1</v>
      </c>
    </row>
    <row r="4764" spans="1:2" x14ac:dyDescent="0.25">
      <c r="A4764" s="26"/>
      <c r="B4764">
        <v>1</v>
      </c>
    </row>
    <row r="4765" spans="1:2" x14ac:dyDescent="0.25">
      <c r="A4765" s="27"/>
      <c r="B4765">
        <v>1</v>
      </c>
    </row>
    <row r="4766" spans="1:2" x14ac:dyDescent="0.25">
      <c r="A4766" s="26"/>
      <c r="B4766">
        <v>1</v>
      </c>
    </row>
    <row r="4767" spans="1:2" x14ac:dyDescent="0.25">
      <c r="A4767" s="27"/>
      <c r="B4767">
        <v>1</v>
      </c>
    </row>
    <row r="4768" spans="1:2" x14ac:dyDescent="0.25">
      <c r="A4768" s="26"/>
      <c r="B4768">
        <v>1</v>
      </c>
    </row>
    <row r="4769" spans="1:2" x14ac:dyDescent="0.25">
      <c r="A4769" s="27"/>
      <c r="B4769">
        <v>1</v>
      </c>
    </row>
    <row r="4770" spans="1:2" x14ac:dyDescent="0.25">
      <c r="A4770" s="26"/>
      <c r="B4770">
        <v>1</v>
      </c>
    </row>
    <row r="4771" spans="1:2" x14ac:dyDescent="0.25">
      <c r="A4771" s="27"/>
      <c r="B4771">
        <v>1</v>
      </c>
    </row>
    <row r="4772" spans="1:2" x14ac:dyDescent="0.25">
      <c r="A4772" s="26"/>
      <c r="B4772">
        <v>1</v>
      </c>
    </row>
    <row r="4773" spans="1:2" x14ac:dyDescent="0.25">
      <c r="A4773" s="27"/>
      <c r="B4773">
        <v>1</v>
      </c>
    </row>
    <row r="4774" spans="1:2" x14ac:dyDescent="0.25">
      <c r="A4774" s="26"/>
      <c r="B4774">
        <v>1</v>
      </c>
    </row>
    <row r="4775" spans="1:2" x14ac:dyDescent="0.25">
      <c r="A4775" s="27"/>
      <c r="B4775">
        <v>1</v>
      </c>
    </row>
    <row r="4776" spans="1:2" x14ac:dyDescent="0.25">
      <c r="A4776" s="26"/>
      <c r="B4776">
        <v>1</v>
      </c>
    </row>
    <row r="4777" spans="1:2" x14ac:dyDescent="0.25">
      <c r="A4777" s="27"/>
      <c r="B4777">
        <v>1</v>
      </c>
    </row>
    <row r="4778" spans="1:2" x14ac:dyDescent="0.25">
      <c r="A4778" s="26"/>
      <c r="B4778">
        <v>1</v>
      </c>
    </row>
    <row r="4779" spans="1:2" x14ac:dyDescent="0.25">
      <c r="A4779" s="27"/>
      <c r="B4779">
        <v>1</v>
      </c>
    </row>
    <row r="4780" spans="1:2" x14ac:dyDescent="0.25">
      <c r="A4780" s="26"/>
      <c r="B4780">
        <v>1</v>
      </c>
    </row>
    <row r="4781" spans="1:2" x14ac:dyDescent="0.25">
      <c r="A4781" s="27"/>
      <c r="B4781">
        <v>1</v>
      </c>
    </row>
    <row r="4782" spans="1:2" x14ac:dyDescent="0.25">
      <c r="A4782" s="26"/>
      <c r="B4782">
        <v>1</v>
      </c>
    </row>
    <row r="4783" spans="1:2" x14ac:dyDescent="0.25">
      <c r="A4783" s="27"/>
      <c r="B4783">
        <v>1</v>
      </c>
    </row>
    <row r="4784" spans="1:2" x14ac:dyDescent="0.25">
      <c r="A4784" s="26"/>
      <c r="B4784">
        <v>1</v>
      </c>
    </row>
    <row r="4785" spans="1:2" x14ac:dyDescent="0.25">
      <c r="A4785" s="27"/>
      <c r="B4785">
        <v>1</v>
      </c>
    </row>
    <row r="4786" spans="1:2" x14ac:dyDescent="0.25">
      <c r="A4786" s="26"/>
      <c r="B4786">
        <v>1</v>
      </c>
    </row>
    <row r="4787" spans="1:2" x14ac:dyDescent="0.25">
      <c r="A4787" s="27"/>
      <c r="B4787">
        <v>1</v>
      </c>
    </row>
    <row r="4788" spans="1:2" x14ac:dyDescent="0.25">
      <c r="A4788" s="26"/>
      <c r="B4788">
        <v>1</v>
      </c>
    </row>
    <row r="4789" spans="1:2" x14ac:dyDescent="0.25">
      <c r="A4789" s="27"/>
      <c r="B4789">
        <v>1</v>
      </c>
    </row>
    <row r="4790" spans="1:2" x14ac:dyDescent="0.25">
      <c r="A4790" s="26"/>
      <c r="B4790">
        <v>1</v>
      </c>
    </row>
    <row r="4791" spans="1:2" x14ac:dyDescent="0.25">
      <c r="A4791" s="27"/>
      <c r="B4791">
        <v>1</v>
      </c>
    </row>
    <row r="4792" spans="1:2" x14ac:dyDescent="0.25">
      <c r="A4792" s="26"/>
      <c r="B4792">
        <v>1</v>
      </c>
    </row>
    <row r="4793" spans="1:2" x14ac:dyDescent="0.25">
      <c r="A4793" s="27"/>
      <c r="B4793">
        <v>1</v>
      </c>
    </row>
    <row r="4794" spans="1:2" x14ac:dyDescent="0.25">
      <c r="A4794" s="26"/>
      <c r="B4794">
        <v>1</v>
      </c>
    </row>
    <row r="4795" spans="1:2" x14ac:dyDescent="0.25">
      <c r="A4795" s="27"/>
      <c r="B4795">
        <v>1</v>
      </c>
    </row>
    <row r="4796" spans="1:2" x14ac:dyDescent="0.25">
      <c r="A4796" s="26"/>
      <c r="B4796">
        <v>1</v>
      </c>
    </row>
    <row r="4797" spans="1:2" x14ac:dyDescent="0.25">
      <c r="A4797" s="27"/>
      <c r="B4797">
        <v>1</v>
      </c>
    </row>
    <row r="4798" spans="1:2" x14ac:dyDescent="0.25">
      <c r="A4798" s="26"/>
      <c r="B4798">
        <v>1</v>
      </c>
    </row>
    <row r="4799" spans="1:2" x14ac:dyDescent="0.25">
      <c r="A4799" s="27"/>
      <c r="B4799">
        <v>1</v>
      </c>
    </row>
    <row r="4800" spans="1:2" x14ac:dyDescent="0.25">
      <c r="A4800" s="26"/>
      <c r="B4800">
        <v>1</v>
      </c>
    </row>
    <row r="4801" spans="1:2" x14ac:dyDescent="0.25">
      <c r="A4801" s="27"/>
      <c r="B4801">
        <v>1</v>
      </c>
    </row>
    <row r="4802" spans="1:2" x14ac:dyDescent="0.25">
      <c r="A4802" s="26"/>
      <c r="B4802">
        <v>1</v>
      </c>
    </row>
    <row r="4803" spans="1:2" x14ac:dyDescent="0.25">
      <c r="A4803" s="27"/>
      <c r="B4803">
        <v>1</v>
      </c>
    </row>
    <row r="4804" spans="1:2" x14ac:dyDescent="0.25">
      <c r="A4804" s="26"/>
      <c r="B4804">
        <v>1</v>
      </c>
    </row>
    <row r="4805" spans="1:2" x14ac:dyDescent="0.25">
      <c r="A4805" s="27"/>
      <c r="B4805">
        <v>1</v>
      </c>
    </row>
    <row r="4806" spans="1:2" x14ac:dyDescent="0.25">
      <c r="A4806" s="26"/>
      <c r="B4806">
        <v>1</v>
      </c>
    </row>
    <row r="4807" spans="1:2" x14ac:dyDescent="0.25">
      <c r="A4807" s="27"/>
      <c r="B4807">
        <v>1</v>
      </c>
    </row>
    <row r="4808" spans="1:2" x14ac:dyDescent="0.25">
      <c r="A4808" s="26"/>
      <c r="B4808">
        <v>1</v>
      </c>
    </row>
    <row r="4809" spans="1:2" x14ac:dyDescent="0.25">
      <c r="A4809" s="27"/>
      <c r="B4809">
        <v>1</v>
      </c>
    </row>
    <row r="4810" spans="1:2" x14ac:dyDescent="0.25">
      <c r="A4810" s="26"/>
      <c r="B4810">
        <v>1</v>
      </c>
    </row>
    <row r="4811" spans="1:2" x14ac:dyDescent="0.25">
      <c r="A4811" s="27"/>
      <c r="B4811">
        <v>1</v>
      </c>
    </row>
    <row r="4812" spans="1:2" x14ac:dyDescent="0.25">
      <c r="A4812" s="26"/>
      <c r="B4812">
        <v>1</v>
      </c>
    </row>
    <row r="4813" spans="1:2" x14ac:dyDescent="0.25">
      <c r="A4813" s="27"/>
      <c r="B4813">
        <v>1</v>
      </c>
    </row>
    <row r="4814" spans="1:2" x14ac:dyDescent="0.25">
      <c r="A4814" s="26"/>
      <c r="B4814">
        <v>1</v>
      </c>
    </row>
    <row r="4815" spans="1:2" x14ac:dyDescent="0.25">
      <c r="A4815" s="27"/>
      <c r="B4815">
        <v>1</v>
      </c>
    </row>
    <row r="4816" spans="1:2" x14ac:dyDescent="0.25">
      <c r="A4816" s="26"/>
      <c r="B4816">
        <v>1</v>
      </c>
    </row>
    <row r="4817" spans="1:2" x14ac:dyDescent="0.25">
      <c r="A4817" s="27"/>
      <c r="B4817">
        <v>1</v>
      </c>
    </row>
    <row r="4818" spans="1:2" x14ac:dyDescent="0.25">
      <c r="A4818" s="26"/>
      <c r="B4818">
        <v>1</v>
      </c>
    </row>
    <row r="4819" spans="1:2" x14ac:dyDescent="0.25">
      <c r="A4819" s="27"/>
      <c r="B4819">
        <v>1</v>
      </c>
    </row>
    <row r="4820" spans="1:2" x14ac:dyDescent="0.25">
      <c r="A4820" s="26"/>
      <c r="B4820">
        <v>1</v>
      </c>
    </row>
    <row r="4821" spans="1:2" x14ac:dyDescent="0.25">
      <c r="A4821" s="27"/>
      <c r="B4821">
        <v>1</v>
      </c>
    </row>
    <row r="4822" spans="1:2" x14ac:dyDescent="0.25">
      <c r="A4822" s="26"/>
      <c r="B4822">
        <v>1</v>
      </c>
    </row>
    <row r="4823" spans="1:2" x14ac:dyDescent="0.25">
      <c r="A4823" s="27"/>
      <c r="B4823">
        <v>1</v>
      </c>
    </row>
    <row r="4824" spans="1:2" x14ac:dyDescent="0.25">
      <c r="A4824" s="26"/>
      <c r="B4824">
        <v>1</v>
      </c>
    </row>
    <row r="4825" spans="1:2" x14ac:dyDescent="0.25">
      <c r="A4825" s="27"/>
      <c r="B4825">
        <v>1</v>
      </c>
    </row>
    <row r="4826" spans="1:2" x14ac:dyDescent="0.25">
      <c r="A4826" s="26"/>
      <c r="B4826">
        <v>1</v>
      </c>
    </row>
    <row r="4827" spans="1:2" x14ac:dyDescent="0.25">
      <c r="A4827" s="27"/>
      <c r="B4827">
        <v>1</v>
      </c>
    </row>
    <row r="4828" spans="1:2" x14ac:dyDescent="0.25">
      <c r="A4828" s="26"/>
      <c r="B4828">
        <v>1</v>
      </c>
    </row>
    <row r="4829" spans="1:2" x14ac:dyDescent="0.25">
      <c r="A4829" s="27"/>
      <c r="B4829">
        <v>1</v>
      </c>
    </row>
    <row r="4830" spans="1:2" x14ac:dyDescent="0.25">
      <c r="A4830" s="26"/>
      <c r="B4830">
        <v>1</v>
      </c>
    </row>
    <row r="4831" spans="1:2" x14ac:dyDescent="0.25">
      <c r="A4831" s="27"/>
      <c r="B4831">
        <v>1</v>
      </c>
    </row>
    <row r="4832" spans="1:2" x14ac:dyDescent="0.25">
      <c r="A4832" s="26"/>
      <c r="B4832">
        <v>1</v>
      </c>
    </row>
    <row r="4833" spans="1:2" x14ac:dyDescent="0.25">
      <c r="A4833" s="27"/>
      <c r="B4833">
        <v>1</v>
      </c>
    </row>
    <row r="4834" spans="1:2" x14ac:dyDescent="0.25">
      <c r="A4834" s="26"/>
      <c r="B4834">
        <v>1</v>
      </c>
    </row>
    <row r="4835" spans="1:2" x14ac:dyDescent="0.25">
      <c r="A4835" s="27"/>
      <c r="B4835">
        <v>1</v>
      </c>
    </row>
    <row r="4836" spans="1:2" x14ac:dyDescent="0.25">
      <c r="A4836" s="26"/>
      <c r="B4836">
        <v>1</v>
      </c>
    </row>
    <row r="4837" spans="1:2" x14ac:dyDescent="0.25">
      <c r="A4837" s="27"/>
      <c r="B4837">
        <v>1</v>
      </c>
    </row>
    <row r="4838" spans="1:2" x14ac:dyDescent="0.25">
      <c r="A4838" s="26"/>
      <c r="B4838">
        <v>1</v>
      </c>
    </row>
    <row r="4839" spans="1:2" x14ac:dyDescent="0.25">
      <c r="A4839" s="27"/>
      <c r="B4839">
        <v>1</v>
      </c>
    </row>
    <row r="4840" spans="1:2" x14ac:dyDescent="0.25">
      <c r="A4840" s="26"/>
      <c r="B4840">
        <v>1</v>
      </c>
    </row>
    <row r="4841" spans="1:2" x14ac:dyDescent="0.25">
      <c r="A4841" s="27"/>
      <c r="B4841">
        <v>1</v>
      </c>
    </row>
    <row r="4842" spans="1:2" x14ac:dyDescent="0.25">
      <c r="A4842" s="26"/>
      <c r="B4842">
        <v>1</v>
      </c>
    </row>
    <row r="4843" spans="1:2" x14ac:dyDescent="0.25">
      <c r="A4843" s="27"/>
      <c r="B4843">
        <v>1</v>
      </c>
    </row>
    <row r="4844" spans="1:2" x14ac:dyDescent="0.25">
      <c r="A4844" s="26"/>
      <c r="B4844">
        <v>1</v>
      </c>
    </row>
    <row r="4845" spans="1:2" x14ac:dyDescent="0.25">
      <c r="A4845" s="27"/>
      <c r="B4845">
        <v>1</v>
      </c>
    </row>
    <row r="4846" spans="1:2" x14ac:dyDescent="0.25">
      <c r="A4846" s="26"/>
      <c r="B4846">
        <v>1</v>
      </c>
    </row>
    <row r="4847" spans="1:2" x14ac:dyDescent="0.25">
      <c r="A4847" s="27"/>
      <c r="B4847">
        <v>1</v>
      </c>
    </row>
    <row r="4848" spans="1:2" x14ac:dyDescent="0.25">
      <c r="A4848" s="26"/>
      <c r="B4848">
        <v>1</v>
      </c>
    </row>
    <row r="4849" spans="1:2" x14ac:dyDescent="0.25">
      <c r="A4849" s="27"/>
      <c r="B4849">
        <v>1</v>
      </c>
    </row>
    <row r="4850" spans="1:2" x14ac:dyDescent="0.25">
      <c r="A4850" s="26"/>
      <c r="B4850">
        <v>1</v>
      </c>
    </row>
    <row r="4851" spans="1:2" x14ac:dyDescent="0.25">
      <c r="A4851" s="27"/>
      <c r="B4851">
        <v>1</v>
      </c>
    </row>
    <row r="4852" spans="1:2" x14ac:dyDescent="0.25">
      <c r="A4852" s="26"/>
      <c r="B4852">
        <v>1</v>
      </c>
    </row>
    <row r="4853" spans="1:2" x14ac:dyDescent="0.25">
      <c r="A4853" s="27"/>
      <c r="B4853">
        <v>1</v>
      </c>
    </row>
    <row r="4854" spans="1:2" x14ac:dyDescent="0.25">
      <c r="A4854" s="26"/>
      <c r="B4854">
        <v>1</v>
      </c>
    </row>
    <row r="4855" spans="1:2" x14ac:dyDescent="0.25">
      <c r="A4855" s="27"/>
      <c r="B4855">
        <v>1</v>
      </c>
    </row>
    <row r="4856" spans="1:2" x14ac:dyDescent="0.25">
      <c r="A4856" s="26"/>
      <c r="B4856">
        <v>1</v>
      </c>
    </row>
    <row r="4857" spans="1:2" x14ac:dyDescent="0.25">
      <c r="A4857" s="27"/>
      <c r="B4857">
        <v>1</v>
      </c>
    </row>
    <row r="4858" spans="1:2" x14ac:dyDescent="0.25">
      <c r="A4858" s="26"/>
      <c r="B4858">
        <v>1</v>
      </c>
    </row>
    <row r="4859" spans="1:2" x14ac:dyDescent="0.25">
      <c r="A4859" s="27"/>
      <c r="B4859">
        <v>1</v>
      </c>
    </row>
    <row r="4860" spans="1:2" x14ac:dyDescent="0.25">
      <c r="A4860" s="26"/>
      <c r="B4860">
        <v>1</v>
      </c>
    </row>
    <row r="4861" spans="1:2" x14ac:dyDescent="0.25">
      <c r="A4861" s="27"/>
      <c r="B4861">
        <v>1</v>
      </c>
    </row>
    <row r="4862" spans="1:2" x14ac:dyDescent="0.25">
      <c r="A4862" s="26"/>
      <c r="B4862">
        <v>1</v>
      </c>
    </row>
    <row r="4863" spans="1:2" x14ac:dyDescent="0.25">
      <c r="A4863" s="27"/>
      <c r="B4863">
        <v>1</v>
      </c>
    </row>
    <row r="4864" spans="1:2" x14ac:dyDescent="0.25">
      <c r="A4864" s="26"/>
      <c r="B4864">
        <v>1</v>
      </c>
    </row>
    <row r="4865" spans="1:2" x14ac:dyDescent="0.25">
      <c r="A4865" s="27"/>
      <c r="B4865">
        <v>1</v>
      </c>
    </row>
    <row r="4866" spans="1:2" x14ac:dyDescent="0.25">
      <c r="A4866" s="26"/>
      <c r="B4866">
        <v>1</v>
      </c>
    </row>
    <row r="4867" spans="1:2" x14ac:dyDescent="0.25">
      <c r="A4867" s="27"/>
      <c r="B4867">
        <v>1</v>
      </c>
    </row>
    <row r="4868" spans="1:2" x14ac:dyDescent="0.25">
      <c r="A4868" s="26"/>
      <c r="B4868">
        <v>1</v>
      </c>
    </row>
    <row r="4869" spans="1:2" x14ac:dyDescent="0.25">
      <c r="A4869" s="27"/>
      <c r="B4869">
        <v>1</v>
      </c>
    </row>
    <row r="4870" spans="1:2" x14ac:dyDescent="0.25">
      <c r="A4870" s="26"/>
      <c r="B4870">
        <v>1</v>
      </c>
    </row>
    <row r="4871" spans="1:2" x14ac:dyDescent="0.25">
      <c r="A4871" s="27"/>
      <c r="B4871">
        <v>1</v>
      </c>
    </row>
    <row r="4872" spans="1:2" x14ac:dyDescent="0.25">
      <c r="A4872" s="26"/>
      <c r="B4872">
        <v>1</v>
      </c>
    </row>
    <row r="4873" spans="1:2" x14ac:dyDescent="0.25">
      <c r="A4873" s="27"/>
      <c r="B4873">
        <v>1</v>
      </c>
    </row>
    <row r="4874" spans="1:2" x14ac:dyDescent="0.25">
      <c r="A4874" s="26"/>
      <c r="B4874">
        <v>1</v>
      </c>
    </row>
    <row r="4875" spans="1:2" x14ac:dyDescent="0.25">
      <c r="A4875" s="27"/>
      <c r="B4875">
        <v>1</v>
      </c>
    </row>
    <row r="4876" spans="1:2" x14ac:dyDescent="0.25">
      <c r="A4876" s="26"/>
      <c r="B4876">
        <v>1</v>
      </c>
    </row>
    <row r="4877" spans="1:2" x14ac:dyDescent="0.25">
      <c r="A4877" s="27"/>
      <c r="B4877">
        <v>1</v>
      </c>
    </row>
    <row r="4878" spans="1:2" x14ac:dyDescent="0.25">
      <c r="A4878" s="26"/>
      <c r="B4878">
        <v>1</v>
      </c>
    </row>
    <row r="4879" spans="1:2" x14ac:dyDescent="0.25">
      <c r="A4879" s="27"/>
      <c r="B4879">
        <v>1</v>
      </c>
    </row>
    <row r="4880" spans="1:2" x14ac:dyDescent="0.25">
      <c r="A4880" s="26"/>
      <c r="B4880">
        <v>1</v>
      </c>
    </row>
    <row r="4881" spans="1:2" x14ac:dyDescent="0.25">
      <c r="A4881" s="27"/>
      <c r="B4881">
        <v>1</v>
      </c>
    </row>
    <row r="4882" spans="1:2" x14ac:dyDescent="0.25">
      <c r="A4882" s="26"/>
      <c r="B4882">
        <v>1</v>
      </c>
    </row>
    <row r="4883" spans="1:2" x14ac:dyDescent="0.25">
      <c r="A4883" s="27"/>
      <c r="B4883">
        <v>1</v>
      </c>
    </row>
    <row r="4884" spans="1:2" x14ac:dyDescent="0.25">
      <c r="A4884" s="26"/>
      <c r="B4884">
        <v>1</v>
      </c>
    </row>
    <row r="4885" spans="1:2" x14ac:dyDescent="0.25">
      <c r="A4885" s="27"/>
      <c r="B4885">
        <v>1</v>
      </c>
    </row>
    <row r="4886" spans="1:2" x14ac:dyDescent="0.25">
      <c r="A4886" s="26"/>
      <c r="B4886">
        <v>1</v>
      </c>
    </row>
    <row r="4887" spans="1:2" x14ac:dyDescent="0.25">
      <c r="A4887" s="27"/>
      <c r="B4887">
        <v>1</v>
      </c>
    </row>
    <row r="4888" spans="1:2" x14ac:dyDescent="0.25">
      <c r="A4888" s="26"/>
      <c r="B4888">
        <v>1</v>
      </c>
    </row>
    <row r="4889" spans="1:2" x14ac:dyDescent="0.25">
      <c r="A4889" s="27"/>
      <c r="B4889">
        <v>1</v>
      </c>
    </row>
    <row r="4890" spans="1:2" x14ac:dyDescent="0.25">
      <c r="A4890" s="26"/>
      <c r="B4890">
        <v>1</v>
      </c>
    </row>
    <row r="4891" spans="1:2" x14ac:dyDescent="0.25">
      <c r="A4891" s="27"/>
      <c r="B4891">
        <v>1</v>
      </c>
    </row>
    <row r="4892" spans="1:2" x14ac:dyDescent="0.25">
      <c r="A4892" s="26"/>
      <c r="B4892">
        <v>1</v>
      </c>
    </row>
    <row r="4893" spans="1:2" x14ac:dyDescent="0.25">
      <c r="A4893" s="27"/>
      <c r="B4893">
        <v>1</v>
      </c>
    </row>
    <row r="4894" spans="1:2" x14ac:dyDescent="0.25">
      <c r="A4894" s="26"/>
      <c r="B4894">
        <v>1</v>
      </c>
    </row>
    <row r="4895" spans="1:2" x14ac:dyDescent="0.25">
      <c r="A4895" s="27"/>
      <c r="B4895">
        <v>1</v>
      </c>
    </row>
    <row r="4896" spans="1:2" x14ac:dyDescent="0.25">
      <c r="A4896" s="26"/>
      <c r="B4896">
        <v>1</v>
      </c>
    </row>
    <row r="4897" spans="1:2" x14ac:dyDescent="0.25">
      <c r="A4897" s="27"/>
      <c r="B4897">
        <v>1</v>
      </c>
    </row>
    <row r="4898" spans="1:2" x14ac:dyDescent="0.25">
      <c r="A4898" s="26"/>
      <c r="B4898">
        <v>1</v>
      </c>
    </row>
    <row r="4899" spans="1:2" x14ac:dyDescent="0.25">
      <c r="A4899" s="27"/>
      <c r="B4899">
        <v>1</v>
      </c>
    </row>
    <row r="4900" spans="1:2" x14ac:dyDescent="0.25">
      <c r="A4900" s="26"/>
      <c r="B4900">
        <v>1</v>
      </c>
    </row>
    <row r="4901" spans="1:2" x14ac:dyDescent="0.25">
      <c r="A4901" s="27"/>
      <c r="B4901">
        <v>1</v>
      </c>
    </row>
    <row r="4902" spans="1:2" x14ac:dyDescent="0.25">
      <c r="A4902" s="26"/>
      <c r="B4902">
        <v>1</v>
      </c>
    </row>
    <row r="4903" spans="1:2" x14ac:dyDescent="0.25">
      <c r="A4903" s="27"/>
      <c r="B4903">
        <v>1</v>
      </c>
    </row>
    <row r="4904" spans="1:2" x14ac:dyDescent="0.25">
      <c r="A4904" s="26"/>
      <c r="B4904">
        <v>1</v>
      </c>
    </row>
    <row r="4905" spans="1:2" x14ac:dyDescent="0.25">
      <c r="A4905" s="27"/>
      <c r="B4905">
        <v>1</v>
      </c>
    </row>
    <row r="4906" spans="1:2" x14ac:dyDescent="0.25">
      <c r="A4906" s="26"/>
      <c r="B4906">
        <v>1</v>
      </c>
    </row>
    <row r="4907" spans="1:2" x14ac:dyDescent="0.25">
      <c r="A4907" s="27"/>
      <c r="B4907">
        <v>1</v>
      </c>
    </row>
    <row r="4908" spans="1:2" x14ac:dyDescent="0.25">
      <c r="A4908" s="26"/>
      <c r="B4908">
        <v>1</v>
      </c>
    </row>
    <row r="4909" spans="1:2" x14ac:dyDescent="0.25">
      <c r="A4909" s="27"/>
      <c r="B4909">
        <v>1</v>
      </c>
    </row>
    <row r="4910" spans="1:2" x14ac:dyDescent="0.25">
      <c r="A4910" s="26"/>
      <c r="B4910">
        <v>1</v>
      </c>
    </row>
    <row r="4911" spans="1:2" x14ac:dyDescent="0.25">
      <c r="A4911" s="27"/>
      <c r="B4911">
        <v>1</v>
      </c>
    </row>
    <row r="4912" spans="1:2" x14ac:dyDescent="0.25">
      <c r="A4912" s="26"/>
      <c r="B4912">
        <v>1</v>
      </c>
    </row>
    <row r="4913" spans="1:2" x14ac:dyDescent="0.25">
      <c r="A4913" s="27"/>
      <c r="B4913">
        <v>1</v>
      </c>
    </row>
    <row r="4914" spans="1:2" x14ac:dyDescent="0.25">
      <c r="A4914" s="26"/>
      <c r="B4914">
        <v>1</v>
      </c>
    </row>
    <row r="4915" spans="1:2" x14ac:dyDescent="0.25">
      <c r="A4915" s="27"/>
      <c r="B4915">
        <v>1</v>
      </c>
    </row>
    <row r="4916" spans="1:2" x14ac:dyDescent="0.25">
      <c r="A4916" s="26"/>
      <c r="B4916">
        <v>1</v>
      </c>
    </row>
    <row r="4917" spans="1:2" x14ac:dyDescent="0.25">
      <c r="A4917" s="27"/>
      <c r="B4917">
        <v>1</v>
      </c>
    </row>
    <row r="4918" spans="1:2" x14ac:dyDescent="0.25">
      <c r="A4918" s="26"/>
      <c r="B4918">
        <v>1</v>
      </c>
    </row>
    <row r="4919" spans="1:2" x14ac:dyDescent="0.25">
      <c r="A4919" s="27"/>
      <c r="B4919">
        <v>1</v>
      </c>
    </row>
    <row r="4920" spans="1:2" x14ac:dyDescent="0.25">
      <c r="A4920" s="26"/>
      <c r="B4920">
        <v>1</v>
      </c>
    </row>
    <row r="4921" spans="1:2" x14ac:dyDescent="0.25">
      <c r="A4921" s="27"/>
      <c r="B4921">
        <v>1</v>
      </c>
    </row>
    <row r="4922" spans="1:2" x14ac:dyDescent="0.25">
      <c r="A4922" s="26"/>
      <c r="B4922">
        <v>1</v>
      </c>
    </row>
    <row r="4923" spans="1:2" x14ac:dyDescent="0.25">
      <c r="A4923" s="27"/>
      <c r="B4923">
        <v>1</v>
      </c>
    </row>
    <row r="4924" spans="1:2" x14ac:dyDescent="0.25">
      <c r="A4924" s="26"/>
      <c r="B4924">
        <v>1</v>
      </c>
    </row>
    <row r="4925" spans="1:2" x14ac:dyDescent="0.25">
      <c r="A4925" s="27"/>
      <c r="B4925">
        <v>1</v>
      </c>
    </row>
    <row r="4926" spans="1:2" x14ac:dyDescent="0.25">
      <c r="A4926" s="26"/>
      <c r="B4926">
        <v>1</v>
      </c>
    </row>
    <row r="4927" spans="1:2" x14ac:dyDescent="0.25">
      <c r="A4927" s="27"/>
      <c r="B4927">
        <v>1</v>
      </c>
    </row>
    <row r="4928" spans="1:2" x14ac:dyDescent="0.25">
      <c r="A4928" s="26"/>
      <c r="B4928">
        <v>1</v>
      </c>
    </row>
    <row r="4929" spans="1:2" x14ac:dyDescent="0.25">
      <c r="A4929" s="27"/>
      <c r="B4929">
        <v>1</v>
      </c>
    </row>
    <row r="4930" spans="1:2" x14ac:dyDescent="0.25">
      <c r="A4930" s="26"/>
      <c r="B4930">
        <v>1</v>
      </c>
    </row>
    <row r="4931" spans="1:2" x14ac:dyDescent="0.25">
      <c r="A4931" s="27"/>
      <c r="B4931">
        <v>1</v>
      </c>
    </row>
    <row r="4932" spans="1:2" x14ac:dyDescent="0.25">
      <c r="A4932" s="26"/>
      <c r="B4932">
        <v>1</v>
      </c>
    </row>
    <row r="4933" spans="1:2" x14ac:dyDescent="0.25">
      <c r="A4933" s="27"/>
      <c r="B4933">
        <v>1</v>
      </c>
    </row>
    <row r="4934" spans="1:2" x14ac:dyDescent="0.25">
      <c r="A4934" s="26"/>
      <c r="B4934">
        <v>1</v>
      </c>
    </row>
    <row r="4935" spans="1:2" x14ac:dyDescent="0.25">
      <c r="A4935" s="27"/>
      <c r="B4935">
        <v>1</v>
      </c>
    </row>
    <row r="4936" spans="1:2" x14ac:dyDescent="0.25">
      <c r="A4936" s="26"/>
      <c r="B4936">
        <v>1</v>
      </c>
    </row>
    <row r="4937" spans="1:2" x14ac:dyDescent="0.25">
      <c r="A4937" s="27"/>
      <c r="B4937">
        <v>1</v>
      </c>
    </row>
    <row r="4938" spans="1:2" x14ac:dyDescent="0.25">
      <c r="A4938" s="26"/>
      <c r="B4938">
        <v>1</v>
      </c>
    </row>
    <row r="4939" spans="1:2" x14ac:dyDescent="0.25">
      <c r="A4939" s="27"/>
      <c r="B4939">
        <v>1</v>
      </c>
    </row>
    <row r="4940" spans="1:2" x14ac:dyDescent="0.25">
      <c r="A4940" s="26"/>
      <c r="B4940">
        <v>1</v>
      </c>
    </row>
    <row r="4941" spans="1:2" x14ac:dyDescent="0.25">
      <c r="A4941" s="27"/>
      <c r="B4941">
        <v>1</v>
      </c>
    </row>
    <row r="4942" spans="1:2" x14ac:dyDescent="0.25">
      <c r="A4942" s="26"/>
      <c r="B4942">
        <v>1</v>
      </c>
    </row>
    <row r="4943" spans="1:2" x14ac:dyDescent="0.25">
      <c r="A4943" s="27"/>
      <c r="B4943">
        <v>1</v>
      </c>
    </row>
    <row r="4944" spans="1:2" x14ac:dyDescent="0.25">
      <c r="A4944" s="26"/>
      <c r="B4944">
        <v>1</v>
      </c>
    </row>
    <row r="4945" spans="1:2" x14ac:dyDescent="0.25">
      <c r="A4945" s="27"/>
      <c r="B4945">
        <v>1</v>
      </c>
    </row>
    <row r="4946" spans="1:2" x14ac:dyDescent="0.25">
      <c r="A4946" s="26"/>
      <c r="B4946">
        <v>1</v>
      </c>
    </row>
    <row r="4947" spans="1:2" x14ac:dyDescent="0.25">
      <c r="A4947" s="27"/>
      <c r="B4947">
        <v>1</v>
      </c>
    </row>
    <row r="4948" spans="1:2" x14ac:dyDescent="0.25">
      <c r="A4948" s="26"/>
      <c r="B4948">
        <v>1</v>
      </c>
    </row>
    <row r="4949" spans="1:2" x14ac:dyDescent="0.25">
      <c r="A4949" s="27"/>
      <c r="B4949">
        <v>1</v>
      </c>
    </row>
    <row r="4950" spans="1:2" x14ac:dyDescent="0.25">
      <c r="A4950" s="26"/>
      <c r="B4950">
        <v>1</v>
      </c>
    </row>
    <row r="4951" spans="1:2" x14ac:dyDescent="0.25">
      <c r="A4951" s="27"/>
      <c r="B4951">
        <v>1</v>
      </c>
    </row>
    <row r="4952" spans="1:2" x14ac:dyDescent="0.25">
      <c r="A4952" s="26"/>
      <c r="B4952">
        <v>1</v>
      </c>
    </row>
    <row r="4953" spans="1:2" x14ac:dyDescent="0.25">
      <c r="A4953" s="27"/>
      <c r="B4953">
        <v>1</v>
      </c>
    </row>
    <row r="4954" spans="1:2" x14ac:dyDescent="0.25">
      <c r="A4954" s="26"/>
      <c r="B4954">
        <v>1</v>
      </c>
    </row>
    <row r="4955" spans="1:2" x14ac:dyDescent="0.25">
      <c r="A4955" s="27"/>
      <c r="B4955">
        <v>1</v>
      </c>
    </row>
    <row r="4956" spans="1:2" x14ac:dyDescent="0.25">
      <c r="A4956" s="26"/>
      <c r="B4956">
        <v>1</v>
      </c>
    </row>
    <row r="4957" spans="1:2" x14ac:dyDescent="0.25">
      <c r="A4957" s="27"/>
      <c r="B4957">
        <v>1</v>
      </c>
    </row>
    <row r="4958" spans="1:2" x14ac:dyDescent="0.25">
      <c r="A4958" s="26"/>
      <c r="B4958">
        <v>1</v>
      </c>
    </row>
    <row r="4959" spans="1:2" x14ac:dyDescent="0.25">
      <c r="A4959" s="27"/>
      <c r="B4959">
        <v>1</v>
      </c>
    </row>
    <row r="4960" spans="1:2" x14ac:dyDescent="0.25">
      <c r="A4960" s="26"/>
      <c r="B4960">
        <v>1</v>
      </c>
    </row>
    <row r="4961" spans="1:2" x14ac:dyDescent="0.25">
      <c r="A4961" s="27"/>
      <c r="B4961">
        <v>1</v>
      </c>
    </row>
    <row r="4962" spans="1:2" x14ac:dyDescent="0.25">
      <c r="A4962" s="26"/>
      <c r="B4962">
        <v>1</v>
      </c>
    </row>
    <row r="4963" spans="1:2" x14ac:dyDescent="0.25">
      <c r="A4963" s="27"/>
      <c r="B4963">
        <v>1</v>
      </c>
    </row>
    <row r="4964" spans="1:2" x14ac:dyDescent="0.25">
      <c r="A4964" s="26"/>
      <c r="B4964">
        <v>1</v>
      </c>
    </row>
    <row r="4965" spans="1:2" x14ac:dyDescent="0.25">
      <c r="A4965" s="27"/>
      <c r="B4965">
        <v>1</v>
      </c>
    </row>
    <row r="4966" spans="1:2" x14ac:dyDescent="0.25">
      <c r="A4966" s="26"/>
      <c r="B4966">
        <v>1</v>
      </c>
    </row>
    <row r="4967" spans="1:2" x14ac:dyDescent="0.25">
      <c r="A4967" s="27"/>
      <c r="B4967">
        <v>1</v>
      </c>
    </row>
    <row r="4968" spans="1:2" x14ac:dyDescent="0.25">
      <c r="A4968" s="26"/>
      <c r="B4968">
        <v>1</v>
      </c>
    </row>
    <row r="4969" spans="1:2" x14ac:dyDescent="0.25">
      <c r="A4969" s="27"/>
      <c r="B4969">
        <v>1</v>
      </c>
    </row>
    <row r="4970" spans="1:2" x14ac:dyDescent="0.25">
      <c r="A4970" s="26"/>
      <c r="B4970">
        <v>1</v>
      </c>
    </row>
    <row r="4971" spans="1:2" x14ac:dyDescent="0.25">
      <c r="A4971" s="27"/>
      <c r="B4971">
        <v>1</v>
      </c>
    </row>
    <row r="4972" spans="1:2" x14ac:dyDescent="0.25">
      <c r="A4972" s="26"/>
      <c r="B4972">
        <v>1</v>
      </c>
    </row>
    <row r="4973" spans="1:2" x14ac:dyDescent="0.25">
      <c r="A4973" s="27"/>
      <c r="B4973">
        <v>1</v>
      </c>
    </row>
    <row r="4974" spans="1:2" x14ac:dyDescent="0.25">
      <c r="A4974" s="26"/>
      <c r="B4974">
        <v>1</v>
      </c>
    </row>
    <row r="4975" spans="1:2" x14ac:dyDescent="0.25">
      <c r="A4975" s="27"/>
      <c r="B4975">
        <v>1</v>
      </c>
    </row>
    <row r="4976" spans="1:2" x14ac:dyDescent="0.25">
      <c r="A4976" s="26"/>
      <c r="B4976">
        <v>1</v>
      </c>
    </row>
    <row r="4977" spans="1:2" x14ac:dyDescent="0.25">
      <c r="A4977" s="27"/>
      <c r="B4977">
        <v>1</v>
      </c>
    </row>
    <row r="4978" spans="1:2" x14ac:dyDescent="0.25">
      <c r="A4978" s="26"/>
      <c r="B4978">
        <v>1</v>
      </c>
    </row>
    <row r="4979" spans="1:2" x14ac:dyDescent="0.25">
      <c r="A4979" s="27"/>
      <c r="B4979">
        <v>1</v>
      </c>
    </row>
    <row r="4980" spans="1:2" x14ac:dyDescent="0.25">
      <c r="A4980" s="26"/>
      <c r="B4980">
        <v>1</v>
      </c>
    </row>
    <row r="4981" spans="1:2" x14ac:dyDescent="0.25">
      <c r="A4981" s="27"/>
      <c r="B4981">
        <v>1</v>
      </c>
    </row>
    <row r="4982" spans="1:2" x14ac:dyDescent="0.25">
      <c r="A4982" s="26"/>
      <c r="B4982">
        <v>1</v>
      </c>
    </row>
    <row r="4983" spans="1:2" x14ac:dyDescent="0.25">
      <c r="A4983" s="27"/>
      <c r="B4983">
        <v>1</v>
      </c>
    </row>
    <row r="4984" spans="1:2" x14ac:dyDescent="0.25">
      <c r="A4984" s="26"/>
      <c r="B4984">
        <v>1</v>
      </c>
    </row>
    <row r="4985" spans="1:2" x14ac:dyDescent="0.25">
      <c r="A4985" s="27"/>
      <c r="B4985">
        <v>1</v>
      </c>
    </row>
    <row r="4986" spans="1:2" x14ac:dyDescent="0.25">
      <c r="A4986" s="26"/>
      <c r="B4986">
        <v>1</v>
      </c>
    </row>
    <row r="4987" spans="1:2" x14ac:dyDescent="0.25">
      <c r="A4987" s="27"/>
      <c r="B4987">
        <v>1</v>
      </c>
    </row>
    <row r="4988" spans="1:2" x14ac:dyDescent="0.25">
      <c r="A4988" s="26"/>
      <c r="B4988">
        <v>1</v>
      </c>
    </row>
    <row r="4989" spans="1:2" x14ac:dyDescent="0.25">
      <c r="A4989" s="27"/>
      <c r="B4989">
        <v>1</v>
      </c>
    </row>
    <row r="4990" spans="1:2" x14ac:dyDescent="0.25">
      <c r="A4990" s="26"/>
      <c r="B4990">
        <v>1</v>
      </c>
    </row>
    <row r="4991" spans="1:2" x14ac:dyDescent="0.25">
      <c r="A4991" s="27"/>
      <c r="B4991">
        <v>1</v>
      </c>
    </row>
    <row r="4992" spans="1:2" x14ac:dyDescent="0.25">
      <c r="A4992" s="26"/>
      <c r="B4992">
        <v>1</v>
      </c>
    </row>
    <row r="4993" spans="1:2" x14ac:dyDescent="0.25">
      <c r="A4993" s="27"/>
      <c r="B4993">
        <v>1</v>
      </c>
    </row>
    <row r="4994" spans="1:2" x14ac:dyDescent="0.25">
      <c r="A4994" s="26"/>
      <c r="B4994">
        <v>1</v>
      </c>
    </row>
    <row r="4995" spans="1:2" x14ac:dyDescent="0.25">
      <c r="A4995" s="27"/>
      <c r="B4995">
        <v>1</v>
      </c>
    </row>
    <row r="4996" spans="1:2" x14ac:dyDescent="0.25">
      <c r="A4996" s="26"/>
      <c r="B4996">
        <v>1</v>
      </c>
    </row>
    <row r="4997" spans="1:2" x14ac:dyDescent="0.25">
      <c r="A4997" s="27"/>
      <c r="B4997">
        <v>1</v>
      </c>
    </row>
    <row r="4998" spans="1:2" x14ac:dyDescent="0.25">
      <c r="A4998" s="26"/>
      <c r="B4998">
        <v>1</v>
      </c>
    </row>
    <row r="4999" spans="1:2" x14ac:dyDescent="0.25">
      <c r="A4999" s="27"/>
      <c r="B4999">
        <v>1</v>
      </c>
    </row>
    <row r="5000" spans="1:2" x14ac:dyDescent="0.25">
      <c r="A5000" s="26"/>
      <c r="B5000">
        <v>1</v>
      </c>
    </row>
    <row r="5001" spans="1:2" x14ac:dyDescent="0.25">
      <c r="A5001" s="27"/>
      <c r="B5001">
        <v>1</v>
      </c>
    </row>
    <row r="5002" spans="1:2" x14ac:dyDescent="0.25">
      <c r="A5002" s="26"/>
      <c r="B5002">
        <v>1</v>
      </c>
    </row>
    <row r="5003" spans="1:2" x14ac:dyDescent="0.25">
      <c r="A5003" s="27"/>
      <c r="B5003">
        <v>1</v>
      </c>
    </row>
    <row r="5004" spans="1:2" x14ac:dyDescent="0.25">
      <c r="A5004" s="26"/>
      <c r="B5004">
        <v>1</v>
      </c>
    </row>
    <row r="5005" spans="1:2" x14ac:dyDescent="0.25">
      <c r="A5005" s="27"/>
      <c r="B5005">
        <v>1</v>
      </c>
    </row>
    <row r="5006" spans="1:2" x14ac:dyDescent="0.25">
      <c r="A5006" s="26"/>
      <c r="B5006">
        <v>1</v>
      </c>
    </row>
    <row r="5007" spans="1:2" x14ac:dyDescent="0.25">
      <c r="A5007" s="27"/>
      <c r="B5007">
        <v>1</v>
      </c>
    </row>
    <row r="5008" spans="1:2" x14ac:dyDescent="0.25">
      <c r="A5008" s="26"/>
      <c r="B5008">
        <v>1</v>
      </c>
    </row>
    <row r="5009" spans="1:2" x14ac:dyDescent="0.25">
      <c r="A5009" s="27"/>
      <c r="B5009">
        <v>1</v>
      </c>
    </row>
    <row r="5010" spans="1:2" x14ac:dyDescent="0.25">
      <c r="A5010" s="26"/>
      <c r="B5010">
        <v>1</v>
      </c>
    </row>
    <row r="5011" spans="1:2" x14ac:dyDescent="0.25">
      <c r="A5011" s="27"/>
      <c r="B5011">
        <v>1</v>
      </c>
    </row>
    <row r="5012" spans="1:2" x14ac:dyDescent="0.25">
      <c r="A5012" s="26"/>
      <c r="B5012">
        <v>1</v>
      </c>
    </row>
    <row r="5013" spans="1:2" x14ac:dyDescent="0.25">
      <c r="A5013" s="27"/>
      <c r="B5013">
        <v>1</v>
      </c>
    </row>
    <row r="5014" spans="1:2" x14ac:dyDescent="0.25">
      <c r="A5014" s="26"/>
      <c r="B5014">
        <v>1</v>
      </c>
    </row>
    <row r="5015" spans="1:2" x14ac:dyDescent="0.25">
      <c r="A5015" s="27"/>
      <c r="B5015">
        <v>1</v>
      </c>
    </row>
    <row r="5016" spans="1:2" x14ac:dyDescent="0.25">
      <c r="A5016" s="26"/>
      <c r="B5016">
        <v>1</v>
      </c>
    </row>
    <row r="5017" spans="1:2" x14ac:dyDescent="0.25">
      <c r="A5017" s="27"/>
      <c r="B5017">
        <v>1</v>
      </c>
    </row>
    <row r="5018" spans="1:2" x14ac:dyDescent="0.25">
      <c r="A5018" s="26"/>
      <c r="B5018">
        <v>1</v>
      </c>
    </row>
    <row r="5019" spans="1:2" x14ac:dyDescent="0.25">
      <c r="A5019" s="27"/>
      <c r="B5019">
        <v>1</v>
      </c>
    </row>
    <row r="5020" spans="1:2" x14ac:dyDescent="0.25">
      <c r="A5020" s="26"/>
      <c r="B5020">
        <v>1</v>
      </c>
    </row>
    <row r="5021" spans="1:2" x14ac:dyDescent="0.25">
      <c r="A5021" s="27"/>
      <c r="B5021">
        <v>1</v>
      </c>
    </row>
    <row r="5022" spans="1:2" x14ac:dyDescent="0.25">
      <c r="A5022" s="26"/>
      <c r="B5022">
        <v>1</v>
      </c>
    </row>
    <row r="5023" spans="1:2" x14ac:dyDescent="0.25">
      <c r="A5023" s="27"/>
      <c r="B5023">
        <v>1</v>
      </c>
    </row>
    <row r="5024" spans="1:2" x14ac:dyDescent="0.25">
      <c r="A5024" s="26"/>
      <c r="B5024">
        <v>1</v>
      </c>
    </row>
    <row r="5025" spans="1:2" x14ac:dyDescent="0.25">
      <c r="A5025" s="27"/>
      <c r="B5025">
        <v>1</v>
      </c>
    </row>
    <row r="5026" spans="1:2" x14ac:dyDescent="0.25">
      <c r="A5026" s="26"/>
      <c r="B5026">
        <v>1</v>
      </c>
    </row>
    <row r="5027" spans="1:2" x14ac:dyDescent="0.25">
      <c r="A5027" s="27"/>
      <c r="B5027">
        <v>1</v>
      </c>
    </row>
    <row r="5028" spans="1:2" x14ac:dyDescent="0.25">
      <c r="A5028" s="26"/>
      <c r="B5028">
        <v>1</v>
      </c>
    </row>
    <row r="5029" spans="1:2" x14ac:dyDescent="0.25">
      <c r="A5029" s="27"/>
      <c r="B5029">
        <v>1</v>
      </c>
    </row>
    <row r="5030" spans="1:2" x14ac:dyDescent="0.25">
      <c r="A5030" s="26"/>
      <c r="B5030">
        <v>1</v>
      </c>
    </row>
    <row r="5031" spans="1:2" x14ac:dyDescent="0.25">
      <c r="A5031" s="27"/>
      <c r="B5031">
        <v>1</v>
      </c>
    </row>
    <row r="5032" spans="1:2" x14ac:dyDescent="0.25">
      <c r="A5032" s="26"/>
      <c r="B5032">
        <v>1</v>
      </c>
    </row>
    <row r="5033" spans="1:2" x14ac:dyDescent="0.25">
      <c r="A5033" s="27"/>
      <c r="B5033">
        <v>1</v>
      </c>
    </row>
    <row r="5034" spans="1:2" x14ac:dyDescent="0.25">
      <c r="A5034" s="26"/>
      <c r="B5034">
        <v>1</v>
      </c>
    </row>
    <row r="5035" spans="1:2" x14ac:dyDescent="0.25">
      <c r="A5035" s="27"/>
      <c r="B5035">
        <v>1</v>
      </c>
    </row>
    <row r="5036" spans="1:2" x14ac:dyDescent="0.25">
      <c r="A5036" s="26"/>
      <c r="B5036">
        <v>1</v>
      </c>
    </row>
    <row r="5037" spans="1:2" x14ac:dyDescent="0.25">
      <c r="A5037" s="27"/>
      <c r="B5037">
        <v>1</v>
      </c>
    </row>
    <row r="5038" spans="1:2" x14ac:dyDescent="0.25">
      <c r="A5038" s="26"/>
      <c r="B5038">
        <v>1</v>
      </c>
    </row>
    <row r="5039" spans="1:2" x14ac:dyDescent="0.25">
      <c r="A5039" s="27"/>
      <c r="B5039">
        <v>1</v>
      </c>
    </row>
    <row r="5040" spans="1:2" x14ac:dyDescent="0.25">
      <c r="A5040" s="26"/>
      <c r="B5040">
        <v>1</v>
      </c>
    </row>
    <row r="5041" spans="1:2" x14ac:dyDescent="0.25">
      <c r="A5041" s="27"/>
      <c r="B5041">
        <v>1</v>
      </c>
    </row>
    <row r="5042" spans="1:2" x14ac:dyDescent="0.25">
      <c r="A5042" s="26"/>
      <c r="B5042">
        <v>1</v>
      </c>
    </row>
    <row r="5043" spans="1:2" x14ac:dyDescent="0.25">
      <c r="A5043" s="27"/>
      <c r="B5043">
        <v>1</v>
      </c>
    </row>
    <row r="5044" spans="1:2" x14ac:dyDescent="0.25">
      <c r="A5044" s="26"/>
      <c r="B5044">
        <v>1</v>
      </c>
    </row>
    <row r="5045" spans="1:2" x14ac:dyDescent="0.25">
      <c r="A5045" s="27"/>
      <c r="B5045">
        <v>1</v>
      </c>
    </row>
    <row r="5046" spans="1:2" x14ac:dyDescent="0.25">
      <c r="A5046" s="26"/>
      <c r="B5046">
        <v>1</v>
      </c>
    </row>
    <row r="5047" spans="1:2" x14ac:dyDescent="0.25">
      <c r="A5047" s="27"/>
      <c r="B5047">
        <v>1</v>
      </c>
    </row>
    <row r="5048" spans="1:2" x14ac:dyDescent="0.25">
      <c r="A5048" s="26"/>
      <c r="B5048">
        <v>1</v>
      </c>
    </row>
    <row r="5049" spans="1:2" x14ac:dyDescent="0.25">
      <c r="A5049" s="27"/>
      <c r="B5049">
        <v>1</v>
      </c>
    </row>
    <row r="5050" spans="1:2" x14ac:dyDescent="0.25">
      <c r="A5050" s="26"/>
      <c r="B5050">
        <v>1</v>
      </c>
    </row>
    <row r="5051" spans="1:2" x14ac:dyDescent="0.25">
      <c r="A5051" s="27"/>
      <c r="B5051">
        <v>1</v>
      </c>
    </row>
    <row r="5052" spans="1:2" x14ac:dyDescent="0.25">
      <c r="A5052" s="26"/>
      <c r="B5052">
        <v>1</v>
      </c>
    </row>
    <row r="5053" spans="1:2" x14ac:dyDescent="0.25">
      <c r="A5053" s="27"/>
      <c r="B5053">
        <v>1</v>
      </c>
    </row>
    <row r="5054" spans="1:2" x14ac:dyDescent="0.25">
      <c r="A5054" s="26"/>
      <c r="B5054">
        <v>1</v>
      </c>
    </row>
    <row r="5055" spans="1:2" x14ac:dyDescent="0.25">
      <c r="A5055" s="27"/>
      <c r="B5055">
        <v>1</v>
      </c>
    </row>
    <row r="5056" spans="1:2" x14ac:dyDescent="0.25">
      <c r="A5056" s="26"/>
      <c r="B5056">
        <v>1</v>
      </c>
    </row>
    <row r="5057" spans="1:2" x14ac:dyDescent="0.25">
      <c r="A5057" s="27"/>
      <c r="B5057">
        <v>1</v>
      </c>
    </row>
    <row r="5058" spans="1:2" x14ac:dyDescent="0.25">
      <c r="A5058" s="26"/>
      <c r="B5058">
        <v>1</v>
      </c>
    </row>
    <row r="5059" spans="1:2" x14ac:dyDescent="0.25">
      <c r="A5059" s="27"/>
      <c r="B5059">
        <v>1</v>
      </c>
    </row>
    <row r="5060" spans="1:2" x14ac:dyDescent="0.25">
      <c r="A5060" s="26"/>
      <c r="B5060">
        <v>1</v>
      </c>
    </row>
    <row r="5061" spans="1:2" x14ac:dyDescent="0.25">
      <c r="A5061" s="27"/>
      <c r="B5061">
        <v>1</v>
      </c>
    </row>
    <row r="5062" spans="1:2" x14ac:dyDescent="0.25">
      <c r="A5062" s="26"/>
      <c r="B5062">
        <v>1</v>
      </c>
    </row>
    <row r="5063" spans="1:2" x14ac:dyDescent="0.25">
      <c r="A5063" s="27"/>
      <c r="B5063">
        <v>1</v>
      </c>
    </row>
    <row r="5064" spans="1:2" x14ac:dyDescent="0.25">
      <c r="A5064" s="26"/>
      <c r="B5064">
        <v>1</v>
      </c>
    </row>
    <row r="5065" spans="1:2" x14ac:dyDescent="0.25">
      <c r="A5065" s="27"/>
      <c r="B5065">
        <v>1</v>
      </c>
    </row>
    <row r="5066" spans="1:2" x14ac:dyDescent="0.25">
      <c r="A5066" s="26"/>
      <c r="B5066">
        <v>1</v>
      </c>
    </row>
    <row r="5067" spans="1:2" x14ac:dyDescent="0.25">
      <c r="A5067" s="27"/>
      <c r="B5067">
        <v>1</v>
      </c>
    </row>
    <row r="5068" spans="1:2" x14ac:dyDescent="0.25">
      <c r="A5068" s="26"/>
      <c r="B5068">
        <v>1</v>
      </c>
    </row>
    <row r="5069" spans="1:2" x14ac:dyDescent="0.25">
      <c r="A5069" s="27"/>
      <c r="B5069">
        <v>1</v>
      </c>
    </row>
    <row r="5070" spans="1:2" x14ac:dyDescent="0.25">
      <c r="A5070" s="26"/>
      <c r="B5070">
        <v>1</v>
      </c>
    </row>
    <row r="5071" spans="1:2" x14ac:dyDescent="0.25">
      <c r="A5071" s="27"/>
      <c r="B5071">
        <v>1</v>
      </c>
    </row>
    <row r="5072" spans="1:2" x14ac:dyDescent="0.25">
      <c r="A5072" s="26"/>
      <c r="B5072">
        <v>1</v>
      </c>
    </row>
    <row r="5073" spans="1:2" x14ac:dyDescent="0.25">
      <c r="A5073" s="27"/>
      <c r="B5073">
        <v>1</v>
      </c>
    </row>
    <row r="5074" spans="1:2" x14ac:dyDescent="0.25">
      <c r="A5074" s="26"/>
      <c r="B5074">
        <v>1</v>
      </c>
    </row>
    <row r="5075" spans="1:2" x14ac:dyDescent="0.25">
      <c r="A5075" s="27"/>
      <c r="B5075">
        <v>1</v>
      </c>
    </row>
    <row r="5076" spans="1:2" x14ac:dyDescent="0.25">
      <c r="A5076" s="26"/>
      <c r="B5076">
        <v>1</v>
      </c>
    </row>
    <row r="5077" spans="1:2" x14ac:dyDescent="0.25">
      <c r="A5077" s="27"/>
      <c r="B5077">
        <v>1</v>
      </c>
    </row>
    <row r="5078" spans="1:2" x14ac:dyDescent="0.25">
      <c r="A5078" s="26"/>
      <c r="B5078">
        <v>1</v>
      </c>
    </row>
    <row r="5079" spans="1:2" x14ac:dyDescent="0.25">
      <c r="A5079" s="27"/>
      <c r="B5079">
        <v>1</v>
      </c>
    </row>
    <row r="5080" spans="1:2" x14ac:dyDescent="0.25">
      <c r="A5080" s="26"/>
      <c r="B5080">
        <v>1</v>
      </c>
    </row>
    <row r="5081" spans="1:2" x14ac:dyDescent="0.25">
      <c r="A5081" s="27"/>
      <c r="B5081">
        <v>1</v>
      </c>
    </row>
    <row r="5082" spans="1:2" x14ac:dyDescent="0.25">
      <c r="A5082" s="26"/>
      <c r="B5082">
        <v>1</v>
      </c>
    </row>
    <row r="5083" spans="1:2" x14ac:dyDescent="0.25">
      <c r="A5083" s="27"/>
      <c r="B5083">
        <v>1</v>
      </c>
    </row>
    <row r="5084" spans="1:2" x14ac:dyDescent="0.25">
      <c r="A5084" s="26"/>
      <c r="B5084">
        <v>1</v>
      </c>
    </row>
    <row r="5085" spans="1:2" x14ac:dyDescent="0.25">
      <c r="A5085" s="27"/>
      <c r="B5085">
        <v>1</v>
      </c>
    </row>
    <row r="5086" spans="1:2" x14ac:dyDescent="0.25">
      <c r="A5086" s="26"/>
      <c r="B5086">
        <v>1</v>
      </c>
    </row>
    <row r="5087" spans="1:2" x14ac:dyDescent="0.25">
      <c r="A5087" s="27"/>
      <c r="B5087">
        <v>1</v>
      </c>
    </row>
    <row r="5088" spans="1:2" x14ac:dyDescent="0.25">
      <c r="A5088" s="26"/>
      <c r="B5088">
        <v>1</v>
      </c>
    </row>
    <row r="5089" spans="1:2" x14ac:dyDescent="0.25">
      <c r="A5089" s="27"/>
      <c r="B5089">
        <v>1</v>
      </c>
    </row>
    <row r="5090" spans="1:2" x14ac:dyDescent="0.25">
      <c r="A5090" s="26"/>
      <c r="B5090">
        <v>1</v>
      </c>
    </row>
    <row r="5091" spans="1:2" x14ac:dyDescent="0.25">
      <c r="A5091" s="27"/>
      <c r="B5091">
        <v>1</v>
      </c>
    </row>
    <row r="5092" spans="1:2" x14ac:dyDescent="0.25">
      <c r="A5092" s="26"/>
      <c r="B5092">
        <v>1</v>
      </c>
    </row>
    <row r="5093" spans="1:2" x14ac:dyDescent="0.25">
      <c r="A5093" s="27"/>
      <c r="B5093">
        <v>1</v>
      </c>
    </row>
    <row r="5094" spans="1:2" x14ac:dyDescent="0.25">
      <c r="A5094" s="26"/>
      <c r="B5094">
        <v>1</v>
      </c>
    </row>
    <row r="5095" spans="1:2" x14ac:dyDescent="0.25">
      <c r="A5095" s="27"/>
      <c r="B5095">
        <v>1</v>
      </c>
    </row>
    <row r="5096" spans="1:2" x14ac:dyDescent="0.25">
      <c r="A5096" s="26"/>
      <c r="B5096">
        <v>1</v>
      </c>
    </row>
    <row r="5097" spans="1:2" x14ac:dyDescent="0.25">
      <c r="A5097" s="27"/>
      <c r="B5097">
        <v>1</v>
      </c>
    </row>
    <row r="5098" spans="1:2" x14ac:dyDescent="0.25">
      <c r="A5098" s="26"/>
      <c r="B5098">
        <v>1</v>
      </c>
    </row>
    <row r="5099" spans="1:2" x14ac:dyDescent="0.25">
      <c r="A5099" s="27"/>
      <c r="B5099">
        <v>1</v>
      </c>
    </row>
    <row r="5100" spans="1:2" x14ac:dyDescent="0.25">
      <c r="A5100" s="26"/>
      <c r="B5100">
        <v>1</v>
      </c>
    </row>
    <row r="5101" spans="1:2" x14ac:dyDescent="0.25">
      <c r="A5101" s="27"/>
      <c r="B5101">
        <v>1</v>
      </c>
    </row>
    <row r="5102" spans="1:2" x14ac:dyDescent="0.25">
      <c r="A5102" s="26"/>
      <c r="B5102">
        <v>1</v>
      </c>
    </row>
    <row r="5103" spans="1:2" x14ac:dyDescent="0.25">
      <c r="A5103" s="27"/>
      <c r="B5103">
        <v>1</v>
      </c>
    </row>
    <row r="5104" spans="1:2" x14ac:dyDescent="0.25">
      <c r="A5104" s="26"/>
      <c r="B5104">
        <v>1</v>
      </c>
    </row>
    <row r="5105" spans="1:2" x14ac:dyDescent="0.25">
      <c r="A5105" s="27"/>
      <c r="B5105">
        <v>1</v>
      </c>
    </row>
    <row r="5106" spans="1:2" x14ac:dyDescent="0.25">
      <c r="A5106" s="26"/>
      <c r="B5106">
        <v>1</v>
      </c>
    </row>
    <row r="5107" spans="1:2" x14ac:dyDescent="0.25">
      <c r="A5107" s="27"/>
      <c r="B5107">
        <v>1</v>
      </c>
    </row>
    <row r="5108" spans="1:2" x14ac:dyDescent="0.25">
      <c r="A5108" s="26"/>
      <c r="B5108">
        <v>1</v>
      </c>
    </row>
    <row r="5109" spans="1:2" x14ac:dyDescent="0.25">
      <c r="A5109" s="27"/>
      <c r="B5109">
        <v>1</v>
      </c>
    </row>
    <row r="5110" spans="1:2" x14ac:dyDescent="0.25">
      <c r="A5110" s="26"/>
      <c r="B5110">
        <v>1</v>
      </c>
    </row>
    <row r="5111" spans="1:2" x14ac:dyDescent="0.25">
      <c r="A5111" s="27"/>
      <c r="B5111">
        <v>1</v>
      </c>
    </row>
    <row r="5112" spans="1:2" x14ac:dyDescent="0.25">
      <c r="A5112" s="26"/>
      <c r="B5112">
        <v>1</v>
      </c>
    </row>
    <row r="5113" spans="1:2" x14ac:dyDescent="0.25">
      <c r="A5113" s="27"/>
      <c r="B5113">
        <v>1</v>
      </c>
    </row>
    <row r="5114" spans="1:2" x14ac:dyDescent="0.25">
      <c r="A5114" s="26"/>
      <c r="B5114">
        <v>1</v>
      </c>
    </row>
    <row r="5115" spans="1:2" x14ac:dyDescent="0.25">
      <c r="A5115" s="27"/>
      <c r="B5115">
        <v>1</v>
      </c>
    </row>
    <row r="5116" spans="1:2" x14ac:dyDescent="0.25">
      <c r="A5116" s="26"/>
      <c r="B5116">
        <v>1</v>
      </c>
    </row>
    <row r="5117" spans="1:2" x14ac:dyDescent="0.25">
      <c r="A5117" s="27"/>
      <c r="B5117">
        <v>1</v>
      </c>
    </row>
    <row r="5118" spans="1:2" x14ac:dyDescent="0.25">
      <c r="A5118" s="26"/>
      <c r="B5118">
        <v>1</v>
      </c>
    </row>
    <row r="5119" spans="1:2" x14ac:dyDescent="0.25">
      <c r="A5119" s="27"/>
      <c r="B5119">
        <v>1</v>
      </c>
    </row>
    <row r="5120" spans="1:2" x14ac:dyDescent="0.25">
      <c r="A5120" s="26"/>
      <c r="B5120">
        <v>1</v>
      </c>
    </row>
    <row r="5121" spans="1:2" x14ac:dyDescent="0.25">
      <c r="A5121" s="27"/>
      <c r="B5121">
        <v>1</v>
      </c>
    </row>
    <row r="5122" spans="1:2" x14ac:dyDescent="0.25">
      <c r="A5122" s="26"/>
      <c r="B5122">
        <v>1</v>
      </c>
    </row>
    <row r="5123" spans="1:2" x14ac:dyDescent="0.25">
      <c r="A5123" s="27"/>
      <c r="B5123">
        <v>1</v>
      </c>
    </row>
    <row r="5124" spans="1:2" x14ac:dyDescent="0.25">
      <c r="A5124" s="26"/>
      <c r="B5124">
        <v>1</v>
      </c>
    </row>
    <row r="5125" spans="1:2" x14ac:dyDescent="0.25">
      <c r="A5125" s="27"/>
      <c r="B5125">
        <v>1</v>
      </c>
    </row>
    <row r="5126" spans="1:2" x14ac:dyDescent="0.25">
      <c r="A5126" s="26"/>
      <c r="B5126">
        <v>1</v>
      </c>
    </row>
    <row r="5127" spans="1:2" x14ac:dyDescent="0.25">
      <c r="A5127" s="27"/>
      <c r="B5127">
        <v>1</v>
      </c>
    </row>
    <row r="5128" spans="1:2" x14ac:dyDescent="0.25">
      <c r="A5128" s="26"/>
      <c r="B5128">
        <v>1</v>
      </c>
    </row>
    <row r="5129" spans="1:2" x14ac:dyDescent="0.25">
      <c r="A5129" s="27"/>
      <c r="B5129">
        <v>1</v>
      </c>
    </row>
    <row r="5130" spans="1:2" x14ac:dyDescent="0.25">
      <c r="A5130" s="26"/>
      <c r="B5130">
        <v>1</v>
      </c>
    </row>
    <row r="5131" spans="1:2" x14ac:dyDescent="0.25">
      <c r="A5131" s="27"/>
      <c r="B5131">
        <v>1</v>
      </c>
    </row>
    <row r="5132" spans="1:2" x14ac:dyDescent="0.25">
      <c r="A5132" s="26"/>
      <c r="B5132">
        <v>1</v>
      </c>
    </row>
    <row r="5133" spans="1:2" x14ac:dyDescent="0.25">
      <c r="A5133" s="27"/>
      <c r="B5133">
        <v>1</v>
      </c>
    </row>
    <row r="5134" spans="1:2" x14ac:dyDescent="0.25">
      <c r="A5134" s="26"/>
      <c r="B5134">
        <v>1</v>
      </c>
    </row>
    <row r="5135" spans="1:2" x14ac:dyDescent="0.25">
      <c r="A5135" s="27"/>
      <c r="B5135">
        <v>1</v>
      </c>
    </row>
    <row r="5136" spans="1:2" x14ac:dyDescent="0.25">
      <c r="A5136" s="26"/>
      <c r="B5136">
        <v>1</v>
      </c>
    </row>
    <row r="5137" spans="1:2" x14ac:dyDescent="0.25">
      <c r="A5137" s="27"/>
      <c r="B5137">
        <v>1</v>
      </c>
    </row>
    <row r="5138" spans="1:2" x14ac:dyDescent="0.25">
      <c r="A5138" s="26"/>
      <c r="B5138">
        <v>1</v>
      </c>
    </row>
    <row r="5139" spans="1:2" x14ac:dyDescent="0.25">
      <c r="A5139" s="27"/>
      <c r="B5139">
        <v>1</v>
      </c>
    </row>
    <row r="5140" spans="1:2" x14ac:dyDescent="0.25">
      <c r="A5140" s="26"/>
      <c r="B5140">
        <v>1</v>
      </c>
    </row>
    <row r="5141" spans="1:2" x14ac:dyDescent="0.25">
      <c r="A5141" s="27"/>
      <c r="B5141">
        <v>1</v>
      </c>
    </row>
    <row r="5142" spans="1:2" x14ac:dyDescent="0.25">
      <c r="A5142" s="26"/>
      <c r="B5142">
        <v>1</v>
      </c>
    </row>
    <row r="5143" spans="1:2" x14ac:dyDescent="0.25">
      <c r="A5143" s="27"/>
      <c r="B5143">
        <v>1</v>
      </c>
    </row>
    <row r="5144" spans="1:2" x14ac:dyDescent="0.25">
      <c r="A5144" s="26"/>
      <c r="B5144">
        <v>1</v>
      </c>
    </row>
    <row r="5145" spans="1:2" x14ac:dyDescent="0.25">
      <c r="A5145" s="27"/>
      <c r="B5145">
        <v>1</v>
      </c>
    </row>
    <row r="5146" spans="1:2" x14ac:dyDescent="0.25">
      <c r="A5146" s="26"/>
      <c r="B5146">
        <v>1</v>
      </c>
    </row>
    <row r="5147" spans="1:2" x14ac:dyDescent="0.25">
      <c r="A5147" s="27"/>
      <c r="B5147">
        <v>1</v>
      </c>
    </row>
    <row r="5148" spans="1:2" x14ac:dyDescent="0.25">
      <c r="A5148" s="26"/>
      <c r="B5148">
        <v>1</v>
      </c>
    </row>
    <row r="5149" spans="1:2" x14ac:dyDescent="0.25">
      <c r="A5149" s="27"/>
      <c r="B5149">
        <v>1</v>
      </c>
    </row>
    <row r="5150" spans="1:2" x14ac:dyDescent="0.25">
      <c r="A5150" s="26"/>
      <c r="B5150">
        <v>1</v>
      </c>
    </row>
    <row r="5151" spans="1:2" x14ac:dyDescent="0.25">
      <c r="A5151" s="27"/>
      <c r="B5151">
        <v>1</v>
      </c>
    </row>
    <row r="5152" spans="1:2" x14ac:dyDescent="0.25">
      <c r="A5152" s="26"/>
      <c r="B5152">
        <v>1</v>
      </c>
    </row>
    <row r="5153" spans="1:2" x14ac:dyDescent="0.25">
      <c r="A5153" s="27"/>
      <c r="B5153">
        <v>1</v>
      </c>
    </row>
    <row r="5154" spans="1:2" x14ac:dyDescent="0.25">
      <c r="A5154" s="26"/>
      <c r="B5154">
        <v>1</v>
      </c>
    </row>
    <row r="5155" spans="1:2" x14ac:dyDescent="0.25">
      <c r="A5155" s="27"/>
      <c r="B5155">
        <v>1</v>
      </c>
    </row>
    <row r="5156" spans="1:2" x14ac:dyDescent="0.25">
      <c r="A5156" s="26"/>
      <c r="B5156">
        <v>1</v>
      </c>
    </row>
    <row r="5157" spans="1:2" x14ac:dyDescent="0.25">
      <c r="A5157" s="27"/>
      <c r="B5157">
        <v>1</v>
      </c>
    </row>
    <row r="5158" spans="1:2" x14ac:dyDescent="0.25">
      <c r="A5158" s="26"/>
      <c r="B5158">
        <v>1</v>
      </c>
    </row>
    <row r="5159" spans="1:2" x14ac:dyDescent="0.25">
      <c r="A5159" s="27"/>
      <c r="B5159">
        <v>1</v>
      </c>
    </row>
    <row r="5160" spans="1:2" x14ac:dyDescent="0.25">
      <c r="A5160" s="26"/>
      <c r="B5160">
        <v>1</v>
      </c>
    </row>
    <row r="5161" spans="1:2" x14ac:dyDescent="0.25">
      <c r="A5161" s="27"/>
      <c r="B5161">
        <v>1</v>
      </c>
    </row>
    <row r="5162" spans="1:2" x14ac:dyDescent="0.25">
      <c r="A5162" s="26"/>
      <c r="B5162">
        <v>1</v>
      </c>
    </row>
    <row r="5163" spans="1:2" x14ac:dyDescent="0.25">
      <c r="A5163" s="27"/>
      <c r="B5163">
        <v>1</v>
      </c>
    </row>
    <row r="5164" spans="1:2" x14ac:dyDescent="0.25">
      <c r="A5164" s="26"/>
      <c r="B5164">
        <v>1</v>
      </c>
    </row>
    <row r="5165" spans="1:2" x14ac:dyDescent="0.25">
      <c r="A5165" s="27"/>
      <c r="B5165">
        <v>1</v>
      </c>
    </row>
    <row r="5166" spans="1:2" x14ac:dyDescent="0.25">
      <c r="A5166" s="26"/>
      <c r="B5166">
        <v>1</v>
      </c>
    </row>
    <row r="5167" spans="1:2" x14ac:dyDescent="0.25">
      <c r="A5167" s="27"/>
      <c r="B5167">
        <v>1</v>
      </c>
    </row>
    <row r="5168" spans="1:2" x14ac:dyDescent="0.25">
      <c r="A5168" s="26"/>
      <c r="B5168">
        <v>1</v>
      </c>
    </row>
    <row r="5169" spans="1:2" x14ac:dyDescent="0.25">
      <c r="A5169" s="27"/>
      <c r="B5169">
        <v>1</v>
      </c>
    </row>
    <row r="5170" spans="1:2" x14ac:dyDescent="0.25">
      <c r="A5170" s="26"/>
      <c r="B5170">
        <v>1</v>
      </c>
    </row>
    <row r="5171" spans="1:2" x14ac:dyDescent="0.25">
      <c r="A5171" s="27"/>
      <c r="B5171">
        <v>1</v>
      </c>
    </row>
    <row r="5172" spans="1:2" x14ac:dyDescent="0.25">
      <c r="A5172" s="26"/>
      <c r="B5172">
        <v>1</v>
      </c>
    </row>
    <row r="5173" spans="1:2" x14ac:dyDescent="0.25">
      <c r="A5173" s="27"/>
      <c r="B5173">
        <v>1</v>
      </c>
    </row>
    <row r="5174" spans="1:2" x14ac:dyDescent="0.25">
      <c r="A5174" s="26"/>
      <c r="B5174">
        <v>1</v>
      </c>
    </row>
    <row r="5175" spans="1:2" x14ac:dyDescent="0.25">
      <c r="A5175" s="27"/>
      <c r="B5175">
        <v>1</v>
      </c>
    </row>
    <row r="5176" spans="1:2" x14ac:dyDescent="0.25">
      <c r="A5176" s="26"/>
      <c r="B5176">
        <v>1</v>
      </c>
    </row>
    <row r="5177" spans="1:2" x14ac:dyDescent="0.25">
      <c r="A5177" s="27"/>
      <c r="B5177">
        <v>1</v>
      </c>
    </row>
    <row r="5178" spans="1:2" x14ac:dyDescent="0.25">
      <c r="A5178" s="26"/>
      <c r="B5178">
        <v>1</v>
      </c>
    </row>
    <row r="5179" spans="1:2" x14ac:dyDescent="0.25">
      <c r="A5179" s="27"/>
      <c r="B5179">
        <v>1</v>
      </c>
    </row>
    <row r="5180" spans="1:2" x14ac:dyDescent="0.25">
      <c r="A5180" s="26"/>
      <c r="B5180">
        <v>1</v>
      </c>
    </row>
    <row r="5181" spans="1:2" x14ac:dyDescent="0.25">
      <c r="A5181" s="27"/>
      <c r="B5181">
        <v>1</v>
      </c>
    </row>
    <row r="5182" spans="1:2" x14ac:dyDescent="0.25">
      <c r="A5182" s="26"/>
      <c r="B5182">
        <v>1</v>
      </c>
    </row>
    <row r="5183" spans="1:2" x14ac:dyDescent="0.25">
      <c r="A5183" s="27"/>
      <c r="B5183">
        <v>1</v>
      </c>
    </row>
    <row r="5184" spans="1:2" x14ac:dyDescent="0.25">
      <c r="A5184" s="26"/>
      <c r="B5184">
        <v>1</v>
      </c>
    </row>
    <row r="5185" spans="1:2" x14ac:dyDescent="0.25">
      <c r="A5185" s="27"/>
      <c r="B5185">
        <v>1</v>
      </c>
    </row>
    <row r="5186" spans="1:2" x14ac:dyDescent="0.25">
      <c r="A5186" s="26"/>
      <c r="B5186">
        <v>1</v>
      </c>
    </row>
    <row r="5187" spans="1:2" x14ac:dyDescent="0.25">
      <c r="A5187" s="27"/>
      <c r="B5187">
        <v>1</v>
      </c>
    </row>
    <row r="5188" spans="1:2" x14ac:dyDescent="0.25">
      <c r="A5188" s="26"/>
      <c r="B5188">
        <v>1</v>
      </c>
    </row>
    <row r="5189" spans="1:2" x14ac:dyDescent="0.25">
      <c r="A5189" s="27"/>
      <c r="B5189">
        <v>1</v>
      </c>
    </row>
    <row r="5190" spans="1:2" x14ac:dyDescent="0.25">
      <c r="A5190" s="26"/>
      <c r="B5190">
        <v>1</v>
      </c>
    </row>
    <row r="5191" spans="1:2" x14ac:dyDescent="0.25">
      <c r="A5191" s="27"/>
      <c r="B5191">
        <v>1</v>
      </c>
    </row>
    <row r="5192" spans="1:2" x14ac:dyDescent="0.25">
      <c r="A5192" s="26"/>
      <c r="B5192">
        <v>1</v>
      </c>
    </row>
    <row r="5193" spans="1:2" x14ac:dyDescent="0.25">
      <c r="A5193" s="27"/>
      <c r="B5193">
        <v>1</v>
      </c>
    </row>
    <row r="5194" spans="1:2" x14ac:dyDescent="0.25">
      <c r="A5194" s="26"/>
      <c r="B5194">
        <v>1</v>
      </c>
    </row>
    <row r="5195" spans="1:2" x14ac:dyDescent="0.25">
      <c r="A5195" s="27"/>
      <c r="B5195">
        <v>1</v>
      </c>
    </row>
    <row r="5196" spans="1:2" x14ac:dyDescent="0.25">
      <c r="A5196" s="26"/>
      <c r="B5196">
        <v>1</v>
      </c>
    </row>
    <row r="5197" spans="1:2" x14ac:dyDescent="0.25">
      <c r="A5197" s="27"/>
      <c r="B5197">
        <v>1</v>
      </c>
    </row>
    <row r="5198" spans="1:2" x14ac:dyDescent="0.25">
      <c r="A5198" s="26"/>
      <c r="B5198">
        <v>1</v>
      </c>
    </row>
    <row r="5199" spans="1:2" x14ac:dyDescent="0.25">
      <c r="A5199" s="27"/>
      <c r="B5199">
        <v>1</v>
      </c>
    </row>
    <row r="5200" spans="1:2" x14ac:dyDescent="0.25">
      <c r="A5200" s="26"/>
      <c r="B5200">
        <v>1</v>
      </c>
    </row>
    <row r="5201" spans="1:2" x14ac:dyDescent="0.25">
      <c r="A5201" s="27"/>
      <c r="B5201">
        <v>1</v>
      </c>
    </row>
    <row r="5202" spans="1:2" x14ac:dyDescent="0.25">
      <c r="A5202" s="26"/>
      <c r="B5202">
        <v>1</v>
      </c>
    </row>
    <row r="5203" spans="1:2" x14ac:dyDescent="0.25">
      <c r="A5203" s="27"/>
      <c r="B5203">
        <v>1</v>
      </c>
    </row>
    <row r="5204" spans="1:2" x14ac:dyDescent="0.25">
      <c r="A5204" s="26"/>
      <c r="B5204">
        <v>1</v>
      </c>
    </row>
    <row r="5205" spans="1:2" x14ac:dyDescent="0.25">
      <c r="A5205" s="27"/>
      <c r="B5205">
        <v>1</v>
      </c>
    </row>
    <row r="5206" spans="1:2" x14ac:dyDescent="0.25">
      <c r="A5206" s="26"/>
      <c r="B5206">
        <v>1</v>
      </c>
    </row>
    <row r="5207" spans="1:2" x14ac:dyDescent="0.25">
      <c r="A5207" s="27"/>
      <c r="B5207">
        <v>1</v>
      </c>
    </row>
    <row r="5208" spans="1:2" x14ac:dyDescent="0.25">
      <c r="A5208" s="26"/>
      <c r="B5208">
        <v>1</v>
      </c>
    </row>
    <row r="5209" spans="1:2" x14ac:dyDescent="0.25">
      <c r="A5209" s="27"/>
      <c r="B5209">
        <v>1</v>
      </c>
    </row>
    <row r="5210" spans="1:2" x14ac:dyDescent="0.25">
      <c r="A5210" s="26"/>
      <c r="B5210">
        <v>1</v>
      </c>
    </row>
    <row r="5211" spans="1:2" x14ac:dyDescent="0.25">
      <c r="A5211" s="27"/>
      <c r="B5211">
        <v>1</v>
      </c>
    </row>
    <row r="5212" spans="1:2" x14ac:dyDescent="0.25">
      <c r="A5212" s="26"/>
      <c r="B5212">
        <v>1</v>
      </c>
    </row>
    <row r="5213" spans="1:2" x14ac:dyDescent="0.25">
      <c r="A5213" s="27"/>
      <c r="B5213">
        <v>1</v>
      </c>
    </row>
    <row r="5214" spans="1:2" x14ac:dyDescent="0.25">
      <c r="A5214" s="26"/>
      <c r="B5214">
        <v>1</v>
      </c>
    </row>
    <row r="5215" spans="1:2" x14ac:dyDescent="0.25">
      <c r="A5215" s="27"/>
      <c r="B5215">
        <v>1</v>
      </c>
    </row>
    <row r="5216" spans="1:2" x14ac:dyDescent="0.25">
      <c r="A5216" s="26"/>
      <c r="B5216">
        <v>1</v>
      </c>
    </row>
    <row r="5217" spans="1:2" x14ac:dyDescent="0.25">
      <c r="A5217" s="27"/>
      <c r="B5217">
        <v>1</v>
      </c>
    </row>
    <row r="5218" spans="1:2" x14ac:dyDescent="0.25">
      <c r="A5218" s="26"/>
      <c r="B5218">
        <v>1</v>
      </c>
    </row>
    <row r="5219" spans="1:2" x14ac:dyDescent="0.25">
      <c r="A5219" s="27"/>
      <c r="B5219">
        <v>1</v>
      </c>
    </row>
    <row r="5220" spans="1:2" x14ac:dyDescent="0.25">
      <c r="A5220" s="26"/>
      <c r="B5220">
        <v>1</v>
      </c>
    </row>
    <row r="5221" spans="1:2" x14ac:dyDescent="0.25">
      <c r="A5221" s="27"/>
      <c r="B5221">
        <v>1</v>
      </c>
    </row>
    <row r="5222" spans="1:2" x14ac:dyDescent="0.25">
      <c r="A5222" s="26"/>
      <c r="B5222">
        <v>1</v>
      </c>
    </row>
    <row r="5223" spans="1:2" x14ac:dyDescent="0.25">
      <c r="A5223" s="27"/>
      <c r="B5223">
        <v>1</v>
      </c>
    </row>
    <row r="5224" spans="1:2" x14ac:dyDescent="0.25">
      <c r="A5224" s="26"/>
      <c r="B5224">
        <v>1</v>
      </c>
    </row>
    <row r="5225" spans="1:2" x14ac:dyDescent="0.25">
      <c r="A5225" s="27"/>
      <c r="B5225">
        <v>1</v>
      </c>
    </row>
    <row r="5226" spans="1:2" x14ac:dyDescent="0.25">
      <c r="A5226" s="26"/>
      <c r="B5226">
        <v>1</v>
      </c>
    </row>
    <row r="5227" spans="1:2" x14ac:dyDescent="0.25">
      <c r="A5227" s="27"/>
      <c r="B5227">
        <v>1</v>
      </c>
    </row>
    <row r="5228" spans="1:2" x14ac:dyDescent="0.25">
      <c r="A5228" s="26"/>
      <c r="B5228">
        <v>1</v>
      </c>
    </row>
    <row r="5229" spans="1:2" x14ac:dyDescent="0.25">
      <c r="A5229" s="27"/>
      <c r="B5229">
        <v>1</v>
      </c>
    </row>
    <row r="5230" spans="1:2" x14ac:dyDescent="0.25">
      <c r="A5230" s="26"/>
      <c r="B5230">
        <v>1</v>
      </c>
    </row>
    <row r="5231" spans="1:2" x14ac:dyDescent="0.25">
      <c r="A5231" s="27"/>
      <c r="B5231">
        <v>1</v>
      </c>
    </row>
    <row r="5232" spans="1:2" x14ac:dyDescent="0.25">
      <c r="A5232" s="26"/>
      <c r="B5232">
        <v>1</v>
      </c>
    </row>
    <row r="5233" spans="1:2" x14ac:dyDescent="0.25">
      <c r="A5233" s="27"/>
      <c r="B5233">
        <v>1</v>
      </c>
    </row>
    <row r="5234" spans="1:2" x14ac:dyDescent="0.25">
      <c r="A5234" s="26"/>
      <c r="B5234">
        <v>1</v>
      </c>
    </row>
    <row r="5235" spans="1:2" x14ac:dyDescent="0.25">
      <c r="A5235" s="27"/>
      <c r="B5235">
        <v>1</v>
      </c>
    </row>
    <row r="5236" spans="1:2" x14ac:dyDescent="0.25">
      <c r="A5236" s="26"/>
      <c r="B5236">
        <v>1</v>
      </c>
    </row>
    <row r="5237" spans="1:2" x14ac:dyDescent="0.25">
      <c r="A5237" s="27"/>
      <c r="B5237">
        <v>1</v>
      </c>
    </row>
    <row r="5238" spans="1:2" x14ac:dyDescent="0.25">
      <c r="A5238" s="26"/>
      <c r="B5238">
        <v>1</v>
      </c>
    </row>
    <row r="5239" spans="1:2" x14ac:dyDescent="0.25">
      <c r="A5239" s="27"/>
      <c r="B5239">
        <v>1</v>
      </c>
    </row>
    <row r="5240" spans="1:2" x14ac:dyDescent="0.25">
      <c r="A5240" s="26"/>
      <c r="B5240">
        <v>1</v>
      </c>
    </row>
    <row r="5241" spans="1:2" x14ac:dyDescent="0.25">
      <c r="A5241" s="27"/>
      <c r="B5241">
        <v>1</v>
      </c>
    </row>
    <row r="5242" spans="1:2" x14ac:dyDescent="0.25">
      <c r="A5242" s="26"/>
      <c r="B5242">
        <v>1</v>
      </c>
    </row>
    <row r="5243" spans="1:2" x14ac:dyDescent="0.25">
      <c r="A5243" s="27"/>
      <c r="B5243">
        <v>1</v>
      </c>
    </row>
    <row r="5244" spans="1:2" x14ac:dyDescent="0.25">
      <c r="A5244" s="26"/>
      <c r="B5244">
        <v>1</v>
      </c>
    </row>
    <row r="5245" spans="1:2" x14ac:dyDescent="0.25">
      <c r="A5245" s="27"/>
      <c r="B5245">
        <v>1</v>
      </c>
    </row>
    <row r="5246" spans="1:2" x14ac:dyDescent="0.25">
      <c r="A5246" s="26"/>
      <c r="B5246">
        <v>1</v>
      </c>
    </row>
    <row r="5247" spans="1:2" x14ac:dyDescent="0.25">
      <c r="A5247" s="27"/>
      <c r="B5247">
        <v>1</v>
      </c>
    </row>
    <row r="5248" spans="1:2" x14ac:dyDescent="0.25">
      <c r="A5248" s="26"/>
      <c r="B5248">
        <v>1</v>
      </c>
    </row>
    <row r="5249" spans="1:2" x14ac:dyDescent="0.25">
      <c r="A5249" s="27"/>
      <c r="B5249">
        <v>1</v>
      </c>
    </row>
    <row r="5250" spans="1:2" x14ac:dyDescent="0.25">
      <c r="A5250" s="26"/>
      <c r="B5250">
        <v>1</v>
      </c>
    </row>
    <row r="5251" spans="1:2" x14ac:dyDescent="0.25">
      <c r="A5251" s="27"/>
      <c r="B5251">
        <v>1</v>
      </c>
    </row>
    <row r="5252" spans="1:2" x14ac:dyDescent="0.25">
      <c r="A5252" s="26"/>
      <c r="B5252">
        <v>1</v>
      </c>
    </row>
    <row r="5253" spans="1:2" x14ac:dyDescent="0.25">
      <c r="A5253" s="27"/>
      <c r="B5253">
        <v>1</v>
      </c>
    </row>
    <row r="5254" spans="1:2" x14ac:dyDescent="0.25">
      <c r="A5254" s="26"/>
      <c r="B5254">
        <v>1</v>
      </c>
    </row>
    <row r="5255" spans="1:2" x14ac:dyDescent="0.25">
      <c r="A5255" s="27"/>
      <c r="B5255">
        <v>1</v>
      </c>
    </row>
    <row r="5256" spans="1:2" x14ac:dyDescent="0.25">
      <c r="A5256" s="26"/>
      <c r="B5256">
        <v>1</v>
      </c>
    </row>
    <row r="5257" spans="1:2" x14ac:dyDescent="0.25">
      <c r="A5257" s="27"/>
      <c r="B5257">
        <v>1</v>
      </c>
    </row>
    <row r="5258" spans="1:2" x14ac:dyDescent="0.25">
      <c r="A5258" s="26"/>
      <c r="B5258">
        <v>1</v>
      </c>
    </row>
    <row r="5259" spans="1:2" x14ac:dyDescent="0.25">
      <c r="A5259" s="27"/>
      <c r="B5259">
        <v>1</v>
      </c>
    </row>
    <row r="5260" spans="1:2" x14ac:dyDescent="0.25">
      <c r="A5260" s="26"/>
      <c r="B5260">
        <v>1</v>
      </c>
    </row>
    <row r="5261" spans="1:2" x14ac:dyDescent="0.25">
      <c r="A5261" s="27"/>
      <c r="B5261">
        <v>1</v>
      </c>
    </row>
    <row r="5262" spans="1:2" x14ac:dyDescent="0.25">
      <c r="A5262" s="26"/>
      <c r="B5262">
        <v>1</v>
      </c>
    </row>
    <row r="5263" spans="1:2" x14ac:dyDescent="0.25">
      <c r="A5263" s="27"/>
      <c r="B5263">
        <v>1</v>
      </c>
    </row>
    <row r="5264" spans="1:2" x14ac:dyDescent="0.25">
      <c r="A5264" s="26"/>
      <c r="B5264">
        <v>1</v>
      </c>
    </row>
    <row r="5265" spans="1:2" x14ac:dyDescent="0.25">
      <c r="A5265" s="27"/>
      <c r="B5265">
        <v>1</v>
      </c>
    </row>
    <row r="5266" spans="1:2" x14ac:dyDescent="0.25">
      <c r="A5266" s="26"/>
      <c r="B5266">
        <v>1</v>
      </c>
    </row>
    <row r="5267" spans="1:2" x14ac:dyDescent="0.25">
      <c r="A5267" s="27"/>
      <c r="B5267">
        <v>1</v>
      </c>
    </row>
    <row r="5268" spans="1:2" x14ac:dyDescent="0.25">
      <c r="A5268" s="26"/>
      <c r="B5268">
        <v>1</v>
      </c>
    </row>
    <row r="5269" spans="1:2" x14ac:dyDescent="0.25">
      <c r="A5269" s="27"/>
      <c r="B5269">
        <v>1</v>
      </c>
    </row>
    <row r="5270" spans="1:2" x14ac:dyDescent="0.25">
      <c r="A5270" s="26"/>
      <c r="B5270">
        <v>1</v>
      </c>
    </row>
    <row r="5271" spans="1:2" x14ac:dyDescent="0.25">
      <c r="A5271" s="27"/>
      <c r="B5271">
        <v>1</v>
      </c>
    </row>
    <row r="5272" spans="1:2" x14ac:dyDescent="0.25">
      <c r="A5272" s="26"/>
      <c r="B5272">
        <v>1</v>
      </c>
    </row>
    <row r="5273" spans="1:2" x14ac:dyDescent="0.25">
      <c r="A5273" s="27"/>
      <c r="B5273">
        <v>1</v>
      </c>
    </row>
    <row r="5274" spans="1:2" x14ac:dyDescent="0.25">
      <c r="A5274" s="26"/>
      <c r="B5274">
        <v>1</v>
      </c>
    </row>
    <row r="5275" spans="1:2" x14ac:dyDescent="0.25">
      <c r="A5275" s="27"/>
      <c r="B5275">
        <v>1</v>
      </c>
    </row>
    <row r="5276" spans="1:2" x14ac:dyDescent="0.25">
      <c r="A5276" s="26"/>
      <c r="B5276">
        <v>1</v>
      </c>
    </row>
    <row r="5277" spans="1:2" x14ac:dyDescent="0.25">
      <c r="A5277" s="27"/>
      <c r="B5277">
        <v>1</v>
      </c>
    </row>
    <row r="5278" spans="1:2" x14ac:dyDescent="0.25">
      <c r="A5278" s="26"/>
      <c r="B5278">
        <v>1</v>
      </c>
    </row>
    <row r="5279" spans="1:2" x14ac:dyDescent="0.25">
      <c r="A5279" s="27"/>
      <c r="B5279">
        <v>1</v>
      </c>
    </row>
    <row r="5280" spans="1:2" x14ac:dyDescent="0.25">
      <c r="A5280" s="26"/>
      <c r="B5280">
        <v>1</v>
      </c>
    </row>
    <row r="5281" spans="1:2" x14ac:dyDescent="0.25">
      <c r="A5281" s="27"/>
      <c r="B5281">
        <v>1</v>
      </c>
    </row>
    <row r="5282" spans="1:2" x14ac:dyDescent="0.25">
      <c r="A5282" s="26"/>
      <c r="B5282">
        <v>1</v>
      </c>
    </row>
    <row r="5283" spans="1:2" x14ac:dyDescent="0.25">
      <c r="A5283" s="27"/>
      <c r="B5283">
        <v>1</v>
      </c>
    </row>
    <row r="5284" spans="1:2" x14ac:dyDescent="0.25">
      <c r="A5284" s="26"/>
      <c r="B5284">
        <v>1</v>
      </c>
    </row>
    <row r="5285" spans="1:2" x14ac:dyDescent="0.25">
      <c r="A5285" s="27"/>
      <c r="B5285">
        <v>1</v>
      </c>
    </row>
    <row r="5286" spans="1:2" x14ac:dyDescent="0.25">
      <c r="A5286" s="26"/>
      <c r="B5286">
        <v>1</v>
      </c>
    </row>
    <row r="5287" spans="1:2" x14ac:dyDescent="0.25">
      <c r="A5287" s="27"/>
      <c r="B5287">
        <v>1</v>
      </c>
    </row>
    <row r="5288" spans="1:2" x14ac:dyDescent="0.25">
      <c r="A5288" s="26"/>
      <c r="B5288">
        <v>1</v>
      </c>
    </row>
    <row r="5289" spans="1:2" x14ac:dyDescent="0.25">
      <c r="A5289" s="27"/>
      <c r="B5289">
        <v>1</v>
      </c>
    </row>
    <row r="5290" spans="1:2" x14ac:dyDescent="0.25">
      <c r="A5290" s="26"/>
      <c r="B5290">
        <v>1</v>
      </c>
    </row>
    <row r="5291" spans="1:2" x14ac:dyDescent="0.25">
      <c r="A5291" s="27"/>
      <c r="B5291">
        <v>1</v>
      </c>
    </row>
    <row r="5292" spans="1:2" x14ac:dyDescent="0.25">
      <c r="A5292" s="26"/>
      <c r="B5292">
        <v>1</v>
      </c>
    </row>
    <row r="5293" spans="1:2" x14ac:dyDescent="0.25">
      <c r="A5293" s="27"/>
      <c r="B5293">
        <v>1</v>
      </c>
    </row>
    <row r="5294" spans="1:2" x14ac:dyDescent="0.25">
      <c r="A5294" s="26"/>
      <c r="B5294">
        <v>1</v>
      </c>
    </row>
    <row r="5295" spans="1:2" x14ac:dyDescent="0.25">
      <c r="A5295" s="27"/>
      <c r="B5295">
        <v>1</v>
      </c>
    </row>
    <row r="5296" spans="1:2" x14ac:dyDescent="0.25">
      <c r="A5296" s="26"/>
      <c r="B5296">
        <v>1</v>
      </c>
    </row>
    <row r="5297" spans="1:2" x14ac:dyDescent="0.25">
      <c r="A5297" s="27"/>
      <c r="B5297">
        <v>1</v>
      </c>
    </row>
    <row r="5298" spans="1:2" x14ac:dyDescent="0.25">
      <c r="A5298" s="26"/>
      <c r="B5298">
        <v>1</v>
      </c>
    </row>
    <row r="5299" spans="1:2" x14ac:dyDescent="0.25">
      <c r="A5299" s="27"/>
      <c r="B5299">
        <v>1</v>
      </c>
    </row>
    <row r="5300" spans="1:2" x14ac:dyDescent="0.25">
      <c r="A5300" s="26"/>
      <c r="B5300">
        <v>1</v>
      </c>
    </row>
    <row r="5301" spans="1:2" x14ac:dyDescent="0.25">
      <c r="A5301" s="27"/>
      <c r="B5301">
        <v>1</v>
      </c>
    </row>
    <row r="5302" spans="1:2" x14ac:dyDescent="0.25">
      <c r="A5302" s="26"/>
      <c r="B5302">
        <v>1</v>
      </c>
    </row>
    <row r="5303" spans="1:2" x14ac:dyDescent="0.25">
      <c r="A5303" s="27"/>
      <c r="B5303">
        <v>1</v>
      </c>
    </row>
    <row r="5304" spans="1:2" x14ac:dyDescent="0.25">
      <c r="A5304" s="26"/>
      <c r="B5304">
        <v>1</v>
      </c>
    </row>
    <row r="5305" spans="1:2" x14ac:dyDescent="0.25">
      <c r="A5305" s="27"/>
      <c r="B5305">
        <v>1</v>
      </c>
    </row>
    <row r="5306" spans="1:2" x14ac:dyDescent="0.25">
      <c r="A5306" s="26"/>
      <c r="B5306">
        <v>1</v>
      </c>
    </row>
    <row r="5307" spans="1:2" x14ac:dyDescent="0.25">
      <c r="A5307" s="27"/>
      <c r="B5307">
        <v>1</v>
      </c>
    </row>
    <row r="5308" spans="1:2" x14ac:dyDescent="0.25">
      <c r="A5308" s="26"/>
      <c r="B5308">
        <v>1</v>
      </c>
    </row>
    <row r="5309" spans="1:2" x14ac:dyDescent="0.25">
      <c r="A5309" s="27"/>
      <c r="B5309">
        <v>1</v>
      </c>
    </row>
    <row r="5310" spans="1:2" x14ac:dyDescent="0.25">
      <c r="A5310" s="26"/>
      <c r="B5310">
        <v>1</v>
      </c>
    </row>
    <row r="5311" spans="1:2" x14ac:dyDescent="0.25">
      <c r="A5311" s="27"/>
      <c r="B5311">
        <v>1</v>
      </c>
    </row>
    <row r="5312" spans="1:2" x14ac:dyDescent="0.25">
      <c r="A5312" s="26"/>
      <c r="B5312">
        <v>1</v>
      </c>
    </row>
    <row r="5313" spans="1:2" x14ac:dyDescent="0.25">
      <c r="A5313" s="27"/>
      <c r="B5313">
        <v>1</v>
      </c>
    </row>
    <row r="5314" spans="1:2" x14ac:dyDescent="0.25">
      <c r="A5314" s="26"/>
      <c r="B5314">
        <v>1</v>
      </c>
    </row>
    <row r="5315" spans="1:2" x14ac:dyDescent="0.25">
      <c r="A5315" s="27"/>
      <c r="B5315">
        <v>1</v>
      </c>
    </row>
    <row r="5316" spans="1:2" x14ac:dyDescent="0.25">
      <c r="A5316" s="26"/>
      <c r="B5316">
        <v>1</v>
      </c>
    </row>
    <row r="5317" spans="1:2" x14ac:dyDescent="0.25">
      <c r="A5317" s="27"/>
      <c r="B5317">
        <v>1</v>
      </c>
    </row>
    <row r="5318" spans="1:2" x14ac:dyDescent="0.25">
      <c r="A5318" s="26"/>
      <c r="B5318">
        <v>1</v>
      </c>
    </row>
    <row r="5319" spans="1:2" x14ac:dyDescent="0.25">
      <c r="A5319" s="27"/>
      <c r="B5319">
        <v>1</v>
      </c>
    </row>
    <row r="5320" spans="1:2" x14ac:dyDescent="0.25">
      <c r="A5320" s="26"/>
      <c r="B5320">
        <v>1</v>
      </c>
    </row>
    <row r="5321" spans="1:2" x14ac:dyDescent="0.25">
      <c r="A5321" s="27"/>
      <c r="B5321">
        <v>1</v>
      </c>
    </row>
    <row r="5322" spans="1:2" x14ac:dyDescent="0.25">
      <c r="A5322" s="26"/>
      <c r="B5322">
        <v>1</v>
      </c>
    </row>
    <row r="5323" spans="1:2" x14ac:dyDescent="0.25">
      <c r="A5323" s="27"/>
      <c r="B5323">
        <v>1</v>
      </c>
    </row>
    <row r="5324" spans="1:2" x14ac:dyDescent="0.25">
      <c r="A5324" s="26"/>
      <c r="B5324">
        <v>1</v>
      </c>
    </row>
    <row r="5325" spans="1:2" x14ac:dyDescent="0.25">
      <c r="A5325" s="27"/>
      <c r="B5325">
        <v>1</v>
      </c>
    </row>
    <row r="5326" spans="1:2" x14ac:dyDescent="0.25">
      <c r="A5326" s="26"/>
      <c r="B5326">
        <v>1</v>
      </c>
    </row>
    <row r="5327" spans="1:2" x14ac:dyDescent="0.25">
      <c r="A5327" s="27"/>
      <c r="B5327">
        <v>1</v>
      </c>
    </row>
    <row r="5328" spans="1:2" x14ac:dyDescent="0.25">
      <c r="A5328" s="26"/>
      <c r="B5328">
        <v>1</v>
      </c>
    </row>
    <row r="5329" spans="1:2" x14ac:dyDescent="0.25">
      <c r="A5329" s="27"/>
      <c r="B5329">
        <v>1</v>
      </c>
    </row>
    <row r="5330" spans="1:2" x14ac:dyDescent="0.25">
      <c r="A5330" s="26"/>
      <c r="B5330">
        <v>1</v>
      </c>
    </row>
    <row r="5331" spans="1:2" x14ac:dyDescent="0.25">
      <c r="A5331" s="27"/>
      <c r="B5331">
        <v>1</v>
      </c>
    </row>
    <row r="5332" spans="1:2" x14ac:dyDescent="0.25">
      <c r="A5332" s="26"/>
      <c r="B5332">
        <v>1</v>
      </c>
    </row>
    <row r="5333" spans="1:2" x14ac:dyDescent="0.25">
      <c r="A5333" s="27"/>
      <c r="B5333">
        <v>1</v>
      </c>
    </row>
    <row r="5334" spans="1:2" x14ac:dyDescent="0.25">
      <c r="A5334" s="26"/>
      <c r="B5334">
        <v>1</v>
      </c>
    </row>
    <row r="5335" spans="1:2" x14ac:dyDescent="0.25">
      <c r="A5335" s="27"/>
      <c r="B5335">
        <v>1</v>
      </c>
    </row>
    <row r="5336" spans="1:2" x14ac:dyDescent="0.25">
      <c r="A5336" s="26"/>
      <c r="B5336">
        <v>1</v>
      </c>
    </row>
    <row r="5337" spans="1:2" x14ac:dyDescent="0.25">
      <c r="A5337" s="27"/>
      <c r="B5337">
        <v>1</v>
      </c>
    </row>
    <row r="5338" spans="1:2" x14ac:dyDescent="0.25">
      <c r="A5338" s="26"/>
      <c r="B5338">
        <v>1</v>
      </c>
    </row>
    <row r="5339" spans="1:2" x14ac:dyDescent="0.25">
      <c r="A5339" s="27"/>
      <c r="B5339">
        <v>1</v>
      </c>
    </row>
    <row r="5340" spans="1:2" x14ac:dyDescent="0.25">
      <c r="A5340" s="26"/>
      <c r="B5340">
        <v>1</v>
      </c>
    </row>
    <row r="5341" spans="1:2" x14ac:dyDescent="0.25">
      <c r="A5341" s="27"/>
      <c r="B5341">
        <v>1</v>
      </c>
    </row>
    <row r="5342" spans="1:2" x14ac:dyDescent="0.25">
      <c r="A5342" s="26"/>
      <c r="B5342">
        <v>1</v>
      </c>
    </row>
    <row r="5343" spans="1:2" x14ac:dyDescent="0.25">
      <c r="A5343" s="27"/>
      <c r="B5343">
        <v>1</v>
      </c>
    </row>
    <row r="5344" spans="1:2" x14ac:dyDescent="0.25">
      <c r="A5344" s="26"/>
      <c r="B5344">
        <v>1</v>
      </c>
    </row>
    <row r="5345" spans="1:2" x14ac:dyDescent="0.25">
      <c r="A5345" s="27"/>
      <c r="B5345">
        <v>1</v>
      </c>
    </row>
    <row r="5346" spans="1:2" x14ac:dyDescent="0.25">
      <c r="A5346" s="26"/>
      <c r="B5346">
        <v>1</v>
      </c>
    </row>
    <row r="5347" spans="1:2" x14ac:dyDescent="0.25">
      <c r="A5347" s="27"/>
      <c r="B5347">
        <v>1</v>
      </c>
    </row>
    <row r="5348" spans="1:2" x14ac:dyDescent="0.25">
      <c r="A5348" s="26"/>
      <c r="B5348">
        <v>1</v>
      </c>
    </row>
    <row r="5349" spans="1:2" x14ac:dyDescent="0.25">
      <c r="A5349" s="27"/>
      <c r="B5349">
        <v>1</v>
      </c>
    </row>
    <row r="5350" spans="1:2" x14ac:dyDescent="0.25">
      <c r="A5350" s="26"/>
      <c r="B5350">
        <v>1</v>
      </c>
    </row>
    <row r="5351" spans="1:2" x14ac:dyDescent="0.25">
      <c r="A5351" s="27"/>
      <c r="B5351">
        <v>1</v>
      </c>
    </row>
    <row r="5352" spans="1:2" x14ac:dyDescent="0.25">
      <c r="A5352" s="26"/>
      <c r="B5352">
        <v>1</v>
      </c>
    </row>
    <row r="5353" spans="1:2" x14ac:dyDescent="0.25">
      <c r="A5353" s="27"/>
      <c r="B5353">
        <v>1</v>
      </c>
    </row>
    <row r="5354" spans="1:2" x14ac:dyDescent="0.25">
      <c r="A5354" s="26"/>
      <c r="B5354">
        <v>1</v>
      </c>
    </row>
    <row r="5355" spans="1:2" x14ac:dyDescent="0.25">
      <c r="A5355" s="27"/>
      <c r="B5355">
        <v>1</v>
      </c>
    </row>
    <row r="5356" spans="1:2" x14ac:dyDescent="0.25">
      <c r="A5356" s="26"/>
      <c r="B5356">
        <v>1</v>
      </c>
    </row>
    <row r="5357" spans="1:2" x14ac:dyDescent="0.25">
      <c r="A5357" s="27"/>
      <c r="B5357">
        <v>1</v>
      </c>
    </row>
    <row r="5358" spans="1:2" x14ac:dyDescent="0.25">
      <c r="A5358" s="26"/>
      <c r="B5358">
        <v>1</v>
      </c>
    </row>
    <row r="5359" spans="1:2" x14ac:dyDescent="0.25">
      <c r="A5359" s="27"/>
      <c r="B5359">
        <v>1</v>
      </c>
    </row>
    <row r="5360" spans="1:2" x14ac:dyDescent="0.25">
      <c r="A5360" s="26"/>
      <c r="B5360">
        <v>1</v>
      </c>
    </row>
    <row r="5361" spans="1:2" x14ac:dyDescent="0.25">
      <c r="A5361" s="27"/>
      <c r="B5361">
        <v>1</v>
      </c>
    </row>
    <row r="5362" spans="1:2" x14ac:dyDescent="0.25">
      <c r="A5362" s="26"/>
      <c r="B5362">
        <v>1</v>
      </c>
    </row>
    <row r="5363" spans="1:2" x14ac:dyDescent="0.25">
      <c r="A5363" s="27"/>
      <c r="B5363">
        <v>1</v>
      </c>
    </row>
    <row r="5364" spans="1:2" x14ac:dyDescent="0.25">
      <c r="A5364" s="26"/>
      <c r="B5364">
        <v>1</v>
      </c>
    </row>
    <row r="5365" spans="1:2" x14ac:dyDescent="0.25">
      <c r="A5365" s="27"/>
      <c r="B5365">
        <v>1</v>
      </c>
    </row>
    <row r="5366" spans="1:2" x14ac:dyDescent="0.25">
      <c r="A5366" s="26"/>
      <c r="B5366">
        <v>1</v>
      </c>
    </row>
    <row r="5367" spans="1:2" x14ac:dyDescent="0.25">
      <c r="A5367" s="27"/>
      <c r="B5367">
        <v>1</v>
      </c>
    </row>
    <row r="5368" spans="1:2" x14ac:dyDescent="0.25">
      <c r="A5368" s="26"/>
      <c r="B5368">
        <v>1</v>
      </c>
    </row>
    <row r="5369" spans="1:2" x14ac:dyDescent="0.25">
      <c r="A5369" s="27"/>
      <c r="B5369">
        <v>1</v>
      </c>
    </row>
    <row r="5370" spans="1:2" x14ac:dyDescent="0.25">
      <c r="A5370" s="26"/>
      <c r="B5370">
        <v>1</v>
      </c>
    </row>
    <row r="5371" spans="1:2" x14ac:dyDescent="0.25">
      <c r="A5371" s="27"/>
      <c r="B5371">
        <v>1</v>
      </c>
    </row>
    <row r="5372" spans="1:2" x14ac:dyDescent="0.25">
      <c r="A5372" s="26"/>
      <c r="B5372">
        <v>1</v>
      </c>
    </row>
    <row r="5373" spans="1:2" x14ac:dyDescent="0.25">
      <c r="A5373" s="27"/>
      <c r="B5373">
        <v>1</v>
      </c>
    </row>
    <row r="5374" spans="1:2" x14ac:dyDescent="0.25">
      <c r="A5374" s="26"/>
      <c r="B5374">
        <v>1</v>
      </c>
    </row>
    <row r="5375" spans="1:2" x14ac:dyDescent="0.25">
      <c r="A5375" s="27"/>
      <c r="B5375">
        <v>1</v>
      </c>
    </row>
    <row r="5376" spans="1:2" x14ac:dyDescent="0.25">
      <c r="A5376" s="26"/>
      <c r="B5376">
        <v>1</v>
      </c>
    </row>
    <row r="5377" spans="1:2" x14ac:dyDescent="0.25">
      <c r="A5377" s="27"/>
      <c r="B5377">
        <v>1</v>
      </c>
    </row>
    <row r="5378" spans="1:2" x14ac:dyDescent="0.25">
      <c r="A5378" s="26"/>
      <c r="B5378">
        <v>1</v>
      </c>
    </row>
    <row r="5379" spans="1:2" x14ac:dyDescent="0.25">
      <c r="A5379" s="27"/>
      <c r="B5379">
        <v>1</v>
      </c>
    </row>
    <row r="5380" spans="1:2" x14ac:dyDescent="0.25">
      <c r="A5380" s="26"/>
      <c r="B5380">
        <v>1</v>
      </c>
    </row>
    <row r="5381" spans="1:2" x14ac:dyDescent="0.25">
      <c r="A5381" s="27"/>
      <c r="B5381">
        <v>1</v>
      </c>
    </row>
    <row r="5382" spans="1:2" x14ac:dyDescent="0.25">
      <c r="A5382" s="26"/>
      <c r="B5382">
        <v>1</v>
      </c>
    </row>
    <row r="5383" spans="1:2" x14ac:dyDescent="0.25">
      <c r="A5383" s="27"/>
      <c r="B5383">
        <v>1</v>
      </c>
    </row>
    <row r="5384" spans="1:2" x14ac:dyDescent="0.25">
      <c r="A5384" s="26"/>
      <c r="B5384">
        <v>1</v>
      </c>
    </row>
    <row r="5385" spans="1:2" x14ac:dyDescent="0.25">
      <c r="A5385" s="27"/>
      <c r="B5385">
        <v>1</v>
      </c>
    </row>
    <row r="5386" spans="1:2" x14ac:dyDescent="0.25">
      <c r="A5386" s="26"/>
      <c r="B5386">
        <v>1</v>
      </c>
    </row>
    <row r="5387" spans="1:2" x14ac:dyDescent="0.25">
      <c r="A5387" s="27"/>
      <c r="B5387">
        <v>1</v>
      </c>
    </row>
    <row r="5388" spans="1:2" x14ac:dyDescent="0.25">
      <c r="A5388" s="26"/>
      <c r="B5388">
        <v>1</v>
      </c>
    </row>
    <row r="5389" spans="1:2" x14ac:dyDescent="0.25">
      <c r="A5389" s="27"/>
      <c r="B5389">
        <v>1</v>
      </c>
    </row>
    <row r="5390" spans="1:2" x14ac:dyDescent="0.25">
      <c r="A5390" s="26"/>
      <c r="B5390">
        <v>1</v>
      </c>
    </row>
    <row r="5391" spans="1:2" x14ac:dyDescent="0.25">
      <c r="A5391" s="27"/>
      <c r="B5391">
        <v>1</v>
      </c>
    </row>
    <row r="5392" spans="1:2" x14ac:dyDescent="0.25">
      <c r="A5392" s="26"/>
      <c r="B5392">
        <v>1</v>
      </c>
    </row>
    <row r="5393" spans="1:2" x14ac:dyDescent="0.25">
      <c r="A5393" s="27"/>
      <c r="B5393">
        <v>1</v>
      </c>
    </row>
    <row r="5394" spans="1:2" x14ac:dyDescent="0.25">
      <c r="A5394" s="26"/>
      <c r="B5394">
        <v>1</v>
      </c>
    </row>
    <row r="5395" spans="1:2" x14ac:dyDescent="0.25">
      <c r="A5395" s="27"/>
      <c r="B5395">
        <v>1</v>
      </c>
    </row>
    <row r="5396" spans="1:2" x14ac:dyDescent="0.25">
      <c r="A5396" s="26"/>
      <c r="B5396">
        <v>1</v>
      </c>
    </row>
    <row r="5397" spans="1:2" x14ac:dyDescent="0.25">
      <c r="A5397" s="27"/>
      <c r="B5397">
        <v>1</v>
      </c>
    </row>
    <row r="5398" spans="1:2" x14ac:dyDescent="0.25">
      <c r="A5398" s="26"/>
      <c r="B5398">
        <v>1</v>
      </c>
    </row>
    <row r="5399" spans="1:2" x14ac:dyDescent="0.25">
      <c r="A5399" s="27"/>
      <c r="B5399">
        <v>1</v>
      </c>
    </row>
    <row r="5400" spans="1:2" x14ac:dyDescent="0.25">
      <c r="A5400" s="26"/>
      <c r="B5400">
        <v>1</v>
      </c>
    </row>
    <row r="5401" spans="1:2" x14ac:dyDescent="0.25">
      <c r="A5401" s="27"/>
      <c r="B5401">
        <v>1</v>
      </c>
    </row>
    <row r="5402" spans="1:2" x14ac:dyDescent="0.25">
      <c r="A5402" s="26"/>
      <c r="B5402">
        <v>1</v>
      </c>
    </row>
    <row r="5403" spans="1:2" x14ac:dyDescent="0.25">
      <c r="A5403" s="27"/>
      <c r="B5403">
        <v>1</v>
      </c>
    </row>
    <row r="5404" spans="1:2" x14ac:dyDescent="0.25">
      <c r="A5404" s="26"/>
      <c r="B5404">
        <v>1</v>
      </c>
    </row>
    <row r="5405" spans="1:2" x14ac:dyDescent="0.25">
      <c r="A5405" s="27"/>
      <c r="B5405">
        <v>1</v>
      </c>
    </row>
    <row r="5406" spans="1:2" x14ac:dyDescent="0.25">
      <c r="A5406" s="26"/>
      <c r="B5406">
        <v>1</v>
      </c>
    </row>
    <row r="5407" spans="1:2" x14ac:dyDescent="0.25">
      <c r="A5407" s="27"/>
      <c r="B5407">
        <v>1</v>
      </c>
    </row>
    <row r="5408" spans="1:2" x14ac:dyDescent="0.25">
      <c r="A5408" s="26"/>
      <c r="B5408">
        <v>1</v>
      </c>
    </row>
    <row r="5409" spans="1:2" x14ac:dyDescent="0.25">
      <c r="A5409" s="27"/>
      <c r="B5409">
        <v>1</v>
      </c>
    </row>
    <row r="5410" spans="1:2" x14ac:dyDescent="0.25">
      <c r="A5410" s="26"/>
      <c r="B5410">
        <v>1</v>
      </c>
    </row>
    <row r="5411" spans="1:2" x14ac:dyDescent="0.25">
      <c r="A5411" s="27"/>
      <c r="B5411">
        <v>1</v>
      </c>
    </row>
    <row r="5412" spans="1:2" x14ac:dyDescent="0.25">
      <c r="A5412" s="26"/>
      <c r="B5412">
        <v>1</v>
      </c>
    </row>
    <row r="5413" spans="1:2" x14ac:dyDescent="0.25">
      <c r="A5413" s="27"/>
      <c r="B5413">
        <v>1</v>
      </c>
    </row>
    <row r="5414" spans="1:2" x14ac:dyDescent="0.25">
      <c r="A5414" s="26"/>
      <c r="B5414">
        <v>1</v>
      </c>
    </row>
    <row r="5415" spans="1:2" x14ac:dyDescent="0.25">
      <c r="A5415" s="27"/>
      <c r="B5415">
        <v>1</v>
      </c>
    </row>
    <row r="5416" spans="1:2" x14ac:dyDescent="0.25">
      <c r="A5416" s="26"/>
      <c r="B5416">
        <v>1</v>
      </c>
    </row>
    <row r="5417" spans="1:2" x14ac:dyDescent="0.25">
      <c r="A5417" s="27"/>
      <c r="B5417">
        <v>1</v>
      </c>
    </row>
    <row r="5418" spans="1:2" x14ac:dyDescent="0.25">
      <c r="A5418" s="26"/>
      <c r="B5418">
        <v>1</v>
      </c>
    </row>
    <row r="5419" spans="1:2" x14ac:dyDescent="0.25">
      <c r="A5419" s="27"/>
      <c r="B5419">
        <v>1</v>
      </c>
    </row>
    <row r="5420" spans="1:2" x14ac:dyDescent="0.25">
      <c r="A5420" s="26"/>
      <c r="B5420">
        <v>1</v>
      </c>
    </row>
    <row r="5421" spans="1:2" x14ac:dyDescent="0.25">
      <c r="A5421" s="27"/>
      <c r="B5421">
        <v>1</v>
      </c>
    </row>
    <row r="5422" spans="1:2" x14ac:dyDescent="0.25">
      <c r="A5422" s="26"/>
      <c r="B5422">
        <v>1</v>
      </c>
    </row>
    <row r="5423" spans="1:2" x14ac:dyDescent="0.25">
      <c r="A5423" s="27"/>
      <c r="B5423">
        <v>1</v>
      </c>
    </row>
    <row r="5424" spans="1:2" x14ac:dyDescent="0.25">
      <c r="A5424" s="26"/>
      <c r="B5424">
        <v>1</v>
      </c>
    </row>
    <row r="5425" spans="1:2" x14ac:dyDescent="0.25">
      <c r="A5425" s="27"/>
      <c r="B5425">
        <v>1</v>
      </c>
    </row>
    <row r="5426" spans="1:2" x14ac:dyDescent="0.25">
      <c r="A5426" s="26"/>
      <c r="B5426">
        <v>1</v>
      </c>
    </row>
    <row r="5427" spans="1:2" x14ac:dyDescent="0.25">
      <c r="A5427" s="27"/>
      <c r="B5427">
        <v>1</v>
      </c>
    </row>
    <row r="5428" spans="1:2" x14ac:dyDescent="0.25">
      <c r="A5428" s="26"/>
      <c r="B5428">
        <v>1</v>
      </c>
    </row>
    <row r="5429" spans="1:2" x14ac:dyDescent="0.25">
      <c r="A5429" s="27"/>
      <c r="B5429">
        <v>1</v>
      </c>
    </row>
    <row r="5430" spans="1:2" x14ac:dyDescent="0.25">
      <c r="A5430" s="26"/>
      <c r="B5430">
        <v>1</v>
      </c>
    </row>
    <row r="5431" spans="1:2" x14ac:dyDescent="0.25">
      <c r="A5431" s="27"/>
      <c r="B5431">
        <v>1</v>
      </c>
    </row>
    <row r="5432" spans="1:2" x14ac:dyDescent="0.25">
      <c r="A5432" s="26"/>
      <c r="B5432">
        <v>1</v>
      </c>
    </row>
    <row r="5433" spans="1:2" x14ac:dyDescent="0.25">
      <c r="A5433" s="27"/>
      <c r="B5433">
        <v>1</v>
      </c>
    </row>
    <row r="5434" spans="1:2" x14ac:dyDescent="0.25">
      <c r="A5434" s="26"/>
      <c r="B5434">
        <v>1</v>
      </c>
    </row>
    <row r="5435" spans="1:2" x14ac:dyDescent="0.25">
      <c r="A5435" s="27"/>
      <c r="B5435">
        <v>1</v>
      </c>
    </row>
    <row r="5436" spans="1:2" x14ac:dyDescent="0.25">
      <c r="A5436" s="26"/>
      <c r="B5436">
        <v>1</v>
      </c>
    </row>
    <row r="5437" spans="1:2" x14ac:dyDescent="0.25">
      <c r="A5437" s="27"/>
      <c r="B5437">
        <v>1</v>
      </c>
    </row>
    <row r="5438" spans="1:2" x14ac:dyDescent="0.25">
      <c r="A5438" s="26"/>
      <c r="B5438">
        <v>1</v>
      </c>
    </row>
    <row r="5439" spans="1:2" x14ac:dyDescent="0.25">
      <c r="A5439" s="27"/>
      <c r="B5439">
        <v>1</v>
      </c>
    </row>
    <row r="5440" spans="1:2" x14ac:dyDescent="0.25">
      <c r="A5440" s="26"/>
      <c r="B5440">
        <v>1</v>
      </c>
    </row>
    <row r="5441" spans="1:2" x14ac:dyDescent="0.25">
      <c r="A5441" s="27"/>
      <c r="B5441">
        <v>1</v>
      </c>
    </row>
    <row r="5442" spans="1:2" x14ac:dyDescent="0.25">
      <c r="A5442" s="26"/>
      <c r="B5442">
        <v>1</v>
      </c>
    </row>
    <row r="5443" spans="1:2" x14ac:dyDescent="0.25">
      <c r="A5443" s="27"/>
      <c r="B5443">
        <v>1</v>
      </c>
    </row>
    <row r="5444" spans="1:2" x14ac:dyDescent="0.25">
      <c r="A5444" s="26"/>
      <c r="B5444">
        <v>1</v>
      </c>
    </row>
    <row r="5445" spans="1:2" x14ac:dyDescent="0.25">
      <c r="A5445" s="27"/>
      <c r="B5445">
        <v>1</v>
      </c>
    </row>
    <row r="5446" spans="1:2" x14ac:dyDescent="0.25">
      <c r="A5446" s="26"/>
      <c r="B5446">
        <v>1</v>
      </c>
    </row>
    <row r="5447" spans="1:2" x14ac:dyDescent="0.25">
      <c r="A5447" s="27"/>
      <c r="B5447">
        <v>1</v>
      </c>
    </row>
    <row r="5448" spans="1:2" x14ac:dyDescent="0.25">
      <c r="A5448" s="26"/>
      <c r="B5448">
        <v>1</v>
      </c>
    </row>
    <row r="5449" spans="1:2" x14ac:dyDescent="0.25">
      <c r="A5449" s="27"/>
      <c r="B5449">
        <v>1</v>
      </c>
    </row>
    <row r="5450" spans="1:2" x14ac:dyDescent="0.25">
      <c r="A5450" s="26"/>
      <c r="B5450">
        <v>1</v>
      </c>
    </row>
    <row r="5451" spans="1:2" x14ac:dyDescent="0.25">
      <c r="A5451" s="27"/>
      <c r="B5451">
        <v>1</v>
      </c>
    </row>
    <row r="5452" spans="1:2" x14ac:dyDescent="0.25">
      <c r="A5452" s="26"/>
      <c r="B5452">
        <v>1</v>
      </c>
    </row>
    <row r="5453" spans="1:2" x14ac:dyDescent="0.25">
      <c r="A5453" s="27"/>
      <c r="B5453">
        <v>1</v>
      </c>
    </row>
    <row r="5454" spans="1:2" x14ac:dyDescent="0.25">
      <c r="A5454" s="26"/>
      <c r="B5454">
        <v>1</v>
      </c>
    </row>
    <row r="5455" spans="1:2" x14ac:dyDescent="0.25">
      <c r="A5455" s="27"/>
      <c r="B5455">
        <v>1</v>
      </c>
    </row>
    <row r="5456" spans="1:2" x14ac:dyDescent="0.25">
      <c r="A5456" s="26"/>
      <c r="B5456">
        <v>1</v>
      </c>
    </row>
    <row r="5457" spans="1:2" x14ac:dyDescent="0.25">
      <c r="A5457" s="27"/>
      <c r="B5457">
        <v>1</v>
      </c>
    </row>
    <row r="5458" spans="1:2" x14ac:dyDescent="0.25">
      <c r="A5458" s="26"/>
      <c r="B5458">
        <v>1</v>
      </c>
    </row>
    <row r="5459" spans="1:2" x14ac:dyDescent="0.25">
      <c r="A5459" s="27"/>
      <c r="B5459">
        <v>1</v>
      </c>
    </row>
    <row r="5460" spans="1:2" x14ac:dyDescent="0.25">
      <c r="A5460" s="26"/>
      <c r="B5460">
        <v>1</v>
      </c>
    </row>
    <row r="5461" spans="1:2" x14ac:dyDescent="0.25">
      <c r="A5461" s="27"/>
      <c r="B5461">
        <v>1</v>
      </c>
    </row>
    <row r="5462" spans="1:2" x14ac:dyDescent="0.25">
      <c r="A5462" s="26"/>
      <c r="B5462">
        <v>1</v>
      </c>
    </row>
    <row r="5463" spans="1:2" x14ac:dyDescent="0.25">
      <c r="A5463" s="27"/>
      <c r="B5463">
        <v>1</v>
      </c>
    </row>
    <row r="5464" spans="1:2" x14ac:dyDescent="0.25">
      <c r="A5464" s="26"/>
      <c r="B5464">
        <v>1</v>
      </c>
    </row>
    <row r="5465" spans="1:2" x14ac:dyDescent="0.25">
      <c r="A5465" s="27"/>
      <c r="B5465">
        <v>1</v>
      </c>
    </row>
    <row r="5466" spans="1:2" x14ac:dyDescent="0.25">
      <c r="A5466" s="26"/>
      <c r="B5466">
        <v>1</v>
      </c>
    </row>
    <row r="5467" spans="1:2" x14ac:dyDescent="0.25">
      <c r="A5467" s="27"/>
      <c r="B5467">
        <v>1</v>
      </c>
    </row>
    <row r="5468" spans="1:2" x14ac:dyDescent="0.25">
      <c r="A5468" s="26"/>
      <c r="B5468">
        <v>1</v>
      </c>
    </row>
    <row r="5469" spans="1:2" x14ac:dyDescent="0.25">
      <c r="A5469" s="27"/>
      <c r="B5469">
        <v>1</v>
      </c>
    </row>
    <row r="5470" spans="1:2" x14ac:dyDescent="0.25">
      <c r="A5470" s="26"/>
      <c r="B5470">
        <v>1</v>
      </c>
    </row>
    <row r="5471" spans="1:2" x14ac:dyDescent="0.25">
      <c r="A5471" s="27"/>
      <c r="B5471">
        <v>1</v>
      </c>
    </row>
    <row r="5472" spans="1:2" x14ac:dyDescent="0.25">
      <c r="A5472" s="26"/>
      <c r="B5472">
        <v>1</v>
      </c>
    </row>
    <row r="5473" spans="1:2" x14ac:dyDescent="0.25">
      <c r="A5473" s="27"/>
      <c r="B5473">
        <v>1</v>
      </c>
    </row>
    <row r="5474" spans="1:2" x14ac:dyDescent="0.25">
      <c r="A5474" s="26"/>
      <c r="B5474">
        <v>1</v>
      </c>
    </row>
    <row r="5475" spans="1:2" x14ac:dyDescent="0.25">
      <c r="A5475" s="27"/>
      <c r="B5475">
        <v>1</v>
      </c>
    </row>
    <row r="5476" spans="1:2" x14ac:dyDescent="0.25">
      <c r="A5476" s="26"/>
      <c r="B5476">
        <v>1</v>
      </c>
    </row>
    <row r="5477" spans="1:2" x14ac:dyDescent="0.25">
      <c r="A5477" s="27"/>
      <c r="B5477">
        <v>1</v>
      </c>
    </row>
    <row r="5478" spans="1:2" x14ac:dyDescent="0.25">
      <c r="A5478" s="26"/>
      <c r="B5478">
        <v>1</v>
      </c>
    </row>
    <row r="5479" spans="1:2" x14ac:dyDescent="0.25">
      <c r="A5479" s="27"/>
      <c r="B5479">
        <v>1</v>
      </c>
    </row>
    <row r="5480" spans="1:2" x14ac:dyDescent="0.25">
      <c r="A5480" s="26"/>
      <c r="B5480">
        <v>1</v>
      </c>
    </row>
    <row r="5481" spans="1:2" x14ac:dyDescent="0.25">
      <c r="A5481" s="27"/>
      <c r="B5481">
        <v>1</v>
      </c>
    </row>
    <row r="5482" spans="1:2" x14ac:dyDescent="0.25">
      <c r="A5482" s="26"/>
      <c r="B5482">
        <v>1</v>
      </c>
    </row>
    <row r="5483" spans="1:2" x14ac:dyDescent="0.25">
      <c r="A5483" s="27"/>
      <c r="B5483">
        <v>1</v>
      </c>
    </row>
    <row r="5484" spans="1:2" x14ac:dyDescent="0.25">
      <c r="A5484" s="26"/>
      <c r="B5484">
        <v>1</v>
      </c>
    </row>
    <row r="5485" spans="1:2" x14ac:dyDescent="0.25">
      <c r="A5485" s="27"/>
      <c r="B5485">
        <v>1</v>
      </c>
    </row>
    <row r="5486" spans="1:2" x14ac:dyDescent="0.25">
      <c r="A5486" s="26"/>
      <c r="B5486">
        <v>1</v>
      </c>
    </row>
    <row r="5487" spans="1:2" x14ac:dyDescent="0.25">
      <c r="A5487" s="27"/>
      <c r="B5487">
        <v>1</v>
      </c>
    </row>
    <row r="5488" spans="1:2" x14ac:dyDescent="0.25">
      <c r="A5488" s="26"/>
      <c r="B5488">
        <v>1</v>
      </c>
    </row>
    <row r="5489" spans="1:2" x14ac:dyDescent="0.25">
      <c r="A5489" s="27"/>
      <c r="B5489">
        <v>1</v>
      </c>
    </row>
    <row r="5490" spans="1:2" x14ac:dyDescent="0.25">
      <c r="A5490" s="26"/>
      <c r="B5490">
        <v>1</v>
      </c>
    </row>
    <row r="5491" spans="1:2" x14ac:dyDescent="0.25">
      <c r="A5491" s="27"/>
      <c r="B5491">
        <v>1</v>
      </c>
    </row>
    <row r="5492" spans="1:2" x14ac:dyDescent="0.25">
      <c r="A5492" s="26"/>
      <c r="B5492">
        <v>1</v>
      </c>
    </row>
    <row r="5493" spans="1:2" x14ac:dyDescent="0.25">
      <c r="A5493" s="27"/>
      <c r="B5493">
        <v>1</v>
      </c>
    </row>
    <row r="5494" spans="1:2" x14ac:dyDescent="0.25">
      <c r="A5494" s="26"/>
      <c r="B5494">
        <v>1</v>
      </c>
    </row>
    <row r="5495" spans="1:2" x14ac:dyDescent="0.25">
      <c r="A5495" s="27"/>
      <c r="B5495">
        <v>1</v>
      </c>
    </row>
    <row r="5496" spans="1:2" x14ac:dyDescent="0.25">
      <c r="A5496" s="26"/>
      <c r="B5496">
        <v>1</v>
      </c>
    </row>
    <row r="5497" spans="1:2" x14ac:dyDescent="0.25">
      <c r="A5497" s="27"/>
      <c r="B5497">
        <v>1</v>
      </c>
    </row>
    <row r="5498" spans="1:2" x14ac:dyDescent="0.25">
      <c r="A5498" s="26"/>
      <c r="B5498">
        <v>1</v>
      </c>
    </row>
    <row r="5499" spans="1:2" x14ac:dyDescent="0.25">
      <c r="A5499" s="27"/>
      <c r="B5499">
        <v>1</v>
      </c>
    </row>
    <row r="5500" spans="1:2" x14ac:dyDescent="0.25">
      <c r="A5500" s="26"/>
      <c r="B5500">
        <v>1</v>
      </c>
    </row>
    <row r="5501" spans="1:2" x14ac:dyDescent="0.25">
      <c r="A5501" s="27"/>
      <c r="B5501">
        <v>1</v>
      </c>
    </row>
    <row r="5502" spans="1:2" x14ac:dyDescent="0.25">
      <c r="A5502" s="26"/>
      <c r="B5502">
        <v>1</v>
      </c>
    </row>
    <row r="5503" spans="1:2" x14ac:dyDescent="0.25">
      <c r="A5503" s="27"/>
      <c r="B5503">
        <v>1</v>
      </c>
    </row>
    <row r="5504" spans="1:2" x14ac:dyDescent="0.25">
      <c r="A5504" s="26"/>
      <c r="B5504">
        <v>1</v>
      </c>
    </row>
    <row r="5505" spans="1:2" x14ac:dyDescent="0.25">
      <c r="A5505" s="27"/>
      <c r="B5505">
        <v>1</v>
      </c>
    </row>
    <row r="5506" spans="1:2" x14ac:dyDescent="0.25">
      <c r="A5506" s="26"/>
      <c r="B5506">
        <v>1</v>
      </c>
    </row>
    <row r="5507" spans="1:2" x14ac:dyDescent="0.25">
      <c r="A5507" s="27"/>
      <c r="B5507">
        <v>1</v>
      </c>
    </row>
    <row r="5508" spans="1:2" x14ac:dyDescent="0.25">
      <c r="A5508" s="26"/>
      <c r="B5508">
        <v>1</v>
      </c>
    </row>
    <row r="5509" spans="1:2" x14ac:dyDescent="0.25">
      <c r="A5509" s="27"/>
      <c r="B5509">
        <v>1</v>
      </c>
    </row>
    <row r="5510" spans="1:2" x14ac:dyDescent="0.25">
      <c r="A5510" s="26"/>
      <c r="B5510">
        <v>1</v>
      </c>
    </row>
    <row r="5511" spans="1:2" x14ac:dyDescent="0.25">
      <c r="A5511" s="27"/>
      <c r="B5511">
        <v>1</v>
      </c>
    </row>
    <row r="5512" spans="1:2" x14ac:dyDescent="0.25">
      <c r="A5512" s="26"/>
      <c r="B5512">
        <v>1</v>
      </c>
    </row>
    <row r="5513" spans="1:2" x14ac:dyDescent="0.25">
      <c r="A5513" s="27"/>
      <c r="B5513">
        <v>1</v>
      </c>
    </row>
    <row r="5514" spans="1:2" x14ac:dyDescent="0.25">
      <c r="A5514" s="26"/>
      <c r="B5514">
        <v>1</v>
      </c>
    </row>
    <row r="5515" spans="1:2" x14ac:dyDescent="0.25">
      <c r="A5515" s="27"/>
      <c r="B5515">
        <v>1</v>
      </c>
    </row>
    <row r="5516" spans="1:2" x14ac:dyDescent="0.25">
      <c r="A5516" s="26"/>
      <c r="B5516">
        <v>1</v>
      </c>
    </row>
    <row r="5517" spans="1:2" x14ac:dyDescent="0.25">
      <c r="A5517" s="27"/>
      <c r="B5517">
        <v>1</v>
      </c>
    </row>
    <row r="5518" spans="1:2" x14ac:dyDescent="0.25">
      <c r="A5518" s="26"/>
      <c r="B5518">
        <v>1</v>
      </c>
    </row>
    <row r="5519" spans="1:2" x14ac:dyDescent="0.25">
      <c r="A5519" s="27"/>
      <c r="B5519">
        <v>1</v>
      </c>
    </row>
    <row r="5520" spans="1:2" x14ac:dyDescent="0.25">
      <c r="A5520" s="26"/>
      <c r="B5520">
        <v>1</v>
      </c>
    </row>
    <row r="5521" spans="1:2" x14ac:dyDescent="0.25">
      <c r="A5521" s="27"/>
      <c r="B5521">
        <v>1</v>
      </c>
    </row>
    <row r="5522" spans="1:2" x14ac:dyDescent="0.25">
      <c r="A5522" s="26"/>
      <c r="B5522">
        <v>1</v>
      </c>
    </row>
    <row r="5523" spans="1:2" x14ac:dyDescent="0.25">
      <c r="A5523" s="27"/>
      <c r="B5523">
        <v>1</v>
      </c>
    </row>
    <row r="5524" spans="1:2" x14ac:dyDescent="0.25">
      <c r="A5524" s="26"/>
      <c r="B5524">
        <v>1</v>
      </c>
    </row>
    <row r="5525" spans="1:2" x14ac:dyDescent="0.25">
      <c r="A5525" s="27"/>
      <c r="B5525">
        <v>1</v>
      </c>
    </row>
    <row r="5526" spans="1:2" x14ac:dyDescent="0.25">
      <c r="A5526" s="26"/>
      <c r="B5526">
        <v>1</v>
      </c>
    </row>
    <row r="5527" spans="1:2" x14ac:dyDescent="0.25">
      <c r="A5527" s="27"/>
      <c r="B5527">
        <v>1</v>
      </c>
    </row>
    <row r="5528" spans="1:2" x14ac:dyDescent="0.25">
      <c r="A5528" s="26"/>
      <c r="B5528">
        <v>1</v>
      </c>
    </row>
    <row r="5529" spans="1:2" x14ac:dyDescent="0.25">
      <c r="A5529" s="27"/>
      <c r="B5529">
        <v>1</v>
      </c>
    </row>
    <row r="5530" spans="1:2" x14ac:dyDescent="0.25">
      <c r="A5530" s="26"/>
      <c r="B5530">
        <v>1</v>
      </c>
    </row>
    <row r="5531" spans="1:2" x14ac:dyDescent="0.25">
      <c r="A5531" s="27"/>
      <c r="B5531">
        <v>1</v>
      </c>
    </row>
    <row r="5532" spans="1:2" x14ac:dyDescent="0.25">
      <c r="A5532" s="26"/>
      <c r="B5532">
        <v>1</v>
      </c>
    </row>
    <row r="5533" spans="1:2" x14ac:dyDescent="0.25">
      <c r="A5533" s="27"/>
      <c r="B5533">
        <v>1</v>
      </c>
    </row>
    <row r="5534" spans="1:2" x14ac:dyDescent="0.25">
      <c r="A5534" s="26"/>
      <c r="B5534">
        <v>1</v>
      </c>
    </row>
    <row r="5535" spans="1:2" x14ac:dyDescent="0.25">
      <c r="A5535" s="27"/>
      <c r="B5535">
        <v>1</v>
      </c>
    </row>
    <row r="5536" spans="1:2" x14ac:dyDescent="0.25">
      <c r="A5536" s="26"/>
      <c r="B5536">
        <v>1</v>
      </c>
    </row>
    <row r="5537" spans="1:2" x14ac:dyDescent="0.25">
      <c r="A5537" s="27"/>
      <c r="B5537">
        <v>1</v>
      </c>
    </row>
    <row r="5538" spans="1:2" x14ac:dyDescent="0.25">
      <c r="A5538" s="26"/>
      <c r="B5538">
        <v>1</v>
      </c>
    </row>
    <row r="5539" spans="1:2" x14ac:dyDescent="0.25">
      <c r="A5539" s="27"/>
      <c r="B5539">
        <v>1</v>
      </c>
    </row>
    <row r="5540" spans="1:2" x14ac:dyDescent="0.25">
      <c r="A5540" s="26"/>
      <c r="B5540">
        <v>1</v>
      </c>
    </row>
    <row r="5541" spans="1:2" x14ac:dyDescent="0.25">
      <c r="A5541" s="27"/>
      <c r="B5541">
        <v>1</v>
      </c>
    </row>
    <row r="5542" spans="1:2" x14ac:dyDescent="0.25">
      <c r="A5542" s="26"/>
      <c r="B5542">
        <v>1</v>
      </c>
    </row>
    <row r="5543" spans="1:2" x14ac:dyDescent="0.25">
      <c r="A5543" s="27"/>
      <c r="B5543">
        <v>1</v>
      </c>
    </row>
    <row r="5544" spans="1:2" x14ac:dyDescent="0.25">
      <c r="A5544" s="26"/>
      <c r="B5544">
        <v>1</v>
      </c>
    </row>
    <row r="5545" spans="1:2" x14ac:dyDescent="0.25">
      <c r="A5545" s="27"/>
      <c r="B5545">
        <v>1</v>
      </c>
    </row>
    <row r="5546" spans="1:2" x14ac:dyDescent="0.25">
      <c r="A5546" s="26"/>
      <c r="B5546">
        <v>1</v>
      </c>
    </row>
    <row r="5547" spans="1:2" x14ac:dyDescent="0.25">
      <c r="A5547" s="27"/>
      <c r="B5547">
        <v>1</v>
      </c>
    </row>
    <row r="5548" spans="1:2" x14ac:dyDescent="0.25">
      <c r="A5548" s="26"/>
      <c r="B5548">
        <v>1</v>
      </c>
    </row>
    <row r="5549" spans="1:2" x14ac:dyDescent="0.25">
      <c r="A5549" s="27"/>
      <c r="B5549">
        <v>1</v>
      </c>
    </row>
    <row r="5550" spans="1:2" x14ac:dyDescent="0.25">
      <c r="A5550" s="26"/>
      <c r="B5550">
        <v>1</v>
      </c>
    </row>
    <row r="5551" spans="1:2" x14ac:dyDescent="0.25">
      <c r="A5551" s="27"/>
      <c r="B5551">
        <v>1</v>
      </c>
    </row>
    <row r="5552" spans="1:2" x14ac:dyDescent="0.25">
      <c r="A5552" s="26"/>
      <c r="B5552">
        <v>1</v>
      </c>
    </row>
    <row r="5553" spans="1:2" x14ac:dyDescent="0.25">
      <c r="A5553" s="27"/>
      <c r="B5553">
        <v>1</v>
      </c>
    </row>
    <row r="5554" spans="1:2" x14ac:dyDescent="0.25">
      <c r="A5554" s="26"/>
      <c r="B5554">
        <v>1</v>
      </c>
    </row>
    <row r="5555" spans="1:2" x14ac:dyDescent="0.25">
      <c r="A5555" s="27"/>
      <c r="B5555">
        <v>1</v>
      </c>
    </row>
    <row r="5556" spans="1:2" x14ac:dyDescent="0.25">
      <c r="A5556" s="26"/>
      <c r="B5556">
        <v>1</v>
      </c>
    </row>
    <row r="5557" spans="1:2" x14ac:dyDescent="0.25">
      <c r="A5557" s="27"/>
      <c r="B5557">
        <v>1</v>
      </c>
    </row>
    <row r="5558" spans="1:2" x14ac:dyDescent="0.25">
      <c r="A5558" s="26"/>
      <c r="B5558">
        <v>1</v>
      </c>
    </row>
    <row r="5559" spans="1:2" x14ac:dyDescent="0.25">
      <c r="A5559" s="27"/>
      <c r="B5559">
        <v>1</v>
      </c>
    </row>
    <row r="5560" spans="1:2" x14ac:dyDescent="0.25">
      <c r="A5560" s="26"/>
      <c r="B5560">
        <v>1</v>
      </c>
    </row>
    <row r="5561" spans="1:2" x14ac:dyDescent="0.25">
      <c r="A5561" s="27"/>
      <c r="B5561">
        <v>1</v>
      </c>
    </row>
    <row r="5562" spans="1:2" x14ac:dyDescent="0.25">
      <c r="A5562" s="26"/>
      <c r="B5562">
        <v>1</v>
      </c>
    </row>
    <row r="5563" spans="1:2" x14ac:dyDescent="0.25">
      <c r="A5563" s="27"/>
      <c r="B5563">
        <v>1</v>
      </c>
    </row>
    <row r="5564" spans="1:2" x14ac:dyDescent="0.25">
      <c r="A5564" s="26"/>
      <c r="B5564">
        <v>1</v>
      </c>
    </row>
    <row r="5565" spans="1:2" x14ac:dyDescent="0.25">
      <c r="A5565" s="27"/>
      <c r="B5565">
        <v>1</v>
      </c>
    </row>
    <row r="5566" spans="1:2" x14ac:dyDescent="0.25">
      <c r="A5566" s="26"/>
      <c r="B5566">
        <v>1</v>
      </c>
    </row>
    <row r="5567" spans="1:2" x14ac:dyDescent="0.25">
      <c r="A5567" s="27"/>
      <c r="B5567">
        <v>1</v>
      </c>
    </row>
    <row r="5568" spans="1:2" x14ac:dyDescent="0.25">
      <c r="A5568" s="26"/>
      <c r="B5568">
        <v>1</v>
      </c>
    </row>
    <row r="5569" spans="1:2" x14ac:dyDescent="0.25">
      <c r="A5569" s="27"/>
      <c r="B5569">
        <v>1</v>
      </c>
    </row>
    <row r="5570" spans="1:2" x14ac:dyDescent="0.25">
      <c r="A5570" s="26"/>
      <c r="B5570">
        <v>1</v>
      </c>
    </row>
    <row r="5571" spans="1:2" x14ac:dyDescent="0.25">
      <c r="A5571" s="27"/>
      <c r="B5571">
        <v>1</v>
      </c>
    </row>
    <row r="5572" spans="1:2" x14ac:dyDescent="0.25">
      <c r="A5572" s="26"/>
      <c r="B5572">
        <v>1</v>
      </c>
    </row>
    <row r="5573" spans="1:2" x14ac:dyDescent="0.25">
      <c r="A5573" s="27"/>
      <c r="B5573">
        <v>1</v>
      </c>
    </row>
    <row r="5574" spans="1:2" x14ac:dyDescent="0.25">
      <c r="A5574" s="26"/>
      <c r="B5574">
        <v>1</v>
      </c>
    </row>
    <row r="5575" spans="1:2" x14ac:dyDescent="0.25">
      <c r="A5575" s="27"/>
      <c r="B5575">
        <v>1</v>
      </c>
    </row>
    <row r="5576" spans="1:2" x14ac:dyDescent="0.25">
      <c r="A5576" s="26"/>
      <c r="B5576">
        <v>1</v>
      </c>
    </row>
    <row r="5577" spans="1:2" x14ac:dyDescent="0.25">
      <c r="A5577" s="27"/>
      <c r="B5577">
        <v>1</v>
      </c>
    </row>
    <row r="5578" spans="1:2" x14ac:dyDescent="0.25">
      <c r="A5578" s="26"/>
      <c r="B5578">
        <v>1</v>
      </c>
    </row>
    <row r="5579" spans="1:2" x14ac:dyDescent="0.25">
      <c r="A5579" s="27"/>
      <c r="B5579">
        <v>1</v>
      </c>
    </row>
    <row r="5580" spans="1:2" x14ac:dyDescent="0.25">
      <c r="A5580" s="26"/>
      <c r="B5580">
        <v>1</v>
      </c>
    </row>
    <row r="5581" spans="1:2" x14ac:dyDescent="0.25">
      <c r="A5581" s="27"/>
      <c r="B5581">
        <v>1</v>
      </c>
    </row>
    <row r="5582" spans="1:2" x14ac:dyDescent="0.25">
      <c r="A5582" s="26"/>
      <c r="B5582">
        <v>1</v>
      </c>
    </row>
    <row r="5583" spans="1:2" x14ac:dyDescent="0.25">
      <c r="A5583" s="27"/>
      <c r="B5583">
        <v>1</v>
      </c>
    </row>
    <row r="5584" spans="1:2" x14ac:dyDescent="0.25">
      <c r="A5584" s="26"/>
      <c r="B5584">
        <v>1</v>
      </c>
    </row>
    <row r="5585" spans="1:2" x14ac:dyDescent="0.25">
      <c r="A5585" s="27"/>
      <c r="B5585">
        <v>1</v>
      </c>
    </row>
    <row r="5586" spans="1:2" x14ac:dyDescent="0.25">
      <c r="A5586" s="26"/>
      <c r="B5586">
        <v>1</v>
      </c>
    </row>
    <row r="5587" spans="1:2" x14ac:dyDescent="0.25">
      <c r="A5587" s="27"/>
      <c r="B5587">
        <v>1</v>
      </c>
    </row>
    <row r="5588" spans="1:2" x14ac:dyDescent="0.25">
      <c r="A5588" s="26"/>
      <c r="B5588">
        <v>1</v>
      </c>
    </row>
    <row r="5589" spans="1:2" x14ac:dyDescent="0.25">
      <c r="A5589" s="27"/>
      <c r="B5589">
        <v>1</v>
      </c>
    </row>
    <row r="5590" spans="1:2" x14ac:dyDescent="0.25">
      <c r="A5590" s="26"/>
      <c r="B5590">
        <v>1</v>
      </c>
    </row>
    <row r="5591" spans="1:2" x14ac:dyDescent="0.25">
      <c r="A5591" s="27"/>
      <c r="B5591">
        <v>1</v>
      </c>
    </row>
    <row r="5592" spans="1:2" x14ac:dyDescent="0.25">
      <c r="A5592" s="26"/>
      <c r="B5592">
        <v>1</v>
      </c>
    </row>
    <row r="5593" spans="1:2" x14ac:dyDescent="0.25">
      <c r="A5593" s="27"/>
      <c r="B5593">
        <v>1</v>
      </c>
    </row>
    <row r="5594" spans="1:2" x14ac:dyDescent="0.25">
      <c r="A5594" s="26"/>
      <c r="B5594">
        <v>1</v>
      </c>
    </row>
    <row r="5595" spans="1:2" x14ac:dyDescent="0.25">
      <c r="A5595" s="27"/>
      <c r="B5595">
        <v>1</v>
      </c>
    </row>
    <row r="5596" spans="1:2" x14ac:dyDescent="0.25">
      <c r="A5596" s="26"/>
      <c r="B5596">
        <v>1</v>
      </c>
    </row>
    <row r="5597" spans="1:2" x14ac:dyDescent="0.25">
      <c r="A5597" s="27"/>
      <c r="B5597">
        <v>1</v>
      </c>
    </row>
    <row r="5598" spans="1:2" x14ac:dyDescent="0.25">
      <c r="A5598" s="26"/>
      <c r="B5598">
        <v>1</v>
      </c>
    </row>
    <row r="5599" spans="1:2" x14ac:dyDescent="0.25">
      <c r="A5599" s="27"/>
      <c r="B5599">
        <v>1</v>
      </c>
    </row>
    <row r="5600" spans="1:2" x14ac:dyDescent="0.25">
      <c r="A5600" s="26"/>
      <c r="B5600">
        <v>1</v>
      </c>
    </row>
    <row r="5601" spans="1:2" x14ac:dyDescent="0.25">
      <c r="A5601" s="27"/>
      <c r="B5601">
        <v>1</v>
      </c>
    </row>
    <row r="5602" spans="1:2" x14ac:dyDescent="0.25">
      <c r="A5602" s="26"/>
      <c r="B5602">
        <v>1</v>
      </c>
    </row>
    <row r="5603" spans="1:2" x14ac:dyDescent="0.25">
      <c r="A5603" s="27"/>
      <c r="B5603">
        <v>1</v>
      </c>
    </row>
    <row r="5604" spans="1:2" x14ac:dyDescent="0.25">
      <c r="A5604" s="26"/>
      <c r="B5604">
        <v>1</v>
      </c>
    </row>
    <row r="5605" spans="1:2" x14ac:dyDescent="0.25">
      <c r="A5605" s="27"/>
      <c r="B5605">
        <v>1</v>
      </c>
    </row>
    <row r="5606" spans="1:2" x14ac:dyDescent="0.25">
      <c r="A5606" s="26"/>
      <c r="B5606">
        <v>1</v>
      </c>
    </row>
    <row r="5607" spans="1:2" x14ac:dyDescent="0.25">
      <c r="A5607" s="27"/>
      <c r="B5607">
        <v>1</v>
      </c>
    </row>
    <row r="5608" spans="1:2" x14ac:dyDescent="0.25">
      <c r="A5608" s="26"/>
      <c r="B5608">
        <v>1</v>
      </c>
    </row>
    <row r="5609" spans="1:2" x14ac:dyDescent="0.25">
      <c r="A5609" s="27"/>
      <c r="B5609">
        <v>1</v>
      </c>
    </row>
    <row r="5610" spans="1:2" x14ac:dyDescent="0.25">
      <c r="A5610" s="26"/>
      <c r="B5610">
        <v>1</v>
      </c>
    </row>
    <row r="5611" spans="1:2" x14ac:dyDescent="0.25">
      <c r="A5611" s="27"/>
      <c r="B5611">
        <v>1</v>
      </c>
    </row>
    <row r="5612" spans="1:2" x14ac:dyDescent="0.25">
      <c r="A5612" s="26"/>
      <c r="B5612">
        <v>1</v>
      </c>
    </row>
    <row r="5613" spans="1:2" x14ac:dyDescent="0.25">
      <c r="A5613" s="27"/>
      <c r="B5613">
        <v>1</v>
      </c>
    </row>
    <row r="5614" spans="1:2" x14ac:dyDescent="0.25">
      <c r="A5614" s="26"/>
      <c r="B5614">
        <v>1</v>
      </c>
    </row>
    <row r="5615" spans="1:2" x14ac:dyDescent="0.25">
      <c r="A5615" s="27"/>
      <c r="B5615">
        <v>1</v>
      </c>
    </row>
    <row r="5616" spans="1:2" x14ac:dyDescent="0.25">
      <c r="A5616" s="26"/>
      <c r="B5616">
        <v>1</v>
      </c>
    </row>
    <row r="5617" spans="1:2" x14ac:dyDescent="0.25">
      <c r="A5617" s="27"/>
      <c r="B5617">
        <v>1</v>
      </c>
    </row>
    <row r="5618" spans="1:2" x14ac:dyDescent="0.25">
      <c r="A5618" s="26"/>
      <c r="B5618">
        <v>1</v>
      </c>
    </row>
    <row r="5619" spans="1:2" x14ac:dyDescent="0.25">
      <c r="A5619" s="27"/>
      <c r="B5619">
        <v>1</v>
      </c>
    </row>
    <row r="5620" spans="1:2" x14ac:dyDescent="0.25">
      <c r="A5620" s="26"/>
      <c r="B5620">
        <v>1</v>
      </c>
    </row>
    <row r="5621" spans="1:2" x14ac:dyDescent="0.25">
      <c r="A5621" s="27"/>
      <c r="B5621">
        <v>1</v>
      </c>
    </row>
    <row r="5622" spans="1:2" x14ac:dyDescent="0.25">
      <c r="A5622" s="26"/>
      <c r="B5622">
        <v>1</v>
      </c>
    </row>
    <row r="5623" spans="1:2" x14ac:dyDescent="0.25">
      <c r="A5623" s="27"/>
      <c r="B5623">
        <v>1</v>
      </c>
    </row>
    <row r="5624" spans="1:2" x14ac:dyDescent="0.25">
      <c r="A5624" s="26"/>
      <c r="B5624">
        <v>1</v>
      </c>
    </row>
    <row r="5625" spans="1:2" x14ac:dyDescent="0.25">
      <c r="A5625" s="27"/>
      <c r="B5625">
        <v>1</v>
      </c>
    </row>
    <row r="5626" spans="1:2" x14ac:dyDescent="0.25">
      <c r="A5626" s="26"/>
      <c r="B5626">
        <v>1</v>
      </c>
    </row>
    <row r="5627" spans="1:2" x14ac:dyDescent="0.25">
      <c r="A5627" s="27"/>
      <c r="B5627">
        <v>1</v>
      </c>
    </row>
    <row r="5628" spans="1:2" x14ac:dyDescent="0.25">
      <c r="A5628" s="26"/>
      <c r="B5628">
        <v>1</v>
      </c>
    </row>
    <row r="5629" spans="1:2" x14ac:dyDescent="0.25">
      <c r="A5629" s="27"/>
      <c r="B5629">
        <v>1</v>
      </c>
    </row>
    <row r="5630" spans="1:2" x14ac:dyDescent="0.25">
      <c r="A5630" s="26"/>
      <c r="B5630">
        <v>1</v>
      </c>
    </row>
    <row r="5631" spans="1:2" x14ac:dyDescent="0.25">
      <c r="A5631" s="27"/>
      <c r="B5631">
        <v>1</v>
      </c>
    </row>
    <row r="5632" spans="1:2" x14ac:dyDescent="0.25">
      <c r="A5632" s="26"/>
      <c r="B5632">
        <v>1</v>
      </c>
    </row>
    <row r="5633" spans="1:2" x14ac:dyDescent="0.25">
      <c r="A5633" s="27"/>
      <c r="B5633">
        <v>1</v>
      </c>
    </row>
    <row r="5634" spans="1:2" x14ac:dyDescent="0.25">
      <c r="A5634" s="26"/>
      <c r="B5634">
        <v>1</v>
      </c>
    </row>
    <row r="5635" spans="1:2" x14ac:dyDescent="0.25">
      <c r="A5635" s="27"/>
      <c r="B5635">
        <v>1</v>
      </c>
    </row>
    <row r="5636" spans="1:2" x14ac:dyDescent="0.25">
      <c r="A5636" s="26"/>
      <c r="B5636">
        <v>1</v>
      </c>
    </row>
    <row r="5637" spans="1:2" x14ac:dyDescent="0.25">
      <c r="A5637" s="27"/>
      <c r="B5637">
        <v>1</v>
      </c>
    </row>
    <row r="5638" spans="1:2" x14ac:dyDescent="0.25">
      <c r="A5638" s="26"/>
      <c r="B5638">
        <v>1</v>
      </c>
    </row>
    <row r="5639" spans="1:2" x14ac:dyDescent="0.25">
      <c r="A5639" s="27"/>
      <c r="B5639">
        <v>1</v>
      </c>
    </row>
    <row r="5640" spans="1:2" x14ac:dyDescent="0.25">
      <c r="A5640" s="26"/>
      <c r="B5640">
        <v>1</v>
      </c>
    </row>
    <row r="5641" spans="1:2" x14ac:dyDescent="0.25">
      <c r="A5641" s="27"/>
      <c r="B5641">
        <v>1</v>
      </c>
    </row>
    <row r="5642" spans="1:2" x14ac:dyDescent="0.25">
      <c r="A5642" s="26"/>
      <c r="B5642">
        <v>1</v>
      </c>
    </row>
    <row r="5643" spans="1:2" x14ac:dyDescent="0.25">
      <c r="A5643" s="27"/>
      <c r="B5643">
        <v>1</v>
      </c>
    </row>
    <row r="5644" spans="1:2" x14ac:dyDescent="0.25">
      <c r="A5644" s="26"/>
      <c r="B5644">
        <v>1</v>
      </c>
    </row>
    <row r="5645" spans="1:2" x14ac:dyDescent="0.25">
      <c r="A5645" s="27"/>
      <c r="B5645">
        <v>1</v>
      </c>
    </row>
    <row r="5646" spans="1:2" x14ac:dyDescent="0.25">
      <c r="A5646" s="26"/>
      <c r="B5646">
        <v>1</v>
      </c>
    </row>
    <row r="5647" spans="1:2" x14ac:dyDescent="0.25">
      <c r="A5647" s="27"/>
      <c r="B5647">
        <v>1</v>
      </c>
    </row>
    <row r="5648" spans="1:2" x14ac:dyDescent="0.25">
      <c r="A5648" s="26"/>
      <c r="B5648">
        <v>1</v>
      </c>
    </row>
    <row r="5649" spans="1:2" x14ac:dyDescent="0.25">
      <c r="A5649" s="27"/>
      <c r="B5649">
        <v>1</v>
      </c>
    </row>
    <row r="5650" spans="1:2" x14ac:dyDescent="0.25">
      <c r="A5650" s="26"/>
      <c r="B5650">
        <v>1</v>
      </c>
    </row>
    <row r="5651" spans="1:2" x14ac:dyDescent="0.25">
      <c r="A5651" s="27"/>
      <c r="B5651">
        <v>1</v>
      </c>
    </row>
    <row r="5652" spans="1:2" x14ac:dyDescent="0.25">
      <c r="A5652" s="26"/>
      <c r="B5652">
        <v>1</v>
      </c>
    </row>
    <row r="5653" spans="1:2" x14ac:dyDescent="0.25">
      <c r="A5653" s="27"/>
      <c r="B5653">
        <v>1</v>
      </c>
    </row>
    <row r="5654" spans="1:2" x14ac:dyDescent="0.25">
      <c r="A5654" s="26"/>
      <c r="B5654">
        <v>1</v>
      </c>
    </row>
    <row r="5655" spans="1:2" x14ac:dyDescent="0.25">
      <c r="A5655" s="27"/>
      <c r="B5655">
        <v>1</v>
      </c>
    </row>
    <row r="5656" spans="1:2" x14ac:dyDescent="0.25">
      <c r="A5656" s="26"/>
      <c r="B5656">
        <v>1</v>
      </c>
    </row>
    <row r="5657" spans="1:2" x14ac:dyDescent="0.25">
      <c r="B5657">
        <v>1</v>
      </c>
    </row>
    <row r="5658" spans="1:2" x14ac:dyDescent="0.25">
      <c r="B5658">
        <v>1</v>
      </c>
    </row>
    <row r="5659" spans="1:2" x14ac:dyDescent="0.25">
      <c r="B5659">
        <v>1</v>
      </c>
    </row>
    <row r="5660" spans="1:2" x14ac:dyDescent="0.25">
      <c r="B5660">
        <v>1</v>
      </c>
    </row>
    <row r="5661" spans="1:2" x14ac:dyDescent="0.25">
      <c r="B5661">
        <v>1</v>
      </c>
    </row>
    <row r="5662" spans="1:2" x14ac:dyDescent="0.25">
      <c r="B5662">
        <v>1</v>
      </c>
    </row>
    <row r="5663" spans="1:2" x14ac:dyDescent="0.25">
      <c r="B5663">
        <v>1</v>
      </c>
    </row>
    <row r="5664" spans="1:2" x14ac:dyDescent="0.25">
      <c r="B5664">
        <v>1</v>
      </c>
    </row>
    <row r="5665" spans="2:2" x14ac:dyDescent="0.25">
      <c r="B5665">
        <v>1</v>
      </c>
    </row>
    <row r="5666" spans="2:2" x14ac:dyDescent="0.25">
      <c r="B5666">
        <v>1</v>
      </c>
    </row>
    <row r="5667" spans="2:2" x14ac:dyDescent="0.25">
      <c r="B5667">
        <v>1</v>
      </c>
    </row>
    <row r="5668" spans="2:2" x14ac:dyDescent="0.25">
      <c r="B5668">
        <v>1</v>
      </c>
    </row>
    <row r="5669" spans="2:2" x14ac:dyDescent="0.25">
      <c r="B5669">
        <v>1</v>
      </c>
    </row>
    <row r="5670" spans="2:2" x14ac:dyDescent="0.25">
      <c r="B5670">
        <v>1</v>
      </c>
    </row>
    <row r="5671" spans="2:2" x14ac:dyDescent="0.25">
      <c r="B5671">
        <v>1</v>
      </c>
    </row>
    <row r="5672" spans="2:2" x14ac:dyDescent="0.25">
      <c r="B5672">
        <v>1</v>
      </c>
    </row>
    <row r="5673" spans="2:2" x14ac:dyDescent="0.25">
      <c r="B5673">
        <v>1</v>
      </c>
    </row>
    <row r="5674" spans="2:2" x14ac:dyDescent="0.25">
      <c r="B5674">
        <v>1</v>
      </c>
    </row>
    <row r="5675" spans="2:2" x14ac:dyDescent="0.25">
      <c r="B5675">
        <v>1</v>
      </c>
    </row>
    <row r="5676" spans="2:2" x14ac:dyDescent="0.25">
      <c r="B5676">
        <v>1</v>
      </c>
    </row>
    <row r="5677" spans="2:2" x14ac:dyDescent="0.25">
      <c r="B5677">
        <v>1</v>
      </c>
    </row>
    <row r="5678" spans="2:2" x14ac:dyDescent="0.25">
      <c r="B5678">
        <v>1</v>
      </c>
    </row>
    <row r="5679" spans="2:2" x14ac:dyDescent="0.25">
      <c r="B5679">
        <v>1</v>
      </c>
    </row>
    <row r="5680" spans="2:2" x14ac:dyDescent="0.25">
      <c r="B5680">
        <v>1</v>
      </c>
    </row>
    <row r="5681" spans="2:2" x14ac:dyDescent="0.25">
      <c r="B5681">
        <v>1</v>
      </c>
    </row>
    <row r="5682" spans="2:2" x14ac:dyDescent="0.25">
      <c r="B5682">
        <v>1</v>
      </c>
    </row>
    <row r="5683" spans="2:2" x14ac:dyDescent="0.25">
      <c r="B5683">
        <v>1</v>
      </c>
    </row>
    <row r="5684" spans="2:2" x14ac:dyDescent="0.25">
      <c r="B5684">
        <v>1</v>
      </c>
    </row>
    <row r="5685" spans="2:2" x14ac:dyDescent="0.25">
      <c r="B5685">
        <v>1</v>
      </c>
    </row>
    <row r="5686" spans="2:2" x14ac:dyDescent="0.25">
      <c r="B5686">
        <v>1</v>
      </c>
    </row>
    <row r="5687" spans="2:2" x14ac:dyDescent="0.25">
      <c r="B5687">
        <v>1</v>
      </c>
    </row>
    <row r="5688" spans="2:2" x14ac:dyDescent="0.25">
      <c r="B5688">
        <v>1</v>
      </c>
    </row>
    <row r="5689" spans="2:2" x14ac:dyDescent="0.25">
      <c r="B5689">
        <v>1</v>
      </c>
    </row>
    <row r="5690" spans="2:2" x14ac:dyDescent="0.25">
      <c r="B5690">
        <v>1</v>
      </c>
    </row>
    <row r="5691" spans="2:2" x14ac:dyDescent="0.25">
      <c r="B5691">
        <v>1</v>
      </c>
    </row>
    <row r="5692" spans="2:2" x14ac:dyDescent="0.25">
      <c r="B5692">
        <v>1</v>
      </c>
    </row>
    <row r="5693" spans="2:2" x14ac:dyDescent="0.25">
      <c r="B5693">
        <v>1</v>
      </c>
    </row>
    <row r="5694" spans="2:2" x14ac:dyDescent="0.25">
      <c r="B5694">
        <v>1</v>
      </c>
    </row>
    <row r="5695" spans="2:2" x14ac:dyDescent="0.25">
      <c r="B5695">
        <v>1</v>
      </c>
    </row>
    <row r="5696" spans="2:2" x14ac:dyDescent="0.25">
      <c r="B5696">
        <v>1</v>
      </c>
    </row>
    <row r="5697" spans="2:2" x14ac:dyDescent="0.25">
      <c r="B5697">
        <v>1</v>
      </c>
    </row>
    <row r="5698" spans="2:2" x14ac:dyDescent="0.25">
      <c r="B5698">
        <v>1</v>
      </c>
    </row>
    <row r="5699" spans="2:2" x14ac:dyDescent="0.25">
      <c r="B5699">
        <v>1</v>
      </c>
    </row>
    <row r="5700" spans="2:2" x14ac:dyDescent="0.25">
      <c r="B5700">
        <v>1</v>
      </c>
    </row>
    <row r="5701" spans="2:2" x14ac:dyDescent="0.25">
      <c r="B5701">
        <v>1</v>
      </c>
    </row>
    <row r="5702" spans="2:2" x14ac:dyDescent="0.25">
      <c r="B5702">
        <v>1</v>
      </c>
    </row>
    <row r="5703" spans="2:2" x14ac:dyDescent="0.25">
      <c r="B5703">
        <v>1</v>
      </c>
    </row>
    <row r="5704" spans="2:2" x14ac:dyDescent="0.25">
      <c r="B5704">
        <v>1</v>
      </c>
    </row>
    <row r="5705" spans="2:2" x14ac:dyDescent="0.25">
      <c r="B5705">
        <v>1</v>
      </c>
    </row>
    <row r="5706" spans="2:2" x14ac:dyDescent="0.25">
      <c r="B5706">
        <v>1</v>
      </c>
    </row>
    <row r="5707" spans="2:2" x14ac:dyDescent="0.25">
      <c r="B5707">
        <v>1</v>
      </c>
    </row>
    <row r="5708" spans="2:2" x14ac:dyDescent="0.25">
      <c r="B5708">
        <v>1</v>
      </c>
    </row>
    <row r="5709" spans="2:2" x14ac:dyDescent="0.25">
      <c r="B5709">
        <v>1</v>
      </c>
    </row>
    <row r="5710" spans="2:2" x14ac:dyDescent="0.25">
      <c r="B5710">
        <v>1</v>
      </c>
    </row>
    <row r="5711" spans="2:2" x14ac:dyDescent="0.25">
      <c r="B5711">
        <v>1</v>
      </c>
    </row>
    <row r="5712" spans="2:2" x14ac:dyDescent="0.25">
      <c r="B5712">
        <v>1</v>
      </c>
    </row>
    <row r="5713" spans="2:2" x14ac:dyDescent="0.25">
      <c r="B5713">
        <v>1</v>
      </c>
    </row>
    <row r="5714" spans="2:2" x14ac:dyDescent="0.25">
      <c r="B5714">
        <v>1</v>
      </c>
    </row>
    <row r="5715" spans="2:2" x14ac:dyDescent="0.25">
      <c r="B5715">
        <v>1</v>
      </c>
    </row>
    <row r="5716" spans="2:2" x14ac:dyDescent="0.25">
      <c r="B5716">
        <v>1</v>
      </c>
    </row>
    <row r="5717" spans="2:2" x14ac:dyDescent="0.25">
      <c r="B5717">
        <v>1</v>
      </c>
    </row>
    <row r="5718" spans="2:2" x14ac:dyDescent="0.25">
      <c r="B5718">
        <v>1</v>
      </c>
    </row>
    <row r="5719" spans="2:2" x14ac:dyDescent="0.25">
      <c r="B5719">
        <v>1</v>
      </c>
    </row>
    <row r="5720" spans="2:2" x14ac:dyDescent="0.25">
      <c r="B5720">
        <v>1</v>
      </c>
    </row>
    <row r="5721" spans="2:2" x14ac:dyDescent="0.25">
      <c r="B5721">
        <v>1</v>
      </c>
    </row>
    <row r="5722" spans="2:2" x14ac:dyDescent="0.25">
      <c r="B5722">
        <v>1</v>
      </c>
    </row>
    <row r="5723" spans="2:2" x14ac:dyDescent="0.25">
      <c r="B5723">
        <v>1</v>
      </c>
    </row>
    <row r="5724" spans="2:2" x14ac:dyDescent="0.25">
      <c r="B5724">
        <v>1</v>
      </c>
    </row>
    <row r="5725" spans="2:2" x14ac:dyDescent="0.25">
      <c r="B5725">
        <v>1</v>
      </c>
    </row>
    <row r="5726" spans="2:2" x14ac:dyDescent="0.25">
      <c r="B5726">
        <v>1</v>
      </c>
    </row>
    <row r="5727" spans="2:2" x14ac:dyDescent="0.25">
      <c r="B5727">
        <v>1</v>
      </c>
    </row>
    <row r="5728" spans="2:2" x14ac:dyDescent="0.25">
      <c r="B5728">
        <v>1</v>
      </c>
    </row>
    <row r="5729" spans="2:2" x14ac:dyDescent="0.25">
      <c r="B5729">
        <v>1</v>
      </c>
    </row>
    <row r="5730" spans="2:2" x14ac:dyDescent="0.25">
      <c r="B5730">
        <v>1</v>
      </c>
    </row>
    <row r="5731" spans="2:2" x14ac:dyDescent="0.25">
      <c r="B5731">
        <v>1</v>
      </c>
    </row>
    <row r="5732" spans="2:2" x14ac:dyDescent="0.25">
      <c r="B5732">
        <v>1</v>
      </c>
    </row>
    <row r="5733" spans="2:2" x14ac:dyDescent="0.25">
      <c r="B5733">
        <v>1</v>
      </c>
    </row>
    <row r="5734" spans="2:2" x14ac:dyDescent="0.25">
      <c r="B5734">
        <v>1</v>
      </c>
    </row>
    <row r="5735" spans="2:2" x14ac:dyDescent="0.25">
      <c r="B5735">
        <v>1</v>
      </c>
    </row>
    <row r="5736" spans="2:2" x14ac:dyDescent="0.25">
      <c r="B5736">
        <v>1</v>
      </c>
    </row>
    <row r="5737" spans="2:2" x14ac:dyDescent="0.25">
      <c r="B5737">
        <v>1</v>
      </c>
    </row>
    <row r="5738" spans="2:2" x14ac:dyDescent="0.25">
      <c r="B5738">
        <v>1</v>
      </c>
    </row>
    <row r="5739" spans="2:2" x14ac:dyDescent="0.25">
      <c r="B5739">
        <v>1</v>
      </c>
    </row>
    <row r="5740" spans="2:2" x14ac:dyDescent="0.25">
      <c r="B5740">
        <v>1</v>
      </c>
    </row>
    <row r="5741" spans="2:2" x14ac:dyDescent="0.25">
      <c r="B5741">
        <v>1</v>
      </c>
    </row>
    <row r="5742" spans="2:2" x14ac:dyDescent="0.25">
      <c r="B5742">
        <v>1</v>
      </c>
    </row>
    <row r="5743" spans="2:2" x14ac:dyDescent="0.25">
      <c r="B5743">
        <v>1</v>
      </c>
    </row>
    <row r="5744" spans="2:2" x14ac:dyDescent="0.25">
      <c r="B5744">
        <v>1</v>
      </c>
    </row>
    <row r="5745" spans="2:2" x14ac:dyDescent="0.25">
      <c r="B5745">
        <v>1</v>
      </c>
    </row>
    <row r="5746" spans="2:2" x14ac:dyDescent="0.25">
      <c r="B5746">
        <v>1</v>
      </c>
    </row>
    <row r="5747" spans="2:2" x14ac:dyDescent="0.25">
      <c r="B5747">
        <v>1</v>
      </c>
    </row>
    <row r="5748" spans="2:2" x14ac:dyDescent="0.25">
      <c r="B5748">
        <v>1</v>
      </c>
    </row>
    <row r="5749" spans="2:2" x14ac:dyDescent="0.25">
      <c r="B5749">
        <v>1</v>
      </c>
    </row>
    <row r="5750" spans="2:2" x14ac:dyDescent="0.25">
      <c r="B5750">
        <v>1</v>
      </c>
    </row>
    <row r="5751" spans="2:2" x14ac:dyDescent="0.25">
      <c r="B5751">
        <v>1</v>
      </c>
    </row>
    <row r="5752" spans="2:2" x14ac:dyDescent="0.25">
      <c r="B5752">
        <v>1</v>
      </c>
    </row>
    <row r="5753" spans="2:2" x14ac:dyDescent="0.25">
      <c r="B5753">
        <v>1</v>
      </c>
    </row>
    <row r="5754" spans="2:2" x14ac:dyDescent="0.25">
      <c r="B5754">
        <v>1</v>
      </c>
    </row>
    <row r="5755" spans="2:2" x14ac:dyDescent="0.25">
      <c r="B5755">
        <v>1</v>
      </c>
    </row>
    <row r="5756" spans="2:2" x14ac:dyDescent="0.25">
      <c r="B5756">
        <v>1</v>
      </c>
    </row>
    <row r="5757" spans="2:2" x14ac:dyDescent="0.25">
      <c r="B5757">
        <v>1</v>
      </c>
    </row>
    <row r="5758" spans="2:2" x14ac:dyDescent="0.25">
      <c r="B5758">
        <v>1</v>
      </c>
    </row>
    <row r="5759" spans="2:2" x14ac:dyDescent="0.25">
      <c r="B5759">
        <v>1</v>
      </c>
    </row>
    <row r="5760" spans="2:2" x14ac:dyDescent="0.25">
      <c r="B5760">
        <v>1</v>
      </c>
    </row>
    <row r="5761" spans="2:2" x14ac:dyDescent="0.25">
      <c r="B5761">
        <v>1</v>
      </c>
    </row>
    <row r="5762" spans="2:2" x14ac:dyDescent="0.25">
      <c r="B5762">
        <v>1</v>
      </c>
    </row>
    <row r="5763" spans="2:2" x14ac:dyDescent="0.25">
      <c r="B5763">
        <v>1</v>
      </c>
    </row>
    <row r="5764" spans="2:2" x14ac:dyDescent="0.25">
      <c r="B5764">
        <v>1</v>
      </c>
    </row>
    <row r="5765" spans="2:2" x14ac:dyDescent="0.25">
      <c r="B5765">
        <v>1</v>
      </c>
    </row>
    <row r="5766" spans="2:2" x14ac:dyDescent="0.25">
      <c r="B5766">
        <v>1</v>
      </c>
    </row>
    <row r="5767" spans="2:2" x14ac:dyDescent="0.25">
      <c r="B5767">
        <v>1</v>
      </c>
    </row>
    <row r="5768" spans="2:2" x14ac:dyDescent="0.25">
      <c r="B5768">
        <v>1</v>
      </c>
    </row>
    <row r="5769" spans="2:2" x14ac:dyDescent="0.25">
      <c r="B5769">
        <v>1</v>
      </c>
    </row>
    <row r="5770" spans="2:2" x14ac:dyDescent="0.25">
      <c r="B5770">
        <v>1</v>
      </c>
    </row>
    <row r="5771" spans="2:2" x14ac:dyDescent="0.25">
      <c r="B5771">
        <v>1</v>
      </c>
    </row>
    <row r="5772" spans="2:2" x14ac:dyDescent="0.25">
      <c r="B5772">
        <v>1</v>
      </c>
    </row>
    <row r="5773" spans="2:2" x14ac:dyDescent="0.25">
      <c r="B5773">
        <v>1</v>
      </c>
    </row>
    <row r="5774" spans="2:2" x14ac:dyDescent="0.25">
      <c r="B5774">
        <v>1</v>
      </c>
    </row>
    <row r="5775" spans="2:2" x14ac:dyDescent="0.25">
      <c r="B5775">
        <v>1</v>
      </c>
    </row>
    <row r="5776" spans="2:2" x14ac:dyDescent="0.25">
      <c r="B5776">
        <v>1</v>
      </c>
    </row>
    <row r="5777" spans="2:2" x14ac:dyDescent="0.25">
      <c r="B5777">
        <v>1</v>
      </c>
    </row>
    <row r="5778" spans="2:2" x14ac:dyDescent="0.25">
      <c r="B5778">
        <v>1</v>
      </c>
    </row>
    <row r="5779" spans="2:2" x14ac:dyDescent="0.25">
      <c r="B5779">
        <v>1</v>
      </c>
    </row>
    <row r="5780" spans="2:2" x14ac:dyDescent="0.25">
      <c r="B5780">
        <v>1</v>
      </c>
    </row>
    <row r="5781" spans="2:2" x14ac:dyDescent="0.25">
      <c r="B5781">
        <v>1</v>
      </c>
    </row>
    <row r="5782" spans="2:2" x14ac:dyDescent="0.25">
      <c r="B5782">
        <v>1</v>
      </c>
    </row>
    <row r="5783" spans="2:2" x14ac:dyDescent="0.25">
      <c r="B5783">
        <v>1</v>
      </c>
    </row>
    <row r="5784" spans="2:2" x14ac:dyDescent="0.25">
      <c r="B5784">
        <v>1</v>
      </c>
    </row>
    <row r="5785" spans="2:2" x14ac:dyDescent="0.25">
      <c r="B5785">
        <v>1</v>
      </c>
    </row>
    <row r="5786" spans="2:2" x14ac:dyDescent="0.25">
      <c r="B5786">
        <v>1</v>
      </c>
    </row>
    <row r="5787" spans="2:2" x14ac:dyDescent="0.25">
      <c r="B5787">
        <v>1</v>
      </c>
    </row>
    <row r="5788" spans="2:2" x14ac:dyDescent="0.25">
      <c r="B5788">
        <v>1</v>
      </c>
    </row>
    <row r="5789" spans="2:2" x14ac:dyDescent="0.25">
      <c r="B5789">
        <v>1</v>
      </c>
    </row>
    <row r="5790" spans="2:2" x14ac:dyDescent="0.25">
      <c r="B5790">
        <v>1</v>
      </c>
    </row>
    <row r="5791" spans="2:2" x14ac:dyDescent="0.25">
      <c r="B5791">
        <v>1</v>
      </c>
    </row>
    <row r="5792" spans="2:2" x14ac:dyDescent="0.25">
      <c r="B5792">
        <v>1</v>
      </c>
    </row>
    <row r="5793" spans="2:2" x14ac:dyDescent="0.25">
      <c r="B5793">
        <v>1</v>
      </c>
    </row>
    <row r="5794" spans="2:2" x14ac:dyDescent="0.25">
      <c r="B5794">
        <v>1</v>
      </c>
    </row>
    <row r="5795" spans="2:2" x14ac:dyDescent="0.25">
      <c r="B5795">
        <v>1</v>
      </c>
    </row>
    <row r="5796" spans="2:2" x14ac:dyDescent="0.25">
      <c r="B5796">
        <v>1</v>
      </c>
    </row>
    <row r="5797" spans="2:2" x14ac:dyDescent="0.25">
      <c r="B5797">
        <v>1</v>
      </c>
    </row>
    <row r="5798" spans="2:2" x14ac:dyDescent="0.25">
      <c r="B5798">
        <v>1</v>
      </c>
    </row>
    <row r="5799" spans="2:2" x14ac:dyDescent="0.25">
      <c r="B5799">
        <v>1</v>
      </c>
    </row>
    <row r="5800" spans="2:2" x14ac:dyDescent="0.25">
      <c r="B5800">
        <v>1</v>
      </c>
    </row>
    <row r="5801" spans="2:2" x14ac:dyDescent="0.25">
      <c r="B5801">
        <v>1</v>
      </c>
    </row>
    <row r="5802" spans="2:2" x14ac:dyDescent="0.25">
      <c r="B5802">
        <v>1</v>
      </c>
    </row>
    <row r="5803" spans="2:2" x14ac:dyDescent="0.25">
      <c r="B5803">
        <v>1</v>
      </c>
    </row>
    <row r="5804" spans="2:2" x14ac:dyDescent="0.25">
      <c r="B5804">
        <v>1</v>
      </c>
    </row>
    <row r="5805" spans="2:2" x14ac:dyDescent="0.25">
      <c r="B5805">
        <v>1</v>
      </c>
    </row>
    <row r="5806" spans="2:2" x14ac:dyDescent="0.25">
      <c r="B5806">
        <v>1</v>
      </c>
    </row>
    <row r="5807" spans="2:2" x14ac:dyDescent="0.25">
      <c r="B5807">
        <v>1</v>
      </c>
    </row>
    <row r="5808" spans="2:2" x14ac:dyDescent="0.25">
      <c r="B5808">
        <v>1</v>
      </c>
    </row>
    <row r="5809" spans="2:2" x14ac:dyDescent="0.25">
      <c r="B5809">
        <v>1</v>
      </c>
    </row>
    <row r="5810" spans="2:2" x14ac:dyDescent="0.25">
      <c r="B5810">
        <v>1</v>
      </c>
    </row>
    <row r="5811" spans="2:2" x14ac:dyDescent="0.25">
      <c r="B5811">
        <v>1</v>
      </c>
    </row>
    <row r="5812" spans="2:2" x14ac:dyDescent="0.25">
      <c r="B5812">
        <v>1</v>
      </c>
    </row>
    <row r="5813" spans="2:2" x14ac:dyDescent="0.25">
      <c r="B5813">
        <v>1</v>
      </c>
    </row>
    <row r="5814" spans="2:2" x14ac:dyDescent="0.25">
      <c r="B5814">
        <v>1</v>
      </c>
    </row>
    <row r="5815" spans="2:2" x14ac:dyDescent="0.25">
      <c r="B5815">
        <v>1</v>
      </c>
    </row>
    <row r="5816" spans="2:2" x14ac:dyDescent="0.25">
      <c r="B5816">
        <v>1</v>
      </c>
    </row>
    <row r="5817" spans="2:2" x14ac:dyDescent="0.25">
      <c r="B5817">
        <v>1</v>
      </c>
    </row>
    <row r="5818" spans="2:2" x14ac:dyDescent="0.25">
      <c r="B5818">
        <v>1</v>
      </c>
    </row>
    <row r="5819" spans="2:2" x14ac:dyDescent="0.25">
      <c r="B5819">
        <v>1</v>
      </c>
    </row>
    <row r="5820" spans="2:2" x14ac:dyDescent="0.25">
      <c r="B5820">
        <v>1</v>
      </c>
    </row>
    <row r="5821" spans="2:2" x14ac:dyDescent="0.25">
      <c r="B5821">
        <v>1</v>
      </c>
    </row>
    <row r="5822" spans="2:2" x14ac:dyDescent="0.25">
      <c r="B5822">
        <v>1</v>
      </c>
    </row>
    <row r="5823" spans="2:2" x14ac:dyDescent="0.25">
      <c r="B5823">
        <v>1</v>
      </c>
    </row>
    <row r="5824" spans="2:2" x14ac:dyDescent="0.25">
      <c r="B5824">
        <v>1</v>
      </c>
    </row>
    <row r="5825" spans="2:2" x14ac:dyDescent="0.25">
      <c r="B5825">
        <v>1</v>
      </c>
    </row>
    <row r="5826" spans="2:2" x14ac:dyDescent="0.25">
      <c r="B5826">
        <v>1</v>
      </c>
    </row>
    <row r="5827" spans="2:2" x14ac:dyDescent="0.25">
      <c r="B5827">
        <v>1</v>
      </c>
    </row>
    <row r="5828" spans="2:2" x14ac:dyDescent="0.25">
      <c r="B5828">
        <v>1</v>
      </c>
    </row>
    <row r="5829" spans="2:2" x14ac:dyDescent="0.25">
      <c r="B5829">
        <v>1</v>
      </c>
    </row>
    <row r="5830" spans="2:2" x14ac:dyDescent="0.25">
      <c r="B5830">
        <v>1</v>
      </c>
    </row>
    <row r="5831" spans="2:2" x14ac:dyDescent="0.25">
      <c r="B5831">
        <v>1</v>
      </c>
    </row>
    <row r="5832" spans="2:2" x14ac:dyDescent="0.25">
      <c r="B5832">
        <v>1</v>
      </c>
    </row>
    <row r="5833" spans="2:2" x14ac:dyDescent="0.25">
      <c r="B5833">
        <v>1</v>
      </c>
    </row>
    <row r="5834" spans="2:2" x14ac:dyDescent="0.25">
      <c r="B5834">
        <v>1</v>
      </c>
    </row>
    <row r="5835" spans="2:2" x14ac:dyDescent="0.25">
      <c r="B5835">
        <v>1</v>
      </c>
    </row>
    <row r="5836" spans="2:2" x14ac:dyDescent="0.25">
      <c r="B5836">
        <v>1</v>
      </c>
    </row>
    <row r="5837" spans="2:2" x14ac:dyDescent="0.25">
      <c r="B5837">
        <v>1</v>
      </c>
    </row>
    <row r="5838" spans="2:2" x14ac:dyDescent="0.25">
      <c r="B5838">
        <v>1</v>
      </c>
    </row>
    <row r="5839" spans="2:2" x14ac:dyDescent="0.25">
      <c r="B5839">
        <v>1</v>
      </c>
    </row>
    <row r="5840" spans="2:2" x14ac:dyDescent="0.25">
      <c r="B5840">
        <v>1</v>
      </c>
    </row>
    <row r="5841" spans="2:2" x14ac:dyDescent="0.25">
      <c r="B5841">
        <v>1</v>
      </c>
    </row>
    <row r="5842" spans="2:2" x14ac:dyDescent="0.25">
      <c r="B5842">
        <v>1</v>
      </c>
    </row>
    <row r="5843" spans="2:2" x14ac:dyDescent="0.25">
      <c r="B5843">
        <v>1</v>
      </c>
    </row>
    <row r="5844" spans="2:2" x14ac:dyDescent="0.25">
      <c r="B5844">
        <v>1</v>
      </c>
    </row>
    <row r="5845" spans="2:2" x14ac:dyDescent="0.25">
      <c r="B5845">
        <v>1</v>
      </c>
    </row>
    <row r="5846" spans="2:2" x14ac:dyDescent="0.25">
      <c r="B5846">
        <v>1</v>
      </c>
    </row>
    <row r="5847" spans="2:2" x14ac:dyDescent="0.25">
      <c r="B5847">
        <v>1</v>
      </c>
    </row>
    <row r="5848" spans="2:2" x14ac:dyDescent="0.25">
      <c r="B5848">
        <v>1</v>
      </c>
    </row>
    <row r="5849" spans="2:2" x14ac:dyDescent="0.25">
      <c r="B5849">
        <v>1</v>
      </c>
    </row>
    <row r="5850" spans="2:2" x14ac:dyDescent="0.25">
      <c r="B5850">
        <v>1</v>
      </c>
    </row>
    <row r="5851" spans="2:2" x14ac:dyDescent="0.25">
      <c r="B5851">
        <v>1</v>
      </c>
    </row>
    <row r="5852" spans="2:2" x14ac:dyDescent="0.25">
      <c r="B5852">
        <v>1</v>
      </c>
    </row>
    <row r="5853" spans="2:2" x14ac:dyDescent="0.25">
      <c r="B5853">
        <v>1</v>
      </c>
    </row>
    <row r="5854" spans="2:2" x14ac:dyDescent="0.25">
      <c r="B5854">
        <v>1</v>
      </c>
    </row>
    <row r="5855" spans="2:2" x14ac:dyDescent="0.25">
      <c r="B5855">
        <v>1</v>
      </c>
    </row>
    <row r="5856" spans="2:2" x14ac:dyDescent="0.25">
      <c r="B5856">
        <v>1</v>
      </c>
    </row>
    <row r="5857" spans="2:2" x14ac:dyDescent="0.25">
      <c r="B5857">
        <v>1</v>
      </c>
    </row>
    <row r="5858" spans="2:2" x14ac:dyDescent="0.25">
      <c r="B5858">
        <v>1</v>
      </c>
    </row>
    <row r="5859" spans="2:2" x14ac:dyDescent="0.25">
      <c r="B5859">
        <v>1</v>
      </c>
    </row>
    <row r="5860" spans="2:2" x14ac:dyDescent="0.25">
      <c r="B5860">
        <v>1</v>
      </c>
    </row>
    <row r="5861" spans="2:2" x14ac:dyDescent="0.25">
      <c r="B5861">
        <v>1</v>
      </c>
    </row>
    <row r="5862" spans="2:2" x14ac:dyDescent="0.25">
      <c r="B5862">
        <v>1</v>
      </c>
    </row>
    <row r="5863" spans="2:2" x14ac:dyDescent="0.25">
      <c r="B5863">
        <v>1</v>
      </c>
    </row>
    <row r="5864" spans="2:2" x14ac:dyDescent="0.25">
      <c r="B5864">
        <v>1</v>
      </c>
    </row>
    <row r="5865" spans="2:2" x14ac:dyDescent="0.25">
      <c r="B5865">
        <v>1</v>
      </c>
    </row>
    <row r="5866" spans="2:2" x14ac:dyDescent="0.25">
      <c r="B5866">
        <v>1</v>
      </c>
    </row>
    <row r="5867" spans="2:2" x14ac:dyDescent="0.25">
      <c r="B5867">
        <v>1</v>
      </c>
    </row>
    <row r="5868" spans="2:2" x14ac:dyDescent="0.25">
      <c r="B5868">
        <v>1</v>
      </c>
    </row>
    <row r="5869" spans="2:2" x14ac:dyDescent="0.25">
      <c r="B5869">
        <v>1</v>
      </c>
    </row>
    <row r="5870" spans="2:2" x14ac:dyDescent="0.25">
      <c r="B5870">
        <v>1</v>
      </c>
    </row>
    <row r="5871" spans="2:2" x14ac:dyDescent="0.25">
      <c r="B5871">
        <v>1</v>
      </c>
    </row>
    <row r="5872" spans="2:2" x14ac:dyDescent="0.25">
      <c r="B5872">
        <v>1</v>
      </c>
    </row>
    <row r="5873" spans="2:2" x14ac:dyDescent="0.25">
      <c r="B5873">
        <v>1</v>
      </c>
    </row>
    <row r="5874" spans="2:2" x14ac:dyDescent="0.25">
      <c r="B5874">
        <v>1</v>
      </c>
    </row>
    <row r="5875" spans="2:2" x14ac:dyDescent="0.25">
      <c r="B5875">
        <v>1</v>
      </c>
    </row>
    <row r="5876" spans="2:2" x14ac:dyDescent="0.25">
      <c r="B5876">
        <v>1</v>
      </c>
    </row>
    <row r="5877" spans="2:2" x14ac:dyDescent="0.25">
      <c r="B5877">
        <v>1</v>
      </c>
    </row>
    <row r="5878" spans="2:2" x14ac:dyDescent="0.25">
      <c r="B5878">
        <v>1</v>
      </c>
    </row>
    <row r="5879" spans="2:2" x14ac:dyDescent="0.25">
      <c r="B5879">
        <v>1</v>
      </c>
    </row>
    <row r="5880" spans="2:2" x14ac:dyDescent="0.25">
      <c r="B5880">
        <v>1</v>
      </c>
    </row>
    <row r="5881" spans="2:2" x14ac:dyDescent="0.25">
      <c r="B5881">
        <v>1</v>
      </c>
    </row>
    <row r="5882" spans="2:2" x14ac:dyDescent="0.25">
      <c r="B5882">
        <v>1</v>
      </c>
    </row>
    <row r="5883" spans="2:2" x14ac:dyDescent="0.25">
      <c r="B5883">
        <v>1</v>
      </c>
    </row>
    <row r="5884" spans="2:2" x14ac:dyDescent="0.25">
      <c r="B5884">
        <v>1</v>
      </c>
    </row>
    <row r="5885" spans="2:2" x14ac:dyDescent="0.25">
      <c r="B5885">
        <v>1</v>
      </c>
    </row>
    <row r="5886" spans="2:2" x14ac:dyDescent="0.25">
      <c r="B5886">
        <v>1</v>
      </c>
    </row>
    <row r="5887" spans="2:2" x14ac:dyDescent="0.25">
      <c r="B5887">
        <v>1</v>
      </c>
    </row>
    <row r="5888" spans="2:2" x14ac:dyDescent="0.25">
      <c r="B5888">
        <v>1</v>
      </c>
    </row>
    <row r="5889" spans="2:2" x14ac:dyDescent="0.25">
      <c r="B5889">
        <v>1</v>
      </c>
    </row>
    <row r="5890" spans="2:2" x14ac:dyDescent="0.25">
      <c r="B5890">
        <v>1</v>
      </c>
    </row>
    <row r="5891" spans="2:2" x14ac:dyDescent="0.25">
      <c r="B5891">
        <v>1</v>
      </c>
    </row>
    <row r="5892" spans="2:2" x14ac:dyDescent="0.25">
      <c r="B5892">
        <v>1</v>
      </c>
    </row>
    <row r="5893" spans="2:2" x14ac:dyDescent="0.25">
      <c r="B5893">
        <v>1</v>
      </c>
    </row>
    <row r="5894" spans="2:2" x14ac:dyDescent="0.25">
      <c r="B5894">
        <v>1</v>
      </c>
    </row>
    <row r="5895" spans="2:2" x14ac:dyDescent="0.25">
      <c r="B5895">
        <v>1</v>
      </c>
    </row>
    <row r="5896" spans="2:2" x14ac:dyDescent="0.25">
      <c r="B5896">
        <v>1</v>
      </c>
    </row>
    <row r="5897" spans="2:2" x14ac:dyDescent="0.25">
      <c r="B5897">
        <v>1</v>
      </c>
    </row>
    <row r="5898" spans="2:2" x14ac:dyDescent="0.25">
      <c r="B5898">
        <v>1</v>
      </c>
    </row>
    <row r="5899" spans="2:2" x14ac:dyDescent="0.25">
      <c r="B5899">
        <v>1</v>
      </c>
    </row>
    <row r="5900" spans="2:2" x14ac:dyDescent="0.25">
      <c r="B5900">
        <v>1</v>
      </c>
    </row>
    <row r="5901" spans="2:2" x14ac:dyDescent="0.25">
      <c r="B5901">
        <v>1</v>
      </c>
    </row>
    <row r="5902" spans="2:2" x14ac:dyDescent="0.25">
      <c r="B5902">
        <v>1</v>
      </c>
    </row>
    <row r="5903" spans="2:2" x14ac:dyDescent="0.25">
      <c r="B5903">
        <v>1</v>
      </c>
    </row>
    <row r="5904" spans="2:2" x14ac:dyDescent="0.25">
      <c r="B5904">
        <v>1</v>
      </c>
    </row>
    <row r="5905" spans="2:2" x14ac:dyDescent="0.25">
      <c r="B5905">
        <v>1</v>
      </c>
    </row>
    <row r="5906" spans="2:2" x14ac:dyDescent="0.25">
      <c r="B5906">
        <v>1</v>
      </c>
    </row>
    <row r="5907" spans="2:2" x14ac:dyDescent="0.25">
      <c r="B5907">
        <v>1</v>
      </c>
    </row>
    <row r="5908" spans="2:2" x14ac:dyDescent="0.25">
      <c r="B5908">
        <v>1</v>
      </c>
    </row>
    <row r="5909" spans="2:2" x14ac:dyDescent="0.25">
      <c r="B5909">
        <v>1</v>
      </c>
    </row>
    <row r="5910" spans="2:2" x14ac:dyDescent="0.25">
      <c r="B5910">
        <v>1</v>
      </c>
    </row>
    <row r="5911" spans="2:2" x14ac:dyDescent="0.25">
      <c r="B5911">
        <v>1</v>
      </c>
    </row>
    <row r="5912" spans="2:2" x14ac:dyDescent="0.25">
      <c r="B5912">
        <v>1</v>
      </c>
    </row>
    <row r="5913" spans="2:2" x14ac:dyDescent="0.25">
      <c r="B5913">
        <v>1</v>
      </c>
    </row>
    <row r="5914" spans="2:2" x14ac:dyDescent="0.25">
      <c r="B5914">
        <v>1</v>
      </c>
    </row>
    <row r="5915" spans="2:2" x14ac:dyDescent="0.25">
      <c r="B5915">
        <v>1</v>
      </c>
    </row>
    <row r="5916" spans="2:2" x14ac:dyDescent="0.25">
      <c r="B5916">
        <v>1</v>
      </c>
    </row>
    <row r="5917" spans="2:2" x14ac:dyDescent="0.25">
      <c r="B5917">
        <v>1</v>
      </c>
    </row>
    <row r="5918" spans="2:2" x14ac:dyDescent="0.25">
      <c r="B5918">
        <v>1</v>
      </c>
    </row>
    <row r="5919" spans="2:2" x14ac:dyDescent="0.25">
      <c r="B5919">
        <v>1</v>
      </c>
    </row>
    <row r="5920" spans="2:2" x14ac:dyDescent="0.25">
      <c r="B5920">
        <v>1</v>
      </c>
    </row>
    <row r="5921" spans="2:2" x14ac:dyDescent="0.25">
      <c r="B5921">
        <v>1</v>
      </c>
    </row>
    <row r="5922" spans="2:2" x14ac:dyDescent="0.25">
      <c r="B5922">
        <v>1</v>
      </c>
    </row>
    <row r="5923" spans="2:2" x14ac:dyDescent="0.25">
      <c r="B5923">
        <v>1</v>
      </c>
    </row>
    <row r="5924" spans="2:2" x14ac:dyDescent="0.25">
      <c r="B5924">
        <v>1</v>
      </c>
    </row>
    <row r="5925" spans="2:2" x14ac:dyDescent="0.25">
      <c r="B5925">
        <v>1</v>
      </c>
    </row>
    <row r="5926" spans="2:2" x14ac:dyDescent="0.25">
      <c r="B5926">
        <v>1</v>
      </c>
    </row>
    <row r="5927" spans="2:2" x14ac:dyDescent="0.25">
      <c r="B5927">
        <v>1</v>
      </c>
    </row>
    <row r="5928" spans="2:2" x14ac:dyDescent="0.25">
      <c r="B5928">
        <v>1</v>
      </c>
    </row>
    <row r="5929" spans="2:2" x14ac:dyDescent="0.25">
      <c r="B5929">
        <v>1</v>
      </c>
    </row>
    <row r="5930" spans="2:2" x14ac:dyDescent="0.25">
      <c r="B5930">
        <v>1</v>
      </c>
    </row>
    <row r="5931" spans="2:2" x14ac:dyDescent="0.25">
      <c r="B5931">
        <v>1</v>
      </c>
    </row>
    <row r="5932" spans="2:2" x14ac:dyDescent="0.25">
      <c r="B5932">
        <v>1</v>
      </c>
    </row>
    <row r="5933" spans="2:2" x14ac:dyDescent="0.25">
      <c r="B5933">
        <v>1</v>
      </c>
    </row>
    <row r="5934" spans="2:2" x14ac:dyDescent="0.25">
      <c r="B5934">
        <v>1</v>
      </c>
    </row>
    <row r="5935" spans="2:2" x14ac:dyDescent="0.25">
      <c r="B5935">
        <v>1</v>
      </c>
    </row>
    <row r="5936" spans="2:2" x14ac:dyDescent="0.25">
      <c r="B5936">
        <v>1</v>
      </c>
    </row>
    <row r="5937" spans="2:2" x14ac:dyDescent="0.25">
      <c r="B5937">
        <v>1</v>
      </c>
    </row>
    <row r="5938" spans="2:2" x14ac:dyDescent="0.25">
      <c r="B5938">
        <v>1</v>
      </c>
    </row>
    <row r="5939" spans="2:2" x14ac:dyDescent="0.25">
      <c r="B5939">
        <v>1</v>
      </c>
    </row>
    <row r="5940" spans="2:2" x14ac:dyDescent="0.25">
      <c r="B5940">
        <v>1</v>
      </c>
    </row>
    <row r="5941" spans="2:2" x14ac:dyDescent="0.25">
      <c r="B5941">
        <v>1</v>
      </c>
    </row>
    <row r="5942" spans="2:2" x14ac:dyDescent="0.25">
      <c r="B5942">
        <v>1</v>
      </c>
    </row>
    <row r="5943" spans="2:2" x14ac:dyDescent="0.25">
      <c r="B5943">
        <v>1</v>
      </c>
    </row>
    <row r="5944" spans="2:2" x14ac:dyDescent="0.25">
      <c r="B5944">
        <v>1</v>
      </c>
    </row>
    <row r="5945" spans="2:2" x14ac:dyDescent="0.25">
      <c r="B5945">
        <v>1</v>
      </c>
    </row>
    <row r="5946" spans="2:2" x14ac:dyDescent="0.25">
      <c r="B5946">
        <v>1</v>
      </c>
    </row>
    <row r="5947" spans="2:2" x14ac:dyDescent="0.25">
      <c r="B5947">
        <v>1</v>
      </c>
    </row>
    <row r="5948" spans="2:2" x14ac:dyDescent="0.25">
      <c r="B5948">
        <v>1</v>
      </c>
    </row>
    <row r="5949" spans="2:2" x14ac:dyDescent="0.25">
      <c r="B5949">
        <v>1</v>
      </c>
    </row>
    <row r="5950" spans="2:2" x14ac:dyDescent="0.25">
      <c r="B5950">
        <v>1</v>
      </c>
    </row>
    <row r="5951" spans="2:2" x14ac:dyDescent="0.25">
      <c r="B5951">
        <v>1</v>
      </c>
    </row>
    <row r="5952" spans="2:2" x14ac:dyDescent="0.25">
      <c r="B5952">
        <v>1</v>
      </c>
    </row>
    <row r="5953" spans="2:2" x14ac:dyDescent="0.25">
      <c r="B5953">
        <v>1</v>
      </c>
    </row>
    <row r="5954" spans="2:2" x14ac:dyDescent="0.25">
      <c r="B5954">
        <v>1</v>
      </c>
    </row>
    <row r="5955" spans="2:2" x14ac:dyDescent="0.25">
      <c r="B5955">
        <v>1</v>
      </c>
    </row>
    <row r="5956" spans="2:2" x14ac:dyDescent="0.25">
      <c r="B5956">
        <v>1</v>
      </c>
    </row>
    <row r="5957" spans="2:2" x14ac:dyDescent="0.25">
      <c r="B5957">
        <v>1</v>
      </c>
    </row>
    <row r="5958" spans="2:2" x14ac:dyDescent="0.25">
      <c r="B5958">
        <v>1</v>
      </c>
    </row>
    <row r="5959" spans="2:2" x14ac:dyDescent="0.25">
      <c r="B5959">
        <v>1</v>
      </c>
    </row>
    <row r="5960" spans="2:2" x14ac:dyDescent="0.25">
      <c r="B5960">
        <v>1</v>
      </c>
    </row>
    <row r="5961" spans="2:2" x14ac:dyDescent="0.25">
      <c r="B5961">
        <v>1</v>
      </c>
    </row>
    <row r="5962" spans="2:2" x14ac:dyDescent="0.25">
      <c r="B5962">
        <v>1</v>
      </c>
    </row>
    <row r="5963" spans="2:2" x14ac:dyDescent="0.25">
      <c r="B5963">
        <v>1</v>
      </c>
    </row>
    <row r="5964" spans="2:2" x14ac:dyDescent="0.25">
      <c r="B5964">
        <v>1</v>
      </c>
    </row>
    <row r="5965" spans="2:2" x14ac:dyDescent="0.25">
      <c r="B5965">
        <v>1</v>
      </c>
    </row>
    <row r="5966" spans="2:2" x14ac:dyDescent="0.25">
      <c r="B5966">
        <v>1</v>
      </c>
    </row>
    <row r="5967" spans="2:2" x14ac:dyDescent="0.25">
      <c r="B5967">
        <v>1</v>
      </c>
    </row>
    <row r="5968" spans="2:2" x14ac:dyDescent="0.25">
      <c r="B5968">
        <v>1</v>
      </c>
    </row>
    <row r="5969" spans="2:2" x14ac:dyDescent="0.25">
      <c r="B5969">
        <v>1</v>
      </c>
    </row>
    <row r="5970" spans="2:2" x14ac:dyDescent="0.25">
      <c r="B5970">
        <v>1</v>
      </c>
    </row>
    <row r="5971" spans="2:2" x14ac:dyDescent="0.25">
      <c r="B5971">
        <v>1</v>
      </c>
    </row>
    <row r="5972" spans="2:2" x14ac:dyDescent="0.25">
      <c r="B5972">
        <v>1</v>
      </c>
    </row>
    <row r="5973" spans="2:2" x14ac:dyDescent="0.25">
      <c r="B5973">
        <v>1</v>
      </c>
    </row>
    <row r="5974" spans="2:2" x14ac:dyDescent="0.25">
      <c r="B5974">
        <v>1</v>
      </c>
    </row>
    <row r="5975" spans="2:2" x14ac:dyDescent="0.25">
      <c r="B5975">
        <v>1</v>
      </c>
    </row>
    <row r="5976" spans="2:2" x14ac:dyDescent="0.25">
      <c r="B5976">
        <v>1</v>
      </c>
    </row>
    <row r="5977" spans="2:2" x14ac:dyDescent="0.25">
      <c r="B5977">
        <v>1</v>
      </c>
    </row>
    <row r="5978" spans="2:2" x14ac:dyDescent="0.25">
      <c r="B5978">
        <v>1</v>
      </c>
    </row>
    <row r="5979" spans="2:2" x14ac:dyDescent="0.25">
      <c r="B5979">
        <v>1</v>
      </c>
    </row>
    <row r="5980" spans="2:2" x14ac:dyDescent="0.25">
      <c r="B5980">
        <v>1</v>
      </c>
    </row>
    <row r="5981" spans="2:2" x14ac:dyDescent="0.25">
      <c r="B5981">
        <v>1</v>
      </c>
    </row>
    <row r="5982" spans="2:2" x14ac:dyDescent="0.25">
      <c r="B5982">
        <v>1</v>
      </c>
    </row>
    <row r="5983" spans="2:2" x14ac:dyDescent="0.25">
      <c r="B5983">
        <v>1</v>
      </c>
    </row>
    <row r="5984" spans="2:2" x14ac:dyDescent="0.25">
      <c r="B5984">
        <v>1</v>
      </c>
    </row>
    <row r="5985" spans="2:2" x14ac:dyDescent="0.25">
      <c r="B5985">
        <v>1</v>
      </c>
    </row>
    <row r="5986" spans="2:2" x14ac:dyDescent="0.25">
      <c r="B5986">
        <v>1</v>
      </c>
    </row>
    <row r="5987" spans="2:2" x14ac:dyDescent="0.25">
      <c r="B5987">
        <v>1</v>
      </c>
    </row>
    <row r="5988" spans="2:2" x14ac:dyDescent="0.25">
      <c r="B5988">
        <v>1</v>
      </c>
    </row>
    <row r="5989" spans="2:2" x14ac:dyDescent="0.25">
      <c r="B5989">
        <v>1</v>
      </c>
    </row>
    <row r="5990" spans="2:2" x14ac:dyDescent="0.25">
      <c r="B5990">
        <v>1</v>
      </c>
    </row>
    <row r="5991" spans="2:2" x14ac:dyDescent="0.25">
      <c r="B5991">
        <v>1</v>
      </c>
    </row>
    <row r="5992" spans="2:2" x14ac:dyDescent="0.25">
      <c r="B5992">
        <v>1</v>
      </c>
    </row>
    <row r="5993" spans="2:2" x14ac:dyDescent="0.25">
      <c r="B5993">
        <v>1</v>
      </c>
    </row>
    <row r="5994" spans="2:2" x14ac:dyDescent="0.25">
      <c r="B5994">
        <v>1</v>
      </c>
    </row>
    <row r="5995" spans="2:2" x14ac:dyDescent="0.25">
      <c r="B5995">
        <v>1</v>
      </c>
    </row>
    <row r="5996" spans="2:2" x14ac:dyDescent="0.25">
      <c r="B5996">
        <v>1</v>
      </c>
    </row>
    <row r="5997" spans="2:2" x14ac:dyDescent="0.25">
      <c r="B5997">
        <v>1</v>
      </c>
    </row>
    <row r="5998" spans="2:2" x14ac:dyDescent="0.25">
      <c r="B5998">
        <v>1</v>
      </c>
    </row>
    <row r="5999" spans="2:2" x14ac:dyDescent="0.25">
      <c r="B5999">
        <v>1</v>
      </c>
    </row>
    <row r="6000" spans="2:2" x14ac:dyDescent="0.25">
      <c r="B6000">
        <v>1</v>
      </c>
    </row>
    <row r="6001" spans="2:2" x14ac:dyDescent="0.25">
      <c r="B6001">
        <v>1</v>
      </c>
    </row>
    <row r="6002" spans="2:2" x14ac:dyDescent="0.25">
      <c r="B6002">
        <v>1</v>
      </c>
    </row>
    <row r="6003" spans="2:2" x14ac:dyDescent="0.25">
      <c r="B6003">
        <v>1</v>
      </c>
    </row>
    <row r="6004" spans="2:2" x14ac:dyDescent="0.25">
      <c r="B6004">
        <v>1</v>
      </c>
    </row>
    <row r="6005" spans="2:2" x14ac:dyDescent="0.25">
      <c r="B6005">
        <v>1</v>
      </c>
    </row>
    <row r="6006" spans="2:2" x14ac:dyDescent="0.25">
      <c r="B6006">
        <v>1</v>
      </c>
    </row>
    <row r="6007" spans="2:2" x14ac:dyDescent="0.25">
      <c r="B6007">
        <v>1</v>
      </c>
    </row>
    <row r="6008" spans="2:2" x14ac:dyDescent="0.25">
      <c r="B6008">
        <v>1</v>
      </c>
    </row>
    <row r="6009" spans="2:2" x14ac:dyDescent="0.25">
      <c r="B6009">
        <v>1</v>
      </c>
    </row>
    <row r="6010" spans="2:2" x14ac:dyDescent="0.25">
      <c r="B6010">
        <v>1</v>
      </c>
    </row>
    <row r="6011" spans="2:2" x14ac:dyDescent="0.25">
      <c r="B6011">
        <v>1</v>
      </c>
    </row>
    <row r="6012" spans="2:2" x14ac:dyDescent="0.25">
      <c r="B6012">
        <v>1</v>
      </c>
    </row>
    <row r="6013" spans="2:2" x14ac:dyDescent="0.25">
      <c r="B6013">
        <v>1</v>
      </c>
    </row>
    <row r="6014" spans="2:2" x14ac:dyDescent="0.25">
      <c r="B6014">
        <v>1</v>
      </c>
    </row>
    <row r="6015" spans="2:2" x14ac:dyDescent="0.25">
      <c r="B6015">
        <v>1</v>
      </c>
    </row>
    <row r="6016" spans="2:2" x14ac:dyDescent="0.25">
      <c r="B6016">
        <v>1</v>
      </c>
    </row>
    <row r="6017" spans="2:2" x14ac:dyDescent="0.25">
      <c r="B6017">
        <v>1</v>
      </c>
    </row>
    <row r="6018" spans="2:2" x14ac:dyDescent="0.25">
      <c r="B6018">
        <v>1</v>
      </c>
    </row>
    <row r="6019" spans="2:2" x14ac:dyDescent="0.25">
      <c r="B6019">
        <v>1</v>
      </c>
    </row>
    <row r="6020" spans="2:2" x14ac:dyDescent="0.25">
      <c r="B6020">
        <v>1</v>
      </c>
    </row>
    <row r="6021" spans="2:2" x14ac:dyDescent="0.25">
      <c r="B6021">
        <v>1</v>
      </c>
    </row>
    <row r="6022" spans="2:2" x14ac:dyDescent="0.25">
      <c r="B6022">
        <v>1</v>
      </c>
    </row>
    <row r="6023" spans="2:2" x14ac:dyDescent="0.25">
      <c r="B6023">
        <v>1</v>
      </c>
    </row>
    <row r="6024" spans="2:2" x14ac:dyDescent="0.25">
      <c r="B6024">
        <v>1</v>
      </c>
    </row>
    <row r="6025" spans="2:2" x14ac:dyDescent="0.25">
      <c r="B6025">
        <v>1</v>
      </c>
    </row>
    <row r="6026" spans="2:2" x14ac:dyDescent="0.25">
      <c r="B6026">
        <v>1</v>
      </c>
    </row>
    <row r="6027" spans="2:2" x14ac:dyDescent="0.25">
      <c r="B6027">
        <v>1</v>
      </c>
    </row>
    <row r="6028" spans="2:2" x14ac:dyDescent="0.25">
      <c r="B6028">
        <v>1</v>
      </c>
    </row>
    <row r="6029" spans="2:2" x14ac:dyDescent="0.25">
      <c r="B6029">
        <v>1</v>
      </c>
    </row>
    <row r="6030" spans="2:2" x14ac:dyDescent="0.25">
      <c r="B6030">
        <v>1</v>
      </c>
    </row>
    <row r="6031" spans="2:2" x14ac:dyDescent="0.25">
      <c r="B6031">
        <v>1</v>
      </c>
    </row>
    <row r="6032" spans="2:2" x14ac:dyDescent="0.25">
      <c r="B6032">
        <v>1</v>
      </c>
    </row>
    <row r="6033" spans="2:2" x14ac:dyDescent="0.25">
      <c r="B6033">
        <v>1</v>
      </c>
    </row>
    <row r="6034" spans="2:2" x14ac:dyDescent="0.25">
      <c r="B6034">
        <v>1</v>
      </c>
    </row>
    <row r="6035" spans="2:2" x14ac:dyDescent="0.25">
      <c r="B6035">
        <v>1</v>
      </c>
    </row>
    <row r="6036" spans="2:2" x14ac:dyDescent="0.25">
      <c r="B6036">
        <v>1</v>
      </c>
    </row>
    <row r="6037" spans="2:2" x14ac:dyDescent="0.25">
      <c r="B6037">
        <v>1</v>
      </c>
    </row>
    <row r="6038" spans="2:2" x14ac:dyDescent="0.25">
      <c r="B6038">
        <v>1</v>
      </c>
    </row>
    <row r="6039" spans="2:2" x14ac:dyDescent="0.25">
      <c r="B6039">
        <v>1</v>
      </c>
    </row>
    <row r="6040" spans="2:2" x14ac:dyDescent="0.25">
      <c r="B6040">
        <v>1</v>
      </c>
    </row>
    <row r="6041" spans="2:2" x14ac:dyDescent="0.25">
      <c r="B6041">
        <v>1</v>
      </c>
    </row>
    <row r="6042" spans="2:2" x14ac:dyDescent="0.25">
      <c r="B6042">
        <v>1</v>
      </c>
    </row>
    <row r="6043" spans="2:2" x14ac:dyDescent="0.25">
      <c r="B6043">
        <v>1</v>
      </c>
    </row>
    <row r="6044" spans="2:2" x14ac:dyDescent="0.25">
      <c r="B6044">
        <v>1</v>
      </c>
    </row>
    <row r="6045" spans="2:2" x14ac:dyDescent="0.25">
      <c r="B6045">
        <v>1</v>
      </c>
    </row>
    <row r="6046" spans="2:2" x14ac:dyDescent="0.25">
      <c r="B6046">
        <v>1</v>
      </c>
    </row>
    <row r="6047" spans="2:2" x14ac:dyDescent="0.25">
      <c r="B6047">
        <v>1</v>
      </c>
    </row>
    <row r="6048" spans="2:2" x14ac:dyDescent="0.25">
      <c r="B6048">
        <v>1</v>
      </c>
    </row>
    <row r="6049" spans="2:2" x14ac:dyDescent="0.25">
      <c r="B6049">
        <v>1</v>
      </c>
    </row>
    <row r="6050" spans="2:2" x14ac:dyDescent="0.25">
      <c r="B6050">
        <v>1</v>
      </c>
    </row>
    <row r="6051" spans="2:2" x14ac:dyDescent="0.25">
      <c r="B6051">
        <v>1</v>
      </c>
    </row>
    <row r="6052" spans="2:2" x14ac:dyDescent="0.25">
      <c r="B6052">
        <v>1</v>
      </c>
    </row>
    <row r="6053" spans="2:2" x14ac:dyDescent="0.25">
      <c r="B6053">
        <v>1</v>
      </c>
    </row>
    <row r="6054" spans="2:2" x14ac:dyDescent="0.25">
      <c r="B6054">
        <v>1</v>
      </c>
    </row>
    <row r="6055" spans="2:2" x14ac:dyDescent="0.25">
      <c r="B6055">
        <v>1</v>
      </c>
    </row>
    <row r="6056" spans="2:2" x14ac:dyDescent="0.25">
      <c r="B6056">
        <v>1</v>
      </c>
    </row>
    <row r="6057" spans="2:2" x14ac:dyDescent="0.25">
      <c r="B6057">
        <v>1</v>
      </c>
    </row>
    <row r="6058" spans="2:2" x14ac:dyDescent="0.25">
      <c r="B6058">
        <v>1</v>
      </c>
    </row>
    <row r="6059" spans="2:2" x14ac:dyDescent="0.25">
      <c r="B6059">
        <v>1</v>
      </c>
    </row>
    <row r="6060" spans="2:2" x14ac:dyDescent="0.25">
      <c r="B6060">
        <v>1</v>
      </c>
    </row>
    <row r="6061" spans="2:2" x14ac:dyDescent="0.25">
      <c r="B6061">
        <v>1</v>
      </c>
    </row>
    <row r="6062" spans="2:2" x14ac:dyDescent="0.25">
      <c r="B6062">
        <v>1</v>
      </c>
    </row>
    <row r="6063" spans="2:2" x14ac:dyDescent="0.25">
      <c r="B6063">
        <v>1</v>
      </c>
    </row>
    <row r="6064" spans="2:2" x14ac:dyDescent="0.25">
      <c r="B6064">
        <v>1</v>
      </c>
    </row>
    <row r="6065" spans="2:2" x14ac:dyDescent="0.25">
      <c r="B6065">
        <v>1</v>
      </c>
    </row>
    <row r="6066" spans="2:2" x14ac:dyDescent="0.25">
      <c r="B6066">
        <v>1</v>
      </c>
    </row>
    <row r="6067" spans="2:2" x14ac:dyDescent="0.25">
      <c r="B6067">
        <v>1</v>
      </c>
    </row>
    <row r="6068" spans="2:2" x14ac:dyDescent="0.25">
      <c r="B6068">
        <v>1</v>
      </c>
    </row>
    <row r="6069" spans="2:2" x14ac:dyDescent="0.25">
      <c r="B6069">
        <v>1</v>
      </c>
    </row>
    <row r="6070" spans="2:2" x14ac:dyDescent="0.25">
      <c r="B6070">
        <v>1</v>
      </c>
    </row>
    <row r="6071" spans="2:2" x14ac:dyDescent="0.25">
      <c r="B6071">
        <v>1</v>
      </c>
    </row>
    <row r="6072" spans="2:2" x14ac:dyDescent="0.25">
      <c r="B6072">
        <v>1</v>
      </c>
    </row>
    <row r="6073" spans="2:2" x14ac:dyDescent="0.25">
      <c r="B6073">
        <v>1</v>
      </c>
    </row>
    <row r="6074" spans="2:2" x14ac:dyDescent="0.25">
      <c r="B6074">
        <v>1</v>
      </c>
    </row>
    <row r="6075" spans="2:2" x14ac:dyDescent="0.25">
      <c r="B6075">
        <v>1</v>
      </c>
    </row>
    <row r="6076" spans="2:2" x14ac:dyDescent="0.25">
      <c r="B6076">
        <v>1</v>
      </c>
    </row>
    <row r="6077" spans="2:2" x14ac:dyDescent="0.25">
      <c r="B6077">
        <v>1</v>
      </c>
    </row>
    <row r="6078" spans="2:2" x14ac:dyDescent="0.25">
      <c r="B6078">
        <v>1</v>
      </c>
    </row>
    <row r="6079" spans="2:2" x14ac:dyDescent="0.25">
      <c r="B6079">
        <v>1</v>
      </c>
    </row>
    <row r="6080" spans="2:2" x14ac:dyDescent="0.25">
      <c r="B6080">
        <v>1</v>
      </c>
    </row>
    <row r="6081" spans="2:2" x14ac:dyDescent="0.25">
      <c r="B6081">
        <v>1</v>
      </c>
    </row>
    <row r="6082" spans="2:2" x14ac:dyDescent="0.25">
      <c r="B6082">
        <v>1</v>
      </c>
    </row>
    <row r="6083" spans="2:2" x14ac:dyDescent="0.25">
      <c r="B6083">
        <v>1</v>
      </c>
    </row>
    <row r="6084" spans="2:2" x14ac:dyDescent="0.25">
      <c r="B6084">
        <v>1</v>
      </c>
    </row>
    <row r="6085" spans="2:2" x14ac:dyDescent="0.25">
      <c r="B6085">
        <v>1</v>
      </c>
    </row>
    <row r="6086" spans="2:2" x14ac:dyDescent="0.25">
      <c r="B6086">
        <v>1</v>
      </c>
    </row>
    <row r="6087" spans="2:2" x14ac:dyDescent="0.25">
      <c r="B6087">
        <v>1</v>
      </c>
    </row>
    <row r="6088" spans="2:2" x14ac:dyDescent="0.25">
      <c r="B6088">
        <v>1</v>
      </c>
    </row>
    <row r="6089" spans="2:2" x14ac:dyDescent="0.25">
      <c r="B6089">
        <v>1</v>
      </c>
    </row>
    <row r="6090" spans="2:2" x14ac:dyDescent="0.25">
      <c r="B6090">
        <v>1</v>
      </c>
    </row>
    <row r="6091" spans="2:2" x14ac:dyDescent="0.25">
      <c r="B6091">
        <v>1</v>
      </c>
    </row>
    <row r="6092" spans="2:2" x14ac:dyDescent="0.25">
      <c r="B6092">
        <v>1</v>
      </c>
    </row>
    <row r="6093" spans="2:2" x14ac:dyDescent="0.25">
      <c r="B6093">
        <v>1</v>
      </c>
    </row>
    <row r="6094" spans="2:2" x14ac:dyDescent="0.25">
      <c r="B6094">
        <v>1</v>
      </c>
    </row>
    <row r="6095" spans="2:2" x14ac:dyDescent="0.25">
      <c r="B6095">
        <v>1</v>
      </c>
    </row>
    <row r="6096" spans="2:2" x14ac:dyDescent="0.25">
      <c r="B6096">
        <v>1</v>
      </c>
    </row>
    <row r="6097" spans="2:2" x14ac:dyDescent="0.25">
      <c r="B6097">
        <v>1</v>
      </c>
    </row>
    <row r="6098" spans="2:2" x14ac:dyDescent="0.25">
      <c r="B6098">
        <v>1</v>
      </c>
    </row>
    <row r="6099" spans="2:2" x14ac:dyDescent="0.25">
      <c r="B6099">
        <v>1</v>
      </c>
    </row>
    <row r="6100" spans="2:2" x14ac:dyDescent="0.25">
      <c r="B6100">
        <v>1</v>
      </c>
    </row>
    <row r="6101" spans="2:2" x14ac:dyDescent="0.25">
      <c r="B6101">
        <v>1</v>
      </c>
    </row>
    <row r="6102" spans="2:2" x14ac:dyDescent="0.25">
      <c r="B6102">
        <v>1</v>
      </c>
    </row>
    <row r="6103" spans="2:2" x14ac:dyDescent="0.25">
      <c r="B6103">
        <v>1</v>
      </c>
    </row>
    <row r="6104" spans="2:2" x14ac:dyDescent="0.25">
      <c r="B6104">
        <v>1</v>
      </c>
    </row>
    <row r="6105" spans="2:2" x14ac:dyDescent="0.25">
      <c r="B6105">
        <v>1</v>
      </c>
    </row>
    <row r="6106" spans="2:2" x14ac:dyDescent="0.25">
      <c r="B6106">
        <v>1</v>
      </c>
    </row>
    <row r="6107" spans="2:2" x14ac:dyDescent="0.25">
      <c r="B6107">
        <v>1</v>
      </c>
    </row>
    <row r="6108" spans="2:2" x14ac:dyDescent="0.25">
      <c r="B6108">
        <v>1</v>
      </c>
    </row>
    <row r="6109" spans="2:2" x14ac:dyDescent="0.25">
      <c r="B6109">
        <v>1</v>
      </c>
    </row>
    <row r="6110" spans="2:2" x14ac:dyDescent="0.25">
      <c r="B6110">
        <v>1</v>
      </c>
    </row>
    <row r="6111" spans="2:2" x14ac:dyDescent="0.25">
      <c r="B6111">
        <v>1</v>
      </c>
    </row>
    <row r="6112" spans="2:2" x14ac:dyDescent="0.25">
      <c r="B6112">
        <v>1</v>
      </c>
    </row>
    <row r="6113" spans="2:2" x14ac:dyDescent="0.25">
      <c r="B6113">
        <v>1</v>
      </c>
    </row>
    <row r="6114" spans="2:2" x14ac:dyDescent="0.25">
      <c r="B6114">
        <v>1</v>
      </c>
    </row>
    <row r="6115" spans="2:2" x14ac:dyDescent="0.25">
      <c r="B6115">
        <v>1</v>
      </c>
    </row>
    <row r="6116" spans="2:2" x14ac:dyDescent="0.25">
      <c r="B6116">
        <v>1</v>
      </c>
    </row>
    <row r="6117" spans="2:2" x14ac:dyDescent="0.25">
      <c r="B6117">
        <v>1</v>
      </c>
    </row>
    <row r="6118" spans="2:2" x14ac:dyDescent="0.25">
      <c r="B6118">
        <v>1</v>
      </c>
    </row>
    <row r="6119" spans="2:2" x14ac:dyDescent="0.25">
      <c r="B6119">
        <v>1</v>
      </c>
    </row>
    <row r="6120" spans="2:2" x14ac:dyDescent="0.25">
      <c r="B6120">
        <v>1</v>
      </c>
    </row>
    <row r="6121" spans="2:2" x14ac:dyDescent="0.25">
      <c r="B6121">
        <v>1</v>
      </c>
    </row>
    <row r="6122" spans="2:2" x14ac:dyDescent="0.25">
      <c r="B6122">
        <v>1</v>
      </c>
    </row>
    <row r="6123" spans="2:2" x14ac:dyDescent="0.25">
      <c r="B6123">
        <v>1</v>
      </c>
    </row>
    <row r="6124" spans="2:2" x14ac:dyDescent="0.25">
      <c r="B6124">
        <v>1</v>
      </c>
    </row>
    <row r="6125" spans="2:2" x14ac:dyDescent="0.25">
      <c r="B6125">
        <v>1</v>
      </c>
    </row>
    <row r="6126" spans="2:2" x14ac:dyDescent="0.25">
      <c r="B6126">
        <v>1</v>
      </c>
    </row>
    <row r="6127" spans="2:2" x14ac:dyDescent="0.25">
      <c r="B6127">
        <v>1</v>
      </c>
    </row>
    <row r="6128" spans="2:2" x14ac:dyDescent="0.25">
      <c r="B6128">
        <v>1</v>
      </c>
    </row>
    <row r="6129" spans="2:2" x14ac:dyDescent="0.25">
      <c r="B6129">
        <v>1</v>
      </c>
    </row>
    <row r="6130" spans="2:2" x14ac:dyDescent="0.25">
      <c r="B6130">
        <v>1</v>
      </c>
    </row>
    <row r="6131" spans="2:2" x14ac:dyDescent="0.25">
      <c r="B6131">
        <v>1</v>
      </c>
    </row>
    <row r="6132" spans="2:2" x14ac:dyDescent="0.25">
      <c r="B6132">
        <v>1</v>
      </c>
    </row>
    <row r="6133" spans="2:2" x14ac:dyDescent="0.25">
      <c r="B6133">
        <v>1</v>
      </c>
    </row>
    <row r="6134" spans="2:2" x14ac:dyDescent="0.25">
      <c r="B6134">
        <v>1</v>
      </c>
    </row>
    <row r="6135" spans="2:2" x14ac:dyDescent="0.25">
      <c r="B6135">
        <v>1</v>
      </c>
    </row>
    <row r="6136" spans="2:2" x14ac:dyDescent="0.25">
      <c r="B6136">
        <v>1</v>
      </c>
    </row>
    <row r="6137" spans="2:2" x14ac:dyDescent="0.25">
      <c r="B6137">
        <v>1</v>
      </c>
    </row>
    <row r="6138" spans="2:2" x14ac:dyDescent="0.25">
      <c r="B6138">
        <v>1</v>
      </c>
    </row>
    <row r="6139" spans="2:2" x14ac:dyDescent="0.25">
      <c r="B6139">
        <v>1</v>
      </c>
    </row>
    <row r="6140" spans="2:2" x14ac:dyDescent="0.25">
      <c r="B6140">
        <v>1</v>
      </c>
    </row>
    <row r="6141" spans="2:2" x14ac:dyDescent="0.25">
      <c r="B6141">
        <v>1</v>
      </c>
    </row>
    <row r="6142" spans="2:2" x14ac:dyDescent="0.25">
      <c r="B6142">
        <v>1</v>
      </c>
    </row>
    <row r="6143" spans="2:2" x14ac:dyDescent="0.25">
      <c r="B6143">
        <v>1</v>
      </c>
    </row>
    <row r="6144" spans="2:2" x14ac:dyDescent="0.25">
      <c r="B6144">
        <v>1</v>
      </c>
    </row>
    <row r="6145" spans="2:2" x14ac:dyDescent="0.25">
      <c r="B6145">
        <v>1</v>
      </c>
    </row>
    <row r="6146" spans="2:2" x14ac:dyDescent="0.25">
      <c r="B6146">
        <v>1</v>
      </c>
    </row>
    <row r="6147" spans="2:2" x14ac:dyDescent="0.25">
      <c r="B6147">
        <v>1</v>
      </c>
    </row>
    <row r="6148" spans="2:2" x14ac:dyDescent="0.25">
      <c r="B6148">
        <v>1</v>
      </c>
    </row>
    <row r="6149" spans="2:2" x14ac:dyDescent="0.25">
      <c r="B6149">
        <v>1</v>
      </c>
    </row>
    <row r="6150" spans="2:2" x14ac:dyDescent="0.25">
      <c r="B6150">
        <v>1</v>
      </c>
    </row>
    <row r="6151" spans="2:2" x14ac:dyDescent="0.25">
      <c r="B6151">
        <v>1</v>
      </c>
    </row>
    <row r="6152" spans="2:2" x14ac:dyDescent="0.25">
      <c r="B6152">
        <v>1</v>
      </c>
    </row>
    <row r="6153" spans="2:2" x14ac:dyDescent="0.25">
      <c r="B6153">
        <v>1</v>
      </c>
    </row>
    <row r="6154" spans="2:2" x14ac:dyDescent="0.25">
      <c r="B6154">
        <v>1</v>
      </c>
    </row>
    <row r="6155" spans="2:2" x14ac:dyDescent="0.25">
      <c r="B6155">
        <v>1</v>
      </c>
    </row>
    <row r="6156" spans="2:2" x14ac:dyDescent="0.25">
      <c r="B6156">
        <v>1</v>
      </c>
    </row>
    <row r="6157" spans="2:2" x14ac:dyDescent="0.25">
      <c r="B6157">
        <v>1</v>
      </c>
    </row>
    <row r="6158" spans="2:2" x14ac:dyDescent="0.25">
      <c r="B6158">
        <v>1</v>
      </c>
    </row>
    <row r="6159" spans="2:2" x14ac:dyDescent="0.25">
      <c r="B6159">
        <v>1</v>
      </c>
    </row>
    <row r="6160" spans="2:2" x14ac:dyDescent="0.25">
      <c r="B6160">
        <v>1</v>
      </c>
    </row>
    <row r="6161" spans="2:2" x14ac:dyDescent="0.25">
      <c r="B6161">
        <v>1</v>
      </c>
    </row>
    <row r="6162" spans="2:2" x14ac:dyDescent="0.25">
      <c r="B6162">
        <v>1</v>
      </c>
    </row>
    <row r="6163" spans="2:2" x14ac:dyDescent="0.25">
      <c r="B6163">
        <v>1</v>
      </c>
    </row>
    <row r="6164" spans="2:2" x14ac:dyDescent="0.25">
      <c r="B6164">
        <v>1</v>
      </c>
    </row>
    <row r="6165" spans="2:2" x14ac:dyDescent="0.25">
      <c r="B6165">
        <v>1</v>
      </c>
    </row>
    <row r="6166" spans="2:2" x14ac:dyDescent="0.25">
      <c r="B6166">
        <v>1</v>
      </c>
    </row>
    <row r="6167" spans="2:2" x14ac:dyDescent="0.25">
      <c r="B6167">
        <v>1</v>
      </c>
    </row>
    <row r="6168" spans="2:2" x14ac:dyDescent="0.25">
      <c r="B6168">
        <v>1</v>
      </c>
    </row>
    <row r="6169" spans="2:2" x14ac:dyDescent="0.25">
      <c r="B6169">
        <v>1</v>
      </c>
    </row>
    <row r="6170" spans="2:2" x14ac:dyDescent="0.25">
      <c r="B6170">
        <v>1</v>
      </c>
    </row>
    <row r="6171" spans="2:2" x14ac:dyDescent="0.25">
      <c r="B6171">
        <v>1</v>
      </c>
    </row>
    <row r="6172" spans="2:2" x14ac:dyDescent="0.25">
      <c r="B6172">
        <v>1</v>
      </c>
    </row>
    <row r="6173" spans="2:2" x14ac:dyDescent="0.25">
      <c r="B6173">
        <v>1</v>
      </c>
    </row>
    <row r="6174" spans="2:2" x14ac:dyDescent="0.25">
      <c r="B6174">
        <v>1</v>
      </c>
    </row>
    <row r="6175" spans="2:2" x14ac:dyDescent="0.25">
      <c r="B6175">
        <v>1</v>
      </c>
    </row>
    <row r="6176" spans="2:2" x14ac:dyDescent="0.25">
      <c r="B6176">
        <v>1</v>
      </c>
    </row>
    <row r="6177" spans="2:2" x14ac:dyDescent="0.25">
      <c r="B6177">
        <v>1</v>
      </c>
    </row>
    <row r="6178" spans="2:2" x14ac:dyDescent="0.25">
      <c r="B6178">
        <v>1</v>
      </c>
    </row>
    <row r="6179" spans="2:2" x14ac:dyDescent="0.25">
      <c r="B6179">
        <v>1</v>
      </c>
    </row>
    <row r="6180" spans="2:2" x14ac:dyDescent="0.25">
      <c r="B6180">
        <v>1</v>
      </c>
    </row>
    <row r="6181" spans="2:2" x14ac:dyDescent="0.25">
      <c r="B6181">
        <v>1</v>
      </c>
    </row>
    <row r="6182" spans="2:2" x14ac:dyDescent="0.25">
      <c r="B6182">
        <v>1</v>
      </c>
    </row>
    <row r="6183" spans="2:2" x14ac:dyDescent="0.25">
      <c r="B6183">
        <v>1</v>
      </c>
    </row>
    <row r="6184" spans="2:2" x14ac:dyDescent="0.25">
      <c r="B6184">
        <v>1</v>
      </c>
    </row>
    <row r="6185" spans="2:2" x14ac:dyDescent="0.25">
      <c r="B6185">
        <v>1</v>
      </c>
    </row>
    <row r="6186" spans="2:2" x14ac:dyDescent="0.25">
      <c r="B6186">
        <v>1</v>
      </c>
    </row>
    <row r="6187" spans="2:2" x14ac:dyDescent="0.25">
      <c r="B6187">
        <v>1</v>
      </c>
    </row>
    <row r="6188" spans="2:2" x14ac:dyDescent="0.25">
      <c r="B6188">
        <v>1</v>
      </c>
    </row>
    <row r="6189" spans="2:2" x14ac:dyDescent="0.25">
      <c r="B6189">
        <v>1</v>
      </c>
    </row>
    <row r="6190" spans="2:2" x14ac:dyDescent="0.25">
      <c r="B6190">
        <v>1</v>
      </c>
    </row>
    <row r="6191" spans="2:2" x14ac:dyDescent="0.25">
      <c r="B6191">
        <v>1</v>
      </c>
    </row>
    <row r="6192" spans="2:2" x14ac:dyDescent="0.25">
      <c r="B6192">
        <v>1</v>
      </c>
    </row>
    <row r="6193" spans="2:2" x14ac:dyDescent="0.25">
      <c r="B6193">
        <v>1</v>
      </c>
    </row>
    <row r="6194" spans="2:2" x14ac:dyDescent="0.25">
      <c r="B6194">
        <v>1</v>
      </c>
    </row>
    <row r="6195" spans="2:2" x14ac:dyDescent="0.25">
      <c r="B6195">
        <v>1</v>
      </c>
    </row>
    <row r="6196" spans="2:2" x14ac:dyDescent="0.25">
      <c r="B6196">
        <v>1</v>
      </c>
    </row>
    <row r="6197" spans="2:2" x14ac:dyDescent="0.25">
      <c r="B6197">
        <v>1</v>
      </c>
    </row>
    <row r="6198" spans="2:2" x14ac:dyDescent="0.25">
      <c r="B6198">
        <v>1</v>
      </c>
    </row>
    <row r="6199" spans="2:2" x14ac:dyDescent="0.25">
      <c r="B6199">
        <v>1</v>
      </c>
    </row>
    <row r="6200" spans="2:2" x14ac:dyDescent="0.25">
      <c r="B6200">
        <v>1</v>
      </c>
    </row>
    <row r="6201" spans="2:2" x14ac:dyDescent="0.25">
      <c r="B6201">
        <v>1</v>
      </c>
    </row>
    <row r="6202" spans="2:2" x14ac:dyDescent="0.25">
      <c r="B6202">
        <v>1</v>
      </c>
    </row>
    <row r="6203" spans="2:2" x14ac:dyDescent="0.25">
      <c r="B6203">
        <v>1</v>
      </c>
    </row>
    <row r="6204" spans="2:2" x14ac:dyDescent="0.25">
      <c r="B6204">
        <v>1</v>
      </c>
    </row>
    <row r="6205" spans="2:2" x14ac:dyDescent="0.25">
      <c r="B6205">
        <v>1</v>
      </c>
    </row>
    <row r="6206" spans="2:2" x14ac:dyDescent="0.25">
      <c r="B6206">
        <v>1</v>
      </c>
    </row>
    <row r="6207" spans="2:2" x14ac:dyDescent="0.25">
      <c r="B6207">
        <v>1</v>
      </c>
    </row>
    <row r="6208" spans="2:2" x14ac:dyDescent="0.25">
      <c r="B6208">
        <v>1</v>
      </c>
    </row>
    <row r="6209" spans="2:2" x14ac:dyDescent="0.25">
      <c r="B6209">
        <v>1</v>
      </c>
    </row>
    <row r="6210" spans="2:2" x14ac:dyDescent="0.25">
      <c r="B6210">
        <v>1</v>
      </c>
    </row>
    <row r="6211" spans="2:2" x14ac:dyDescent="0.25">
      <c r="B6211">
        <v>1</v>
      </c>
    </row>
    <row r="6212" spans="2:2" x14ac:dyDescent="0.25">
      <c r="B6212">
        <v>1</v>
      </c>
    </row>
    <row r="6213" spans="2:2" x14ac:dyDescent="0.25">
      <c r="B6213">
        <v>1</v>
      </c>
    </row>
    <row r="6214" spans="2:2" x14ac:dyDescent="0.25">
      <c r="B6214">
        <v>1</v>
      </c>
    </row>
    <row r="6215" spans="2:2" x14ac:dyDescent="0.25">
      <c r="B6215">
        <v>1</v>
      </c>
    </row>
    <row r="6216" spans="2:2" x14ac:dyDescent="0.25">
      <c r="B6216">
        <v>1</v>
      </c>
    </row>
    <row r="6217" spans="2:2" x14ac:dyDescent="0.25">
      <c r="B6217">
        <v>1</v>
      </c>
    </row>
    <row r="6218" spans="2:2" x14ac:dyDescent="0.25">
      <c r="B6218">
        <v>1</v>
      </c>
    </row>
    <row r="6219" spans="2:2" x14ac:dyDescent="0.25">
      <c r="B6219">
        <v>1</v>
      </c>
    </row>
    <row r="6220" spans="2:2" x14ac:dyDescent="0.25">
      <c r="B6220">
        <v>1</v>
      </c>
    </row>
    <row r="6221" spans="2:2" x14ac:dyDescent="0.25">
      <c r="B6221">
        <v>1</v>
      </c>
    </row>
    <row r="6222" spans="2:2" x14ac:dyDescent="0.25">
      <c r="B6222">
        <v>1</v>
      </c>
    </row>
    <row r="6223" spans="2:2" x14ac:dyDescent="0.25">
      <c r="B6223">
        <v>1</v>
      </c>
    </row>
    <row r="6224" spans="2:2" x14ac:dyDescent="0.25">
      <c r="B6224">
        <v>1</v>
      </c>
    </row>
    <row r="6225" spans="2:2" x14ac:dyDescent="0.25">
      <c r="B6225">
        <v>1</v>
      </c>
    </row>
    <row r="6226" spans="2:2" x14ac:dyDescent="0.25">
      <c r="B6226">
        <v>1</v>
      </c>
    </row>
    <row r="6227" spans="2:2" x14ac:dyDescent="0.25">
      <c r="B6227">
        <v>1</v>
      </c>
    </row>
    <row r="6228" spans="2:2" x14ac:dyDescent="0.25">
      <c r="B6228">
        <v>1</v>
      </c>
    </row>
    <row r="6229" spans="2:2" x14ac:dyDescent="0.25">
      <c r="B6229">
        <v>1</v>
      </c>
    </row>
    <row r="6230" spans="2:2" x14ac:dyDescent="0.25">
      <c r="B6230">
        <v>1</v>
      </c>
    </row>
    <row r="6231" spans="2:2" x14ac:dyDescent="0.25">
      <c r="B6231">
        <v>1</v>
      </c>
    </row>
    <row r="6232" spans="2:2" x14ac:dyDescent="0.25">
      <c r="B6232">
        <v>1</v>
      </c>
    </row>
    <row r="6233" spans="2:2" x14ac:dyDescent="0.25">
      <c r="B6233">
        <v>1</v>
      </c>
    </row>
    <row r="6234" spans="2:2" x14ac:dyDescent="0.25">
      <c r="B6234">
        <v>1</v>
      </c>
    </row>
    <row r="6235" spans="2:2" x14ac:dyDescent="0.25">
      <c r="B6235">
        <v>1</v>
      </c>
    </row>
    <row r="6236" spans="2:2" x14ac:dyDescent="0.25">
      <c r="B6236">
        <v>1</v>
      </c>
    </row>
    <row r="6237" spans="2:2" x14ac:dyDescent="0.25">
      <c r="B6237">
        <v>1</v>
      </c>
    </row>
    <row r="6238" spans="2:2" x14ac:dyDescent="0.25">
      <c r="B6238">
        <v>1</v>
      </c>
    </row>
    <row r="6239" spans="2:2" x14ac:dyDescent="0.25">
      <c r="B6239">
        <v>1</v>
      </c>
    </row>
    <row r="6240" spans="2:2" x14ac:dyDescent="0.25">
      <c r="B6240">
        <v>1</v>
      </c>
    </row>
    <row r="6241" spans="2:2" x14ac:dyDescent="0.25">
      <c r="B6241">
        <v>1</v>
      </c>
    </row>
    <row r="6242" spans="2:2" x14ac:dyDescent="0.25">
      <c r="B6242">
        <v>1</v>
      </c>
    </row>
    <row r="6243" spans="2:2" x14ac:dyDescent="0.25">
      <c r="B6243">
        <v>1</v>
      </c>
    </row>
    <row r="6244" spans="2:2" x14ac:dyDescent="0.25">
      <c r="B6244">
        <v>1</v>
      </c>
    </row>
    <row r="6245" spans="2:2" x14ac:dyDescent="0.25">
      <c r="B6245">
        <v>1</v>
      </c>
    </row>
    <row r="6246" spans="2:2" x14ac:dyDescent="0.25">
      <c r="B6246">
        <v>1</v>
      </c>
    </row>
    <row r="6247" spans="2:2" x14ac:dyDescent="0.25">
      <c r="B6247">
        <v>1</v>
      </c>
    </row>
    <row r="6248" spans="2:2" x14ac:dyDescent="0.25">
      <c r="B6248">
        <v>1</v>
      </c>
    </row>
    <row r="6249" spans="2:2" x14ac:dyDescent="0.25">
      <c r="B6249">
        <v>1</v>
      </c>
    </row>
    <row r="6250" spans="2:2" x14ac:dyDescent="0.25">
      <c r="B6250">
        <v>1</v>
      </c>
    </row>
    <row r="6251" spans="2:2" x14ac:dyDescent="0.25">
      <c r="B6251">
        <v>1</v>
      </c>
    </row>
    <row r="6252" spans="2:2" x14ac:dyDescent="0.25">
      <c r="B6252">
        <v>1</v>
      </c>
    </row>
    <row r="6253" spans="2:2" x14ac:dyDescent="0.25">
      <c r="B6253">
        <v>1</v>
      </c>
    </row>
    <row r="6254" spans="2:2" x14ac:dyDescent="0.25">
      <c r="B6254">
        <v>1</v>
      </c>
    </row>
    <row r="6255" spans="2:2" x14ac:dyDescent="0.25">
      <c r="B6255">
        <v>1</v>
      </c>
    </row>
    <row r="6256" spans="2:2" x14ac:dyDescent="0.25">
      <c r="B6256">
        <v>1</v>
      </c>
    </row>
    <row r="6257" spans="2:2" x14ac:dyDescent="0.25">
      <c r="B6257">
        <v>1</v>
      </c>
    </row>
    <row r="6258" spans="2:2" x14ac:dyDescent="0.25">
      <c r="B6258">
        <v>1</v>
      </c>
    </row>
    <row r="6259" spans="2:2" x14ac:dyDescent="0.25">
      <c r="B6259">
        <v>1</v>
      </c>
    </row>
    <row r="6260" spans="2:2" x14ac:dyDescent="0.25">
      <c r="B6260">
        <v>1</v>
      </c>
    </row>
    <row r="6261" spans="2:2" x14ac:dyDescent="0.25">
      <c r="B6261">
        <v>1</v>
      </c>
    </row>
    <row r="6262" spans="2:2" x14ac:dyDescent="0.25">
      <c r="B6262">
        <v>1</v>
      </c>
    </row>
    <row r="6263" spans="2:2" x14ac:dyDescent="0.25">
      <c r="B6263">
        <v>1</v>
      </c>
    </row>
    <row r="6264" spans="2:2" x14ac:dyDescent="0.25">
      <c r="B6264">
        <v>1</v>
      </c>
    </row>
    <row r="6265" spans="2:2" x14ac:dyDescent="0.25">
      <c r="B6265">
        <v>1</v>
      </c>
    </row>
    <row r="6266" spans="2:2" x14ac:dyDescent="0.25">
      <c r="B6266">
        <v>1</v>
      </c>
    </row>
    <row r="6267" spans="2:2" x14ac:dyDescent="0.25">
      <c r="B6267">
        <v>1</v>
      </c>
    </row>
    <row r="6268" spans="2:2" x14ac:dyDescent="0.25">
      <c r="B6268">
        <v>1</v>
      </c>
    </row>
    <row r="6269" spans="2:2" x14ac:dyDescent="0.25">
      <c r="B6269">
        <v>1</v>
      </c>
    </row>
    <row r="6270" spans="2:2" x14ac:dyDescent="0.25">
      <c r="B6270">
        <v>1</v>
      </c>
    </row>
    <row r="6271" spans="2:2" x14ac:dyDescent="0.25">
      <c r="B6271">
        <v>1</v>
      </c>
    </row>
    <row r="6272" spans="2:2" x14ac:dyDescent="0.25">
      <c r="B6272">
        <v>1</v>
      </c>
    </row>
    <row r="6273" spans="2:2" x14ac:dyDescent="0.25">
      <c r="B6273">
        <v>1</v>
      </c>
    </row>
    <row r="6274" spans="2:2" x14ac:dyDescent="0.25">
      <c r="B6274">
        <v>1</v>
      </c>
    </row>
    <row r="6275" spans="2:2" x14ac:dyDescent="0.25">
      <c r="B6275">
        <v>1</v>
      </c>
    </row>
    <row r="6276" spans="2:2" x14ac:dyDescent="0.25">
      <c r="B6276">
        <v>1</v>
      </c>
    </row>
    <row r="6277" spans="2:2" x14ac:dyDescent="0.25">
      <c r="B6277">
        <v>1</v>
      </c>
    </row>
    <row r="6278" spans="2:2" x14ac:dyDescent="0.25">
      <c r="B6278">
        <v>1</v>
      </c>
    </row>
    <row r="6279" spans="2:2" x14ac:dyDescent="0.25">
      <c r="B6279">
        <v>1</v>
      </c>
    </row>
    <row r="6280" spans="2:2" x14ac:dyDescent="0.25">
      <c r="B6280">
        <v>1</v>
      </c>
    </row>
    <row r="6281" spans="2:2" x14ac:dyDescent="0.25">
      <c r="B6281">
        <v>1</v>
      </c>
    </row>
    <row r="6282" spans="2:2" x14ac:dyDescent="0.25">
      <c r="B6282">
        <v>1</v>
      </c>
    </row>
    <row r="6283" spans="2:2" x14ac:dyDescent="0.25">
      <c r="B6283">
        <v>1</v>
      </c>
    </row>
    <row r="6284" spans="2:2" x14ac:dyDescent="0.25">
      <c r="B6284">
        <v>1</v>
      </c>
    </row>
    <row r="6285" spans="2:2" x14ac:dyDescent="0.25">
      <c r="B6285">
        <v>1</v>
      </c>
    </row>
    <row r="6286" spans="2:2" x14ac:dyDescent="0.25">
      <c r="B6286">
        <v>1</v>
      </c>
    </row>
    <row r="6287" spans="2:2" x14ac:dyDescent="0.25">
      <c r="B6287">
        <v>1</v>
      </c>
    </row>
    <row r="6288" spans="2:2" x14ac:dyDescent="0.25">
      <c r="B6288">
        <v>1</v>
      </c>
    </row>
    <row r="6289" spans="2:2" x14ac:dyDescent="0.25">
      <c r="B6289">
        <v>1</v>
      </c>
    </row>
    <row r="6290" spans="2:2" x14ac:dyDescent="0.25">
      <c r="B6290">
        <v>1</v>
      </c>
    </row>
    <row r="6291" spans="2:2" x14ac:dyDescent="0.25">
      <c r="B6291">
        <v>1</v>
      </c>
    </row>
    <row r="6292" spans="2:2" x14ac:dyDescent="0.25">
      <c r="B6292">
        <v>1</v>
      </c>
    </row>
    <row r="6293" spans="2:2" x14ac:dyDescent="0.25">
      <c r="B6293">
        <v>1</v>
      </c>
    </row>
    <row r="6294" spans="2:2" x14ac:dyDescent="0.25">
      <c r="B6294">
        <v>1</v>
      </c>
    </row>
    <row r="6295" spans="2:2" x14ac:dyDescent="0.25">
      <c r="B6295">
        <v>1</v>
      </c>
    </row>
    <row r="6296" spans="2:2" x14ac:dyDescent="0.25">
      <c r="B6296">
        <v>1</v>
      </c>
    </row>
    <row r="6297" spans="2:2" x14ac:dyDescent="0.25">
      <c r="B6297">
        <v>1</v>
      </c>
    </row>
    <row r="6298" spans="2:2" x14ac:dyDescent="0.25">
      <c r="B6298">
        <v>1</v>
      </c>
    </row>
    <row r="6299" spans="2:2" x14ac:dyDescent="0.25">
      <c r="B6299">
        <v>1</v>
      </c>
    </row>
    <row r="6300" spans="2:2" x14ac:dyDescent="0.25">
      <c r="B6300">
        <v>1</v>
      </c>
    </row>
    <row r="6301" spans="2:2" x14ac:dyDescent="0.25">
      <c r="B6301">
        <v>1</v>
      </c>
    </row>
    <row r="6302" spans="2:2" x14ac:dyDescent="0.25">
      <c r="B6302">
        <v>1</v>
      </c>
    </row>
    <row r="6303" spans="2:2" x14ac:dyDescent="0.25">
      <c r="B6303">
        <v>1</v>
      </c>
    </row>
    <row r="6304" spans="2:2" x14ac:dyDescent="0.25">
      <c r="B6304">
        <v>1</v>
      </c>
    </row>
    <row r="6305" spans="2:2" x14ac:dyDescent="0.25">
      <c r="B6305">
        <v>1</v>
      </c>
    </row>
    <row r="6306" spans="2:2" x14ac:dyDescent="0.25">
      <c r="B6306">
        <v>1</v>
      </c>
    </row>
    <row r="6307" spans="2:2" x14ac:dyDescent="0.25">
      <c r="B6307">
        <v>1</v>
      </c>
    </row>
    <row r="6308" spans="2:2" x14ac:dyDescent="0.25">
      <c r="B6308">
        <v>1</v>
      </c>
    </row>
    <row r="6309" spans="2:2" x14ac:dyDescent="0.25">
      <c r="B6309">
        <v>1</v>
      </c>
    </row>
    <row r="6310" spans="2:2" x14ac:dyDescent="0.25">
      <c r="B6310">
        <v>1</v>
      </c>
    </row>
    <row r="6311" spans="2:2" x14ac:dyDescent="0.25">
      <c r="B6311">
        <v>1</v>
      </c>
    </row>
    <row r="6312" spans="2:2" x14ac:dyDescent="0.25">
      <c r="B6312">
        <v>1</v>
      </c>
    </row>
    <row r="6313" spans="2:2" x14ac:dyDescent="0.25">
      <c r="B6313">
        <v>1</v>
      </c>
    </row>
    <row r="6314" spans="2:2" x14ac:dyDescent="0.25">
      <c r="B6314">
        <v>1</v>
      </c>
    </row>
    <row r="6315" spans="2:2" x14ac:dyDescent="0.25">
      <c r="B6315">
        <v>1</v>
      </c>
    </row>
    <row r="6316" spans="2:2" x14ac:dyDescent="0.25">
      <c r="B6316">
        <v>1</v>
      </c>
    </row>
    <row r="6317" spans="2:2" x14ac:dyDescent="0.25">
      <c r="B6317">
        <v>1</v>
      </c>
    </row>
    <row r="6318" spans="2:2" x14ac:dyDescent="0.25">
      <c r="B6318">
        <v>1</v>
      </c>
    </row>
    <row r="6319" spans="2:2" x14ac:dyDescent="0.25">
      <c r="B6319">
        <v>1</v>
      </c>
    </row>
    <row r="6320" spans="2:2" x14ac:dyDescent="0.25">
      <c r="B6320">
        <v>1</v>
      </c>
    </row>
    <row r="6321" spans="2:2" x14ac:dyDescent="0.25">
      <c r="B6321">
        <v>1</v>
      </c>
    </row>
    <row r="6322" spans="2:2" x14ac:dyDescent="0.25">
      <c r="B6322">
        <v>1</v>
      </c>
    </row>
    <row r="6323" spans="2:2" x14ac:dyDescent="0.25">
      <c r="B6323">
        <v>1</v>
      </c>
    </row>
    <row r="6324" spans="2:2" x14ac:dyDescent="0.25">
      <c r="B6324">
        <v>1</v>
      </c>
    </row>
    <row r="6325" spans="2:2" x14ac:dyDescent="0.25">
      <c r="B6325">
        <v>1</v>
      </c>
    </row>
    <row r="6326" spans="2:2" x14ac:dyDescent="0.25">
      <c r="B6326">
        <v>1</v>
      </c>
    </row>
    <row r="6327" spans="2:2" x14ac:dyDescent="0.25">
      <c r="B6327">
        <v>1</v>
      </c>
    </row>
    <row r="6328" spans="2:2" x14ac:dyDescent="0.25">
      <c r="B6328">
        <v>1</v>
      </c>
    </row>
    <row r="6329" spans="2:2" x14ac:dyDescent="0.25">
      <c r="B6329">
        <v>1</v>
      </c>
    </row>
    <row r="6330" spans="2:2" x14ac:dyDescent="0.25">
      <c r="B6330">
        <v>1</v>
      </c>
    </row>
    <row r="6331" spans="2:2" x14ac:dyDescent="0.25">
      <c r="B6331">
        <v>1</v>
      </c>
    </row>
    <row r="6332" spans="2:2" x14ac:dyDescent="0.25">
      <c r="B6332">
        <v>1</v>
      </c>
    </row>
    <row r="6333" spans="2:2" x14ac:dyDescent="0.25">
      <c r="B6333">
        <v>1</v>
      </c>
    </row>
    <row r="6334" spans="2:2" x14ac:dyDescent="0.25">
      <c r="B6334">
        <v>1</v>
      </c>
    </row>
    <row r="6335" spans="2:2" x14ac:dyDescent="0.25">
      <c r="B6335">
        <v>1</v>
      </c>
    </row>
    <row r="6336" spans="2:2" x14ac:dyDescent="0.25">
      <c r="B6336">
        <v>1</v>
      </c>
    </row>
    <row r="6337" spans="2:2" x14ac:dyDescent="0.25">
      <c r="B6337">
        <v>1</v>
      </c>
    </row>
    <row r="6338" spans="2:2" x14ac:dyDescent="0.25">
      <c r="B6338">
        <v>1</v>
      </c>
    </row>
    <row r="6339" spans="2:2" x14ac:dyDescent="0.25">
      <c r="B6339">
        <v>1</v>
      </c>
    </row>
    <row r="6340" spans="2:2" x14ac:dyDescent="0.25">
      <c r="B6340">
        <v>1</v>
      </c>
    </row>
    <row r="6341" spans="2:2" x14ac:dyDescent="0.25">
      <c r="B6341">
        <v>1</v>
      </c>
    </row>
    <row r="6342" spans="2:2" x14ac:dyDescent="0.25">
      <c r="B6342">
        <v>1</v>
      </c>
    </row>
    <row r="6343" spans="2:2" x14ac:dyDescent="0.25">
      <c r="B6343">
        <v>1</v>
      </c>
    </row>
    <row r="6344" spans="2:2" x14ac:dyDescent="0.25">
      <c r="B6344">
        <v>1</v>
      </c>
    </row>
    <row r="6345" spans="2:2" x14ac:dyDescent="0.25">
      <c r="B6345">
        <v>1</v>
      </c>
    </row>
    <row r="6346" spans="2:2" x14ac:dyDescent="0.25">
      <c r="B6346">
        <v>1</v>
      </c>
    </row>
    <row r="6347" spans="2:2" x14ac:dyDescent="0.25">
      <c r="B6347">
        <v>1</v>
      </c>
    </row>
    <row r="6348" spans="2:2" x14ac:dyDescent="0.25">
      <c r="B6348">
        <v>1</v>
      </c>
    </row>
    <row r="6349" spans="2:2" x14ac:dyDescent="0.25">
      <c r="B6349">
        <v>1</v>
      </c>
    </row>
    <row r="6350" spans="2:2" x14ac:dyDescent="0.25">
      <c r="B6350">
        <v>1</v>
      </c>
    </row>
    <row r="6351" spans="2:2" x14ac:dyDescent="0.25">
      <c r="B6351">
        <v>1</v>
      </c>
    </row>
    <row r="6352" spans="2:2" x14ac:dyDescent="0.25">
      <c r="B6352">
        <v>1</v>
      </c>
    </row>
    <row r="6353" spans="2:2" x14ac:dyDescent="0.25">
      <c r="B6353">
        <v>1</v>
      </c>
    </row>
    <row r="6354" spans="2:2" x14ac:dyDescent="0.25">
      <c r="B6354">
        <v>1</v>
      </c>
    </row>
    <row r="6355" spans="2:2" x14ac:dyDescent="0.25">
      <c r="B6355">
        <v>1</v>
      </c>
    </row>
    <row r="6356" spans="2:2" x14ac:dyDescent="0.25">
      <c r="B6356">
        <v>1</v>
      </c>
    </row>
    <row r="6357" spans="2:2" x14ac:dyDescent="0.25">
      <c r="B6357">
        <v>1</v>
      </c>
    </row>
    <row r="6358" spans="2:2" x14ac:dyDescent="0.25">
      <c r="B6358">
        <v>1</v>
      </c>
    </row>
    <row r="6359" spans="2:2" x14ac:dyDescent="0.25">
      <c r="B6359">
        <v>1</v>
      </c>
    </row>
    <row r="6360" spans="2:2" x14ac:dyDescent="0.25">
      <c r="B6360">
        <v>1</v>
      </c>
    </row>
    <row r="6361" spans="2:2" x14ac:dyDescent="0.25">
      <c r="B6361">
        <v>1</v>
      </c>
    </row>
    <row r="6362" spans="2:2" x14ac:dyDescent="0.25">
      <c r="B6362">
        <v>1</v>
      </c>
    </row>
    <row r="6363" spans="2:2" x14ac:dyDescent="0.25">
      <c r="B6363">
        <v>1</v>
      </c>
    </row>
    <row r="6364" spans="2:2" x14ac:dyDescent="0.25">
      <c r="B6364">
        <v>1</v>
      </c>
    </row>
    <row r="6365" spans="2:2" x14ac:dyDescent="0.25">
      <c r="B6365">
        <v>1</v>
      </c>
    </row>
    <row r="6366" spans="2:2" x14ac:dyDescent="0.25">
      <c r="B6366">
        <v>1</v>
      </c>
    </row>
    <row r="6367" spans="2:2" x14ac:dyDescent="0.25">
      <c r="B6367">
        <v>1</v>
      </c>
    </row>
    <row r="6368" spans="2:2" x14ac:dyDescent="0.25">
      <c r="B6368">
        <v>1</v>
      </c>
    </row>
    <row r="6369" spans="2:2" x14ac:dyDescent="0.25">
      <c r="B6369">
        <v>1</v>
      </c>
    </row>
    <row r="6370" spans="2:2" x14ac:dyDescent="0.25">
      <c r="B6370">
        <v>1</v>
      </c>
    </row>
    <row r="6371" spans="2:2" x14ac:dyDescent="0.25">
      <c r="B6371">
        <v>1</v>
      </c>
    </row>
    <row r="6372" spans="2:2" x14ac:dyDescent="0.25">
      <c r="B6372">
        <v>1</v>
      </c>
    </row>
    <row r="6373" spans="2:2" x14ac:dyDescent="0.25">
      <c r="B6373">
        <v>1</v>
      </c>
    </row>
    <row r="6374" spans="2:2" x14ac:dyDescent="0.25">
      <c r="B6374">
        <v>1</v>
      </c>
    </row>
    <row r="6375" spans="2:2" x14ac:dyDescent="0.25">
      <c r="B6375">
        <v>1</v>
      </c>
    </row>
    <row r="6376" spans="2:2" x14ac:dyDescent="0.25">
      <c r="B6376">
        <v>1</v>
      </c>
    </row>
    <row r="6377" spans="2:2" x14ac:dyDescent="0.25">
      <c r="B6377">
        <v>1</v>
      </c>
    </row>
    <row r="6378" spans="2:2" x14ac:dyDescent="0.25">
      <c r="B6378">
        <v>1</v>
      </c>
    </row>
    <row r="6379" spans="2:2" x14ac:dyDescent="0.25">
      <c r="B6379">
        <v>1</v>
      </c>
    </row>
    <row r="6380" spans="2:2" x14ac:dyDescent="0.25">
      <c r="B6380">
        <v>1</v>
      </c>
    </row>
    <row r="6381" spans="2:2" x14ac:dyDescent="0.25">
      <c r="B6381">
        <v>1</v>
      </c>
    </row>
    <row r="6382" spans="2:2" x14ac:dyDescent="0.25">
      <c r="B6382">
        <v>1</v>
      </c>
    </row>
    <row r="6383" spans="2:2" x14ac:dyDescent="0.25">
      <c r="B6383">
        <v>1</v>
      </c>
    </row>
    <row r="6384" spans="2:2" x14ac:dyDescent="0.25">
      <c r="B6384">
        <v>1</v>
      </c>
    </row>
    <row r="6385" spans="2:2" x14ac:dyDescent="0.25">
      <c r="B6385">
        <v>1</v>
      </c>
    </row>
    <row r="6386" spans="2:2" x14ac:dyDescent="0.25">
      <c r="B6386">
        <v>1</v>
      </c>
    </row>
    <row r="6387" spans="2:2" x14ac:dyDescent="0.25">
      <c r="B6387">
        <v>1</v>
      </c>
    </row>
    <row r="6388" spans="2:2" x14ac:dyDescent="0.25">
      <c r="B6388">
        <v>1</v>
      </c>
    </row>
    <row r="6389" spans="2:2" x14ac:dyDescent="0.25">
      <c r="B6389">
        <v>1</v>
      </c>
    </row>
    <row r="6390" spans="2:2" x14ac:dyDescent="0.25">
      <c r="B6390">
        <v>1</v>
      </c>
    </row>
    <row r="6391" spans="2:2" x14ac:dyDescent="0.25">
      <c r="B6391">
        <v>1</v>
      </c>
    </row>
    <row r="6392" spans="2:2" x14ac:dyDescent="0.25">
      <c r="B6392">
        <v>1</v>
      </c>
    </row>
    <row r="6393" spans="2:2" x14ac:dyDescent="0.25">
      <c r="B6393">
        <v>1</v>
      </c>
    </row>
    <row r="6394" spans="2:2" x14ac:dyDescent="0.25">
      <c r="B6394">
        <v>1</v>
      </c>
    </row>
    <row r="6395" spans="2:2" x14ac:dyDescent="0.25">
      <c r="B6395">
        <v>1</v>
      </c>
    </row>
    <row r="6396" spans="2:2" x14ac:dyDescent="0.25">
      <c r="B6396">
        <v>1</v>
      </c>
    </row>
    <row r="6397" spans="2:2" x14ac:dyDescent="0.25">
      <c r="B6397">
        <v>1</v>
      </c>
    </row>
    <row r="6398" spans="2:2" x14ac:dyDescent="0.25">
      <c r="B6398">
        <v>1</v>
      </c>
    </row>
    <row r="6399" spans="2:2" x14ac:dyDescent="0.25">
      <c r="B6399">
        <v>1</v>
      </c>
    </row>
    <row r="6400" spans="2:2" x14ac:dyDescent="0.25">
      <c r="B6400">
        <v>1</v>
      </c>
    </row>
    <row r="6401" spans="2:2" x14ac:dyDescent="0.25">
      <c r="B6401">
        <v>1</v>
      </c>
    </row>
    <row r="6402" spans="2:2" x14ac:dyDescent="0.25">
      <c r="B6402">
        <v>1</v>
      </c>
    </row>
    <row r="6403" spans="2:2" x14ac:dyDescent="0.25">
      <c r="B6403">
        <v>1</v>
      </c>
    </row>
    <row r="6404" spans="2:2" x14ac:dyDescent="0.25">
      <c r="B6404">
        <v>1</v>
      </c>
    </row>
    <row r="6405" spans="2:2" x14ac:dyDescent="0.25">
      <c r="B6405">
        <v>1</v>
      </c>
    </row>
    <row r="6406" spans="2:2" x14ac:dyDescent="0.25">
      <c r="B6406">
        <v>1</v>
      </c>
    </row>
    <row r="6407" spans="2:2" x14ac:dyDescent="0.25">
      <c r="B6407">
        <v>1</v>
      </c>
    </row>
    <row r="6408" spans="2:2" x14ac:dyDescent="0.25">
      <c r="B6408">
        <v>1</v>
      </c>
    </row>
    <row r="6409" spans="2:2" x14ac:dyDescent="0.25">
      <c r="B6409">
        <v>1</v>
      </c>
    </row>
    <row r="6410" spans="2:2" x14ac:dyDescent="0.25">
      <c r="B6410">
        <v>1</v>
      </c>
    </row>
    <row r="6411" spans="2:2" x14ac:dyDescent="0.25">
      <c r="B6411">
        <v>1</v>
      </c>
    </row>
    <row r="6412" spans="2:2" x14ac:dyDescent="0.25">
      <c r="B6412">
        <v>1</v>
      </c>
    </row>
    <row r="6413" spans="2:2" x14ac:dyDescent="0.25">
      <c r="B6413">
        <v>1</v>
      </c>
    </row>
    <row r="6414" spans="2:2" x14ac:dyDescent="0.25">
      <c r="B6414">
        <v>1</v>
      </c>
    </row>
    <row r="6415" spans="2:2" x14ac:dyDescent="0.25">
      <c r="B6415">
        <v>1</v>
      </c>
    </row>
    <row r="6416" spans="2:2" x14ac:dyDescent="0.25">
      <c r="B6416">
        <v>1</v>
      </c>
    </row>
    <row r="6417" spans="2:2" x14ac:dyDescent="0.25">
      <c r="B6417">
        <v>1</v>
      </c>
    </row>
    <row r="6418" spans="2:2" x14ac:dyDescent="0.25">
      <c r="B6418">
        <v>1</v>
      </c>
    </row>
    <row r="6419" spans="2:2" x14ac:dyDescent="0.25">
      <c r="B6419">
        <v>1</v>
      </c>
    </row>
    <row r="6420" spans="2:2" x14ac:dyDescent="0.25">
      <c r="B6420">
        <v>1</v>
      </c>
    </row>
    <row r="6421" spans="2:2" x14ac:dyDescent="0.25">
      <c r="B6421">
        <v>1</v>
      </c>
    </row>
    <row r="6422" spans="2:2" x14ac:dyDescent="0.25">
      <c r="B6422">
        <v>1</v>
      </c>
    </row>
    <row r="6423" spans="2:2" x14ac:dyDescent="0.25">
      <c r="B6423">
        <v>1</v>
      </c>
    </row>
    <row r="6424" spans="2:2" x14ac:dyDescent="0.25">
      <c r="B6424">
        <v>1</v>
      </c>
    </row>
    <row r="6425" spans="2:2" x14ac:dyDescent="0.25">
      <c r="B6425">
        <v>1</v>
      </c>
    </row>
    <row r="6426" spans="2:2" x14ac:dyDescent="0.25">
      <c r="B6426">
        <v>1</v>
      </c>
    </row>
    <row r="6427" spans="2:2" x14ac:dyDescent="0.25">
      <c r="B6427">
        <v>1</v>
      </c>
    </row>
    <row r="6428" spans="2:2" x14ac:dyDescent="0.25">
      <c r="B6428">
        <v>1</v>
      </c>
    </row>
    <row r="6429" spans="2:2" x14ac:dyDescent="0.25">
      <c r="B6429">
        <v>1</v>
      </c>
    </row>
    <row r="6430" spans="2:2" x14ac:dyDescent="0.25">
      <c r="B6430">
        <v>1</v>
      </c>
    </row>
    <row r="6431" spans="2:2" x14ac:dyDescent="0.25">
      <c r="B6431">
        <v>1</v>
      </c>
    </row>
    <row r="6432" spans="2:2" x14ac:dyDescent="0.25">
      <c r="B6432">
        <v>1</v>
      </c>
    </row>
    <row r="6433" spans="2:2" x14ac:dyDescent="0.25">
      <c r="B6433">
        <v>1</v>
      </c>
    </row>
    <row r="6434" spans="2:2" x14ac:dyDescent="0.25">
      <c r="B6434">
        <v>1</v>
      </c>
    </row>
    <row r="6435" spans="2:2" x14ac:dyDescent="0.25">
      <c r="B6435">
        <v>1</v>
      </c>
    </row>
    <row r="6436" spans="2:2" x14ac:dyDescent="0.25">
      <c r="B6436">
        <v>1</v>
      </c>
    </row>
    <row r="6437" spans="2:2" x14ac:dyDescent="0.25">
      <c r="B6437">
        <v>1</v>
      </c>
    </row>
    <row r="6438" spans="2:2" x14ac:dyDescent="0.25">
      <c r="B6438">
        <v>1</v>
      </c>
    </row>
    <row r="6439" spans="2:2" x14ac:dyDescent="0.25">
      <c r="B6439">
        <v>1</v>
      </c>
    </row>
    <row r="6440" spans="2:2" x14ac:dyDescent="0.25">
      <c r="B6440">
        <v>1</v>
      </c>
    </row>
    <row r="6441" spans="2:2" x14ac:dyDescent="0.25">
      <c r="B6441">
        <v>1</v>
      </c>
    </row>
    <row r="6442" spans="2:2" x14ac:dyDescent="0.25">
      <c r="B6442">
        <v>1</v>
      </c>
    </row>
    <row r="6443" spans="2:2" x14ac:dyDescent="0.25">
      <c r="B6443">
        <v>1</v>
      </c>
    </row>
    <row r="6444" spans="2:2" x14ac:dyDescent="0.25">
      <c r="B6444">
        <v>1</v>
      </c>
    </row>
    <row r="6445" spans="2:2" x14ac:dyDescent="0.25">
      <c r="B6445">
        <v>1</v>
      </c>
    </row>
    <row r="6446" spans="2:2" x14ac:dyDescent="0.25">
      <c r="B6446">
        <v>1</v>
      </c>
    </row>
    <row r="6447" spans="2:2" x14ac:dyDescent="0.25">
      <c r="B6447">
        <v>1</v>
      </c>
    </row>
    <row r="6448" spans="2:2" x14ac:dyDescent="0.25">
      <c r="B6448">
        <v>1</v>
      </c>
    </row>
    <row r="6449" spans="2:2" x14ac:dyDescent="0.25">
      <c r="B6449">
        <v>1</v>
      </c>
    </row>
    <row r="6450" spans="2:2" x14ac:dyDescent="0.25">
      <c r="B6450">
        <v>1</v>
      </c>
    </row>
    <row r="6451" spans="2:2" x14ac:dyDescent="0.25">
      <c r="B6451">
        <v>1</v>
      </c>
    </row>
    <row r="6452" spans="2:2" x14ac:dyDescent="0.25">
      <c r="B6452">
        <v>1</v>
      </c>
    </row>
    <row r="6453" spans="2:2" x14ac:dyDescent="0.25">
      <c r="B6453">
        <v>1</v>
      </c>
    </row>
    <row r="6454" spans="2:2" x14ac:dyDescent="0.25">
      <c r="B6454">
        <v>1</v>
      </c>
    </row>
    <row r="6455" spans="2:2" x14ac:dyDescent="0.25">
      <c r="B6455">
        <v>1</v>
      </c>
    </row>
    <row r="6456" spans="2:2" x14ac:dyDescent="0.25">
      <c r="B6456">
        <v>1</v>
      </c>
    </row>
    <row r="6457" spans="2:2" x14ac:dyDescent="0.25">
      <c r="B6457">
        <v>1</v>
      </c>
    </row>
    <row r="6458" spans="2:2" x14ac:dyDescent="0.25">
      <c r="B6458">
        <v>1</v>
      </c>
    </row>
    <row r="6459" spans="2:2" x14ac:dyDescent="0.25">
      <c r="B6459">
        <v>1</v>
      </c>
    </row>
    <row r="6460" spans="2:2" x14ac:dyDescent="0.25">
      <c r="B6460">
        <v>1</v>
      </c>
    </row>
    <row r="6461" spans="2:2" x14ac:dyDescent="0.25">
      <c r="B6461">
        <v>1</v>
      </c>
    </row>
    <row r="6462" spans="2:2" x14ac:dyDescent="0.25">
      <c r="B6462">
        <v>1</v>
      </c>
    </row>
    <row r="6463" spans="2:2" x14ac:dyDescent="0.25">
      <c r="B6463">
        <v>1</v>
      </c>
    </row>
    <row r="6464" spans="2:2" x14ac:dyDescent="0.25">
      <c r="B6464">
        <v>1</v>
      </c>
    </row>
    <row r="6465" spans="2:2" x14ac:dyDescent="0.25">
      <c r="B6465">
        <v>1</v>
      </c>
    </row>
    <row r="6466" spans="2:2" x14ac:dyDescent="0.25">
      <c r="B6466">
        <v>1</v>
      </c>
    </row>
    <row r="6467" spans="2:2" x14ac:dyDescent="0.25">
      <c r="B6467">
        <v>1</v>
      </c>
    </row>
    <row r="6468" spans="2:2" x14ac:dyDescent="0.25">
      <c r="B6468">
        <v>1</v>
      </c>
    </row>
    <row r="6469" spans="2:2" x14ac:dyDescent="0.25">
      <c r="B6469">
        <v>1</v>
      </c>
    </row>
    <row r="6470" spans="2:2" x14ac:dyDescent="0.25">
      <c r="B6470">
        <v>1</v>
      </c>
    </row>
    <row r="6471" spans="2:2" x14ac:dyDescent="0.25">
      <c r="B6471">
        <v>1</v>
      </c>
    </row>
    <row r="6472" spans="2:2" x14ac:dyDescent="0.25">
      <c r="B6472">
        <v>1</v>
      </c>
    </row>
    <row r="6473" spans="2:2" x14ac:dyDescent="0.25">
      <c r="B6473">
        <v>1</v>
      </c>
    </row>
    <row r="6474" spans="2:2" x14ac:dyDescent="0.25">
      <c r="B6474">
        <v>1</v>
      </c>
    </row>
    <row r="6475" spans="2:2" x14ac:dyDescent="0.25">
      <c r="B6475">
        <v>1</v>
      </c>
    </row>
    <row r="6476" spans="2:2" x14ac:dyDescent="0.25">
      <c r="B6476">
        <v>1</v>
      </c>
    </row>
    <row r="6477" spans="2:2" x14ac:dyDescent="0.25">
      <c r="B6477">
        <v>1</v>
      </c>
    </row>
    <row r="6478" spans="2:2" x14ac:dyDescent="0.25">
      <c r="B6478">
        <v>1</v>
      </c>
    </row>
    <row r="6479" spans="2:2" x14ac:dyDescent="0.25">
      <c r="B6479">
        <v>1</v>
      </c>
    </row>
    <row r="6480" spans="2:2" x14ac:dyDescent="0.25">
      <c r="B6480">
        <v>1</v>
      </c>
    </row>
    <row r="6481" spans="2:2" x14ac:dyDescent="0.25">
      <c r="B6481">
        <v>1</v>
      </c>
    </row>
    <row r="6482" spans="2:2" x14ac:dyDescent="0.25">
      <c r="B6482">
        <v>1</v>
      </c>
    </row>
    <row r="6483" spans="2:2" x14ac:dyDescent="0.25">
      <c r="B6483">
        <v>1</v>
      </c>
    </row>
    <row r="6484" spans="2:2" x14ac:dyDescent="0.25">
      <c r="B6484">
        <v>1</v>
      </c>
    </row>
    <row r="6485" spans="2:2" x14ac:dyDescent="0.25">
      <c r="B6485">
        <v>1</v>
      </c>
    </row>
    <row r="6486" spans="2:2" x14ac:dyDescent="0.25">
      <c r="B6486">
        <v>1</v>
      </c>
    </row>
    <row r="6487" spans="2:2" x14ac:dyDescent="0.25">
      <c r="B6487">
        <v>1</v>
      </c>
    </row>
    <row r="6488" spans="2:2" x14ac:dyDescent="0.25">
      <c r="B6488">
        <v>1</v>
      </c>
    </row>
    <row r="6489" spans="2:2" x14ac:dyDescent="0.25">
      <c r="B6489">
        <v>1</v>
      </c>
    </row>
    <row r="6490" spans="2:2" x14ac:dyDescent="0.25">
      <c r="B6490">
        <v>1</v>
      </c>
    </row>
    <row r="6491" spans="2:2" x14ac:dyDescent="0.25">
      <c r="B6491">
        <v>1</v>
      </c>
    </row>
    <row r="6492" spans="2:2" x14ac:dyDescent="0.25">
      <c r="B6492">
        <v>1</v>
      </c>
    </row>
    <row r="6493" spans="2:2" x14ac:dyDescent="0.25">
      <c r="B6493">
        <v>1</v>
      </c>
    </row>
    <row r="6494" spans="2:2" x14ac:dyDescent="0.25">
      <c r="B6494">
        <v>1</v>
      </c>
    </row>
    <row r="6495" spans="2:2" x14ac:dyDescent="0.25">
      <c r="B6495">
        <v>1</v>
      </c>
    </row>
    <row r="6496" spans="2:2" x14ac:dyDescent="0.25">
      <c r="B6496">
        <v>1</v>
      </c>
    </row>
    <row r="6497" spans="2:2" x14ac:dyDescent="0.25">
      <c r="B6497">
        <v>1</v>
      </c>
    </row>
    <row r="6498" spans="2:2" x14ac:dyDescent="0.25">
      <c r="B6498">
        <v>1</v>
      </c>
    </row>
    <row r="6499" spans="2:2" x14ac:dyDescent="0.25">
      <c r="B6499">
        <v>1</v>
      </c>
    </row>
    <row r="6500" spans="2:2" x14ac:dyDescent="0.25">
      <c r="B6500">
        <v>1</v>
      </c>
    </row>
    <row r="6501" spans="2:2" x14ac:dyDescent="0.25">
      <c r="B6501">
        <v>1</v>
      </c>
    </row>
    <row r="6502" spans="2:2" x14ac:dyDescent="0.25">
      <c r="B6502">
        <v>1</v>
      </c>
    </row>
    <row r="6503" spans="2:2" x14ac:dyDescent="0.25">
      <c r="B6503">
        <v>1</v>
      </c>
    </row>
    <row r="6504" spans="2:2" x14ac:dyDescent="0.25">
      <c r="B6504">
        <v>1</v>
      </c>
    </row>
    <row r="6505" spans="2:2" x14ac:dyDescent="0.25">
      <c r="B6505">
        <v>1</v>
      </c>
    </row>
    <row r="6506" spans="2:2" x14ac:dyDescent="0.25">
      <c r="B6506">
        <v>1</v>
      </c>
    </row>
    <row r="6507" spans="2:2" x14ac:dyDescent="0.25">
      <c r="B6507">
        <v>1</v>
      </c>
    </row>
    <row r="6508" spans="2:2" x14ac:dyDescent="0.25">
      <c r="B6508">
        <v>1</v>
      </c>
    </row>
    <row r="6509" spans="2:2" x14ac:dyDescent="0.25">
      <c r="B6509">
        <v>1</v>
      </c>
    </row>
    <row r="6510" spans="2:2" x14ac:dyDescent="0.25">
      <c r="B6510">
        <v>1</v>
      </c>
    </row>
    <row r="6511" spans="2:2" x14ac:dyDescent="0.25">
      <c r="B6511">
        <v>1</v>
      </c>
    </row>
    <row r="6512" spans="2:2" x14ac:dyDescent="0.25">
      <c r="B6512">
        <v>1</v>
      </c>
    </row>
    <row r="6513" spans="2:2" x14ac:dyDescent="0.25">
      <c r="B6513">
        <v>1</v>
      </c>
    </row>
    <row r="6514" spans="2:2" x14ac:dyDescent="0.25">
      <c r="B6514">
        <v>1</v>
      </c>
    </row>
    <row r="6515" spans="2:2" x14ac:dyDescent="0.25">
      <c r="B6515">
        <v>1</v>
      </c>
    </row>
    <row r="6516" spans="2:2" x14ac:dyDescent="0.25">
      <c r="B6516">
        <v>1</v>
      </c>
    </row>
    <row r="6517" spans="2:2" x14ac:dyDescent="0.25">
      <c r="B6517">
        <v>1</v>
      </c>
    </row>
    <row r="6518" spans="2:2" x14ac:dyDescent="0.25">
      <c r="B6518">
        <v>1</v>
      </c>
    </row>
    <row r="6519" spans="2:2" x14ac:dyDescent="0.25">
      <c r="B6519">
        <v>1</v>
      </c>
    </row>
    <row r="6520" spans="2:2" x14ac:dyDescent="0.25">
      <c r="B6520">
        <v>1</v>
      </c>
    </row>
    <row r="6521" spans="2:2" x14ac:dyDescent="0.25">
      <c r="B6521">
        <v>1</v>
      </c>
    </row>
    <row r="6522" spans="2:2" x14ac:dyDescent="0.25">
      <c r="B6522">
        <v>1</v>
      </c>
    </row>
    <row r="6523" spans="2:2" x14ac:dyDescent="0.25">
      <c r="B6523">
        <v>1</v>
      </c>
    </row>
    <row r="6524" spans="2:2" x14ac:dyDescent="0.25">
      <c r="B6524">
        <v>1</v>
      </c>
    </row>
    <row r="6525" spans="2:2" x14ac:dyDescent="0.25">
      <c r="B6525">
        <v>1</v>
      </c>
    </row>
    <row r="6526" spans="2:2" x14ac:dyDescent="0.25">
      <c r="B6526">
        <v>1</v>
      </c>
    </row>
    <row r="6527" spans="2:2" x14ac:dyDescent="0.25">
      <c r="B6527">
        <v>1</v>
      </c>
    </row>
    <row r="6528" spans="2:2" x14ac:dyDescent="0.25">
      <c r="B6528">
        <v>1</v>
      </c>
    </row>
    <row r="6529" spans="2:2" x14ac:dyDescent="0.25">
      <c r="B6529">
        <v>1</v>
      </c>
    </row>
    <row r="6530" spans="2:2" x14ac:dyDescent="0.25">
      <c r="B6530">
        <v>1</v>
      </c>
    </row>
    <row r="6531" spans="2:2" x14ac:dyDescent="0.25">
      <c r="B6531">
        <v>1</v>
      </c>
    </row>
    <row r="6532" spans="2:2" x14ac:dyDescent="0.25">
      <c r="B6532">
        <v>1</v>
      </c>
    </row>
    <row r="6533" spans="2:2" x14ac:dyDescent="0.25">
      <c r="B6533">
        <v>1</v>
      </c>
    </row>
    <row r="6534" spans="2:2" x14ac:dyDescent="0.25">
      <c r="B6534">
        <v>1</v>
      </c>
    </row>
    <row r="6535" spans="2:2" x14ac:dyDescent="0.25">
      <c r="B6535">
        <v>1</v>
      </c>
    </row>
    <row r="6536" spans="2:2" x14ac:dyDescent="0.25">
      <c r="B6536">
        <v>1</v>
      </c>
    </row>
    <row r="6537" spans="2:2" x14ac:dyDescent="0.25">
      <c r="B6537">
        <v>1</v>
      </c>
    </row>
    <row r="6538" spans="2:2" x14ac:dyDescent="0.25">
      <c r="B6538">
        <v>1</v>
      </c>
    </row>
    <row r="6539" spans="2:2" x14ac:dyDescent="0.25">
      <c r="B6539">
        <v>1</v>
      </c>
    </row>
    <row r="6540" spans="2:2" x14ac:dyDescent="0.25">
      <c r="B6540">
        <v>1</v>
      </c>
    </row>
    <row r="6541" spans="2:2" x14ac:dyDescent="0.25">
      <c r="B6541">
        <v>1</v>
      </c>
    </row>
    <row r="6542" spans="2:2" x14ac:dyDescent="0.25">
      <c r="B6542">
        <v>1</v>
      </c>
    </row>
    <row r="6543" spans="2:2" x14ac:dyDescent="0.25">
      <c r="B6543">
        <v>1</v>
      </c>
    </row>
    <row r="6544" spans="2:2" x14ac:dyDescent="0.25">
      <c r="B6544">
        <v>1</v>
      </c>
    </row>
    <row r="6545" spans="2:2" x14ac:dyDescent="0.25">
      <c r="B6545">
        <v>1</v>
      </c>
    </row>
    <row r="6546" spans="2:2" x14ac:dyDescent="0.25">
      <c r="B6546">
        <v>1</v>
      </c>
    </row>
    <row r="6547" spans="2:2" x14ac:dyDescent="0.25">
      <c r="B6547">
        <v>1</v>
      </c>
    </row>
    <row r="6548" spans="2:2" x14ac:dyDescent="0.25">
      <c r="B6548">
        <v>1</v>
      </c>
    </row>
    <row r="6549" spans="2:2" x14ac:dyDescent="0.25">
      <c r="B6549">
        <v>1</v>
      </c>
    </row>
    <row r="6550" spans="2:2" x14ac:dyDescent="0.25">
      <c r="B6550">
        <v>1</v>
      </c>
    </row>
    <row r="6551" spans="2:2" x14ac:dyDescent="0.25">
      <c r="B6551">
        <v>1</v>
      </c>
    </row>
    <row r="6552" spans="2:2" x14ac:dyDescent="0.25">
      <c r="B6552">
        <v>1</v>
      </c>
    </row>
    <row r="6553" spans="2:2" x14ac:dyDescent="0.25">
      <c r="B6553">
        <v>1</v>
      </c>
    </row>
    <row r="6554" spans="2:2" x14ac:dyDescent="0.25">
      <c r="B6554">
        <v>1</v>
      </c>
    </row>
    <row r="6555" spans="2:2" x14ac:dyDescent="0.25">
      <c r="B6555">
        <v>1</v>
      </c>
    </row>
    <row r="6556" spans="2:2" x14ac:dyDescent="0.25">
      <c r="B6556">
        <v>1</v>
      </c>
    </row>
    <row r="6557" spans="2:2" x14ac:dyDescent="0.25">
      <c r="B6557">
        <v>1</v>
      </c>
    </row>
    <row r="6558" spans="2:2" x14ac:dyDescent="0.25">
      <c r="B6558">
        <v>1</v>
      </c>
    </row>
    <row r="6559" spans="2:2" x14ac:dyDescent="0.25">
      <c r="B6559">
        <v>1</v>
      </c>
    </row>
    <row r="6560" spans="2:2" x14ac:dyDescent="0.25">
      <c r="B6560">
        <v>1</v>
      </c>
    </row>
    <row r="6561" spans="2:2" x14ac:dyDescent="0.25">
      <c r="B6561">
        <v>1</v>
      </c>
    </row>
    <row r="6562" spans="2:2" x14ac:dyDescent="0.25">
      <c r="B6562">
        <v>1</v>
      </c>
    </row>
    <row r="6563" spans="2:2" x14ac:dyDescent="0.25">
      <c r="B6563">
        <v>1</v>
      </c>
    </row>
    <row r="6564" spans="2:2" x14ac:dyDescent="0.25">
      <c r="B6564">
        <v>1</v>
      </c>
    </row>
    <row r="6565" spans="2:2" x14ac:dyDescent="0.25">
      <c r="B6565">
        <v>1</v>
      </c>
    </row>
    <row r="6566" spans="2:2" x14ac:dyDescent="0.25">
      <c r="B6566">
        <v>1</v>
      </c>
    </row>
    <row r="6567" spans="2:2" x14ac:dyDescent="0.25">
      <c r="B6567">
        <v>1</v>
      </c>
    </row>
    <row r="6568" spans="2:2" x14ac:dyDescent="0.25">
      <c r="B6568">
        <v>1</v>
      </c>
    </row>
    <row r="6569" spans="2:2" x14ac:dyDescent="0.25">
      <c r="B6569">
        <v>1</v>
      </c>
    </row>
    <row r="6570" spans="2:2" x14ac:dyDescent="0.25">
      <c r="B6570">
        <v>1</v>
      </c>
    </row>
    <row r="6571" spans="2:2" x14ac:dyDescent="0.25">
      <c r="B6571">
        <v>1</v>
      </c>
    </row>
    <row r="6572" spans="2:2" x14ac:dyDescent="0.25">
      <c r="B6572">
        <v>1</v>
      </c>
    </row>
    <row r="6573" spans="2:2" x14ac:dyDescent="0.25">
      <c r="B6573">
        <v>1</v>
      </c>
    </row>
    <row r="6574" spans="2:2" x14ac:dyDescent="0.25">
      <c r="B6574">
        <v>1</v>
      </c>
    </row>
    <row r="6575" spans="2:2" x14ac:dyDescent="0.25">
      <c r="B6575">
        <v>1</v>
      </c>
    </row>
    <row r="6576" spans="2:2" x14ac:dyDescent="0.25">
      <c r="B6576">
        <v>1</v>
      </c>
    </row>
    <row r="6577" spans="2:2" x14ac:dyDescent="0.25">
      <c r="B6577">
        <v>1</v>
      </c>
    </row>
    <row r="6578" spans="2:2" x14ac:dyDescent="0.25">
      <c r="B6578">
        <v>1</v>
      </c>
    </row>
    <row r="6579" spans="2:2" x14ac:dyDescent="0.25">
      <c r="B6579">
        <v>1</v>
      </c>
    </row>
    <row r="6580" spans="2:2" x14ac:dyDescent="0.25">
      <c r="B6580">
        <v>1</v>
      </c>
    </row>
    <row r="6581" spans="2:2" x14ac:dyDescent="0.25">
      <c r="B6581">
        <v>1</v>
      </c>
    </row>
    <row r="6582" spans="2:2" x14ac:dyDescent="0.25">
      <c r="B6582">
        <v>1</v>
      </c>
    </row>
    <row r="6583" spans="2:2" x14ac:dyDescent="0.25">
      <c r="B6583">
        <v>1</v>
      </c>
    </row>
    <row r="6584" spans="2:2" x14ac:dyDescent="0.25">
      <c r="B6584">
        <v>1</v>
      </c>
    </row>
    <row r="6585" spans="2:2" x14ac:dyDescent="0.25">
      <c r="B6585">
        <v>1</v>
      </c>
    </row>
    <row r="6586" spans="2:2" x14ac:dyDescent="0.25">
      <c r="B6586">
        <v>1</v>
      </c>
    </row>
    <row r="6587" spans="2:2" x14ac:dyDescent="0.25">
      <c r="B6587">
        <v>1</v>
      </c>
    </row>
    <row r="6588" spans="2:2" x14ac:dyDescent="0.25">
      <c r="B6588">
        <v>1</v>
      </c>
    </row>
    <row r="6589" spans="2:2" x14ac:dyDescent="0.25">
      <c r="B6589">
        <v>1</v>
      </c>
    </row>
    <row r="6590" spans="2:2" x14ac:dyDescent="0.25">
      <c r="B6590">
        <v>1</v>
      </c>
    </row>
    <row r="6591" spans="2:2" x14ac:dyDescent="0.25">
      <c r="B6591">
        <v>1</v>
      </c>
    </row>
    <row r="6592" spans="2:2" x14ac:dyDescent="0.25">
      <c r="B6592">
        <v>1</v>
      </c>
    </row>
    <row r="6593" spans="2:2" x14ac:dyDescent="0.25">
      <c r="B6593">
        <v>1</v>
      </c>
    </row>
    <row r="6594" spans="2:2" x14ac:dyDescent="0.25">
      <c r="B6594">
        <v>1</v>
      </c>
    </row>
    <row r="6595" spans="2:2" x14ac:dyDescent="0.25">
      <c r="B6595">
        <v>1</v>
      </c>
    </row>
    <row r="6596" spans="2:2" x14ac:dyDescent="0.25">
      <c r="B6596">
        <v>1</v>
      </c>
    </row>
    <row r="6597" spans="2:2" x14ac:dyDescent="0.25">
      <c r="B6597">
        <v>1</v>
      </c>
    </row>
    <row r="6598" spans="2:2" x14ac:dyDescent="0.25">
      <c r="B6598">
        <v>1</v>
      </c>
    </row>
    <row r="6599" spans="2:2" x14ac:dyDescent="0.25">
      <c r="B6599">
        <v>1</v>
      </c>
    </row>
    <row r="6600" spans="2:2" x14ac:dyDescent="0.25">
      <c r="B6600">
        <v>1</v>
      </c>
    </row>
    <row r="6601" spans="2:2" x14ac:dyDescent="0.25">
      <c r="B6601">
        <v>1</v>
      </c>
    </row>
    <row r="6602" spans="2:2" x14ac:dyDescent="0.25">
      <c r="B6602">
        <v>1</v>
      </c>
    </row>
    <row r="6603" spans="2:2" x14ac:dyDescent="0.25">
      <c r="B6603">
        <v>1</v>
      </c>
    </row>
    <row r="6604" spans="2:2" x14ac:dyDescent="0.25">
      <c r="B6604">
        <v>1</v>
      </c>
    </row>
    <row r="6605" spans="2:2" x14ac:dyDescent="0.25">
      <c r="B6605">
        <v>1</v>
      </c>
    </row>
    <row r="6606" spans="2:2" x14ac:dyDescent="0.25">
      <c r="B6606">
        <v>1</v>
      </c>
    </row>
    <row r="6607" spans="2:2" x14ac:dyDescent="0.25">
      <c r="B6607">
        <v>1</v>
      </c>
    </row>
    <row r="6608" spans="2:2" x14ac:dyDescent="0.25">
      <c r="B6608">
        <v>1</v>
      </c>
    </row>
    <row r="6609" spans="2:2" x14ac:dyDescent="0.25">
      <c r="B6609">
        <v>1</v>
      </c>
    </row>
    <row r="6610" spans="2:2" x14ac:dyDescent="0.25">
      <c r="B6610">
        <v>1</v>
      </c>
    </row>
    <row r="6611" spans="2:2" x14ac:dyDescent="0.25">
      <c r="B6611">
        <v>1</v>
      </c>
    </row>
    <row r="6612" spans="2:2" x14ac:dyDescent="0.25">
      <c r="B6612">
        <v>1</v>
      </c>
    </row>
    <row r="6613" spans="2:2" x14ac:dyDescent="0.25">
      <c r="B6613">
        <v>1</v>
      </c>
    </row>
    <row r="6614" spans="2:2" x14ac:dyDescent="0.25">
      <c r="B6614">
        <v>1</v>
      </c>
    </row>
    <row r="6615" spans="2:2" x14ac:dyDescent="0.25">
      <c r="B6615">
        <v>1</v>
      </c>
    </row>
    <row r="6616" spans="2:2" x14ac:dyDescent="0.25">
      <c r="B6616">
        <v>1</v>
      </c>
    </row>
    <row r="6617" spans="2:2" x14ac:dyDescent="0.25">
      <c r="B6617">
        <v>1</v>
      </c>
    </row>
    <row r="6618" spans="2:2" x14ac:dyDescent="0.25">
      <c r="B6618">
        <v>1</v>
      </c>
    </row>
    <row r="6619" spans="2:2" x14ac:dyDescent="0.25">
      <c r="B6619">
        <v>1</v>
      </c>
    </row>
    <row r="6620" spans="2:2" x14ac:dyDescent="0.25">
      <c r="B6620">
        <v>1</v>
      </c>
    </row>
    <row r="6621" spans="2:2" x14ac:dyDescent="0.25">
      <c r="B6621">
        <v>1</v>
      </c>
    </row>
    <row r="6622" spans="2:2" x14ac:dyDescent="0.25">
      <c r="B6622">
        <v>1</v>
      </c>
    </row>
    <row r="6623" spans="2:2" x14ac:dyDescent="0.25">
      <c r="B6623">
        <v>1</v>
      </c>
    </row>
    <row r="6624" spans="2:2" x14ac:dyDescent="0.25">
      <c r="B6624">
        <v>1</v>
      </c>
    </row>
    <row r="6625" spans="2:2" x14ac:dyDescent="0.25">
      <c r="B6625">
        <v>1</v>
      </c>
    </row>
    <row r="6626" spans="2:2" x14ac:dyDescent="0.25">
      <c r="B6626">
        <v>1</v>
      </c>
    </row>
    <row r="6627" spans="2:2" x14ac:dyDescent="0.25">
      <c r="B6627">
        <v>1</v>
      </c>
    </row>
    <row r="6628" spans="2:2" x14ac:dyDescent="0.25">
      <c r="B6628">
        <v>1</v>
      </c>
    </row>
    <row r="6629" spans="2:2" x14ac:dyDescent="0.25">
      <c r="B6629">
        <v>1</v>
      </c>
    </row>
    <row r="6630" spans="2:2" x14ac:dyDescent="0.25">
      <c r="B6630">
        <v>1</v>
      </c>
    </row>
    <row r="6631" spans="2:2" x14ac:dyDescent="0.25">
      <c r="B6631">
        <v>1</v>
      </c>
    </row>
    <row r="6632" spans="2:2" x14ac:dyDescent="0.25">
      <c r="B6632">
        <v>1</v>
      </c>
    </row>
    <row r="6633" spans="2:2" x14ac:dyDescent="0.25">
      <c r="B6633">
        <v>1</v>
      </c>
    </row>
    <row r="6634" spans="2:2" x14ac:dyDescent="0.25">
      <c r="B6634">
        <v>1</v>
      </c>
    </row>
    <row r="6635" spans="2:2" x14ac:dyDescent="0.25">
      <c r="B6635">
        <v>1</v>
      </c>
    </row>
    <row r="6636" spans="2:2" x14ac:dyDescent="0.25">
      <c r="B6636">
        <v>1</v>
      </c>
    </row>
    <row r="6637" spans="2:2" x14ac:dyDescent="0.25">
      <c r="B6637">
        <v>1</v>
      </c>
    </row>
    <row r="6638" spans="2:2" x14ac:dyDescent="0.25">
      <c r="B6638">
        <v>1</v>
      </c>
    </row>
    <row r="6639" spans="2:2" x14ac:dyDescent="0.25">
      <c r="B6639">
        <v>1</v>
      </c>
    </row>
    <row r="6640" spans="2:2" x14ac:dyDescent="0.25">
      <c r="B6640">
        <v>1</v>
      </c>
    </row>
    <row r="6641" spans="2:2" x14ac:dyDescent="0.25">
      <c r="B6641">
        <v>1</v>
      </c>
    </row>
    <row r="6642" spans="2:2" x14ac:dyDescent="0.25">
      <c r="B6642">
        <v>1</v>
      </c>
    </row>
    <row r="6643" spans="2:2" x14ac:dyDescent="0.25">
      <c r="B6643">
        <v>1</v>
      </c>
    </row>
    <row r="6644" spans="2:2" x14ac:dyDescent="0.25">
      <c r="B6644">
        <v>1</v>
      </c>
    </row>
    <row r="6645" spans="2:2" x14ac:dyDescent="0.25">
      <c r="B6645">
        <v>1</v>
      </c>
    </row>
    <row r="6646" spans="2:2" x14ac:dyDescent="0.25">
      <c r="B6646">
        <v>1</v>
      </c>
    </row>
    <row r="6647" spans="2:2" x14ac:dyDescent="0.25">
      <c r="B6647">
        <v>1</v>
      </c>
    </row>
    <row r="6648" spans="2:2" x14ac:dyDescent="0.25">
      <c r="B6648">
        <v>1</v>
      </c>
    </row>
    <row r="6649" spans="2:2" x14ac:dyDescent="0.25">
      <c r="B6649">
        <v>1</v>
      </c>
    </row>
    <row r="6650" spans="2:2" x14ac:dyDescent="0.25">
      <c r="B6650">
        <v>1</v>
      </c>
    </row>
    <row r="6651" spans="2:2" x14ac:dyDescent="0.25">
      <c r="B6651">
        <v>1</v>
      </c>
    </row>
    <row r="6652" spans="2:2" x14ac:dyDescent="0.25">
      <c r="B6652">
        <v>1</v>
      </c>
    </row>
    <row r="6653" spans="2:2" x14ac:dyDescent="0.25">
      <c r="B6653">
        <v>1</v>
      </c>
    </row>
    <row r="6654" spans="2:2" x14ac:dyDescent="0.25">
      <c r="B6654">
        <v>1</v>
      </c>
    </row>
    <row r="6655" spans="2:2" x14ac:dyDescent="0.25">
      <c r="B6655">
        <v>1</v>
      </c>
    </row>
    <row r="6656" spans="2:2" x14ac:dyDescent="0.25">
      <c r="B6656">
        <v>1</v>
      </c>
    </row>
    <row r="6657" spans="2:2" x14ac:dyDescent="0.25">
      <c r="B6657">
        <v>1</v>
      </c>
    </row>
    <row r="6658" spans="2:2" x14ac:dyDescent="0.25">
      <c r="B6658">
        <v>1</v>
      </c>
    </row>
    <row r="6659" spans="2:2" x14ac:dyDescent="0.25">
      <c r="B6659">
        <v>1</v>
      </c>
    </row>
    <row r="6660" spans="2:2" x14ac:dyDescent="0.25">
      <c r="B6660">
        <v>1</v>
      </c>
    </row>
    <row r="6661" spans="2:2" x14ac:dyDescent="0.25">
      <c r="B6661">
        <v>1</v>
      </c>
    </row>
    <row r="6662" spans="2:2" x14ac:dyDescent="0.25">
      <c r="B6662">
        <v>1</v>
      </c>
    </row>
    <row r="6663" spans="2:2" x14ac:dyDescent="0.25">
      <c r="B6663">
        <v>1</v>
      </c>
    </row>
    <row r="6664" spans="2:2" x14ac:dyDescent="0.25">
      <c r="B6664">
        <v>1</v>
      </c>
    </row>
    <row r="6665" spans="2:2" x14ac:dyDescent="0.25">
      <c r="B6665">
        <v>1</v>
      </c>
    </row>
    <row r="6666" spans="2:2" x14ac:dyDescent="0.25">
      <c r="B6666">
        <v>1</v>
      </c>
    </row>
    <row r="6667" spans="2:2" x14ac:dyDescent="0.25">
      <c r="B6667">
        <v>1</v>
      </c>
    </row>
    <row r="6668" spans="2:2" x14ac:dyDescent="0.25">
      <c r="B6668">
        <v>1</v>
      </c>
    </row>
    <row r="6669" spans="2:2" x14ac:dyDescent="0.25">
      <c r="B6669">
        <v>1</v>
      </c>
    </row>
    <row r="6670" spans="2:2" x14ac:dyDescent="0.25">
      <c r="B6670">
        <v>1</v>
      </c>
    </row>
    <row r="6671" spans="2:2" x14ac:dyDescent="0.25">
      <c r="B6671">
        <v>1</v>
      </c>
    </row>
    <row r="6672" spans="2:2" x14ac:dyDescent="0.25">
      <c r="B6672">
        <v>1</v>
      </c>
    </row>
    <row r="6673" spans="2:2" x14ac:dyDescent="0.25">
      <c r="B6673">
        <v>1</v>
      </c>
    </row>
    <row r="6674" spans="2:2" x14ac:dyDescent="0.25">
      <c r="B6674">
        <v>1</v>
      </c>
    </row>
    <row r="6675" spans="2:2" x14ac:dyDescent="0.25">
      <c r="B6675">
        <v>1</v>
      </c>
    </row>
    <row r="6676" spans="2:2" x14ac:dyDescent="0.25">
      <c r="B6676">
        <v>1</v>
      </c>
    </row>
    <row r="6677" spans="2:2" x14ac:dyDescent="0.25">
      <c r="B6677">
        <v>1</v>
      </c>
    </row>
    <row r="6678" spans="2:2" x14ac:dyDescent="0.25">
      <c r="B6678">
        <v>1</v>
      </c>
    </row>
    <row r="6679" spans="2:2" x14ac:dyDescent="0.25">
      <c r="B6679">
        <v>1</v>
      </c>
    </row>
    <row r="6680" spans="2:2" x14ac:dyDescent="0.25">
      <c r="B6680">
        <v>1</v>
      </c>
    </row>
    <row r="6681" spans="2:2" x14ac:dyDescent="0.25">
      <c r="B6681">
        <v>1</v>
      </c>
    </row>
    <row r="6682" spans="2:2" x14ac:dyDescent="0.25">
      <c r="B6682">
        <v>1</v>
      </c>
    </row>
    <row r="6683" spans="2:2" x14ac:dyDescent="0.25">
      <c r="B6683">
        <v>1</v>
      </c>
    </row>
    <row r="6684" spans="2:2" x14ac:dyDescent="0.25">
      <c r="B6684">
        <v>1</v>
      </c>
    </row>
    <row r="6685" spans="2:2" x14ac:dyDescent="0.25">
      <c r="B6685">
        <v>1</v>
      </c>
    </row>
    <row r="6686" spans="2:2" x14ac:dyDescent="0.25">
      <c r="B6686">
        <v>1</v>
      </c>
    </row>
    <row r="6687" spans="2:2" x14ac:dyDescent="0.25">
      <c r="B6687">
        <v>1</v>
      </c>
    </row>
    <row r="6688" spans="2:2" x14ac:dyDescent="0.25">
      <c r="B6688">
        <v>1</v>
      </c>
    </row>
    <row r="6689" spans="2:2" x14ac:dyDescent="0.25">
      <c r="B6689">
        <v>1</v>
      </c>
    </row>
    <row r="6690" spans="2:2" x14ac:dyDescent="0.25">
      <c r="B6690">
        <v>1</v>
      </c>
    </row>
    <row r="6691" spans="2:2" x14ac:dyDescent="0.25">
      <c r="B6691">
        <v>1</v>
      </c>
    </row>
    <row r="6692" spans="2:2" x14ac:dyDescent="0.25">
      <c r="B6692">
        <v>1</v>
      </c>
    </row>
    <row r="6693" spans="2:2" x14ac:dyDescent="0.25">
      <c r="B6693">
        <v>1</v>
      </c>
    </row>
    <row r="6694" spans="2:2" x14ac:dyDescent="0.25">
      <c r="B6694">
        <v>1</v>
      </c>
    </row>
    <row r="6695" spans="2:2" x14ac:dyDescent="0.25">
      <c r="B6695">
        <v>1</v>
      </c>
    </row>
    <row r="6696" spans="2:2" x14ac:dyDescent="0.25">
      <c r="B6696">
        <v>1</v>
      </c>
    </row>
    <row r="6697" spans="2:2" x14ac:dyDescent="0.25">
      <c r="B6697">
        <v>1</v>
      </c>
    </row>
    <row r="6698" spans="2:2" x14ac:dyDescent="0.25">
      <c r="B6698">
        <v>1</v>
      </c>
    </row>
    <row r="6699" spans="2:2" x14ac:dyDescent="0.25">
      <c r="B6699">
        <v>1</v>
      </c>
    </row>
    <row r="6700" spans="2:2" x14ac:dyDescent="0.25">
      <c r="B6700">
        <v>1</v>
      </c>
    </row>
    <row r="6701" spans="2:2" x14ac:dyDescent="0.25">
      <c r="B6701">
        <v>1</v>
      </c>
    </row>
    <row r="6702" spans="2:2" x14ac:dyDescent="0.25">
      <c r="B6702">
        <v>1</v>
      </c>
    </row>
    <row r="6703" spans="2:2" x14ac:dyDescent="0.25">
      <c r="B6703">
        <v>1</v>
      </c>
    </row>
    <row r="6704" spans="2:2" x14ac:dyDescent="0.25">
      <c r="B6704">
        <v>1</v>
      </c>
    </row>
    <row r="6705" spans="2:2" x14ac:dyDescent="0.25">
      <c r="B6705">
        <v>1</v>
      </c>
    </row>
    <row r="6706" spans="2:2" x14ac:dyDescent="0.25">
      <c r="B6706">
        <v>1</v>
      </c>
    </row>
    <row r="6707" spans="2:2" x14ac:dyDescent="0.25">
      <c r="B6707">
        <v>1</v>
      </c>
    </row>
    <row r="6708" spans="2:2" x14ac:dyDescent="0.25">
      <c r="B6708">
        <v>1</v>
      </c>
    </row>
    <row r="6709" spans="2:2" x14ac:dyDescent="0.25">
      <c r="B6709">
        <v>1</v>
      </c>
    </row>
    <row r="6710" spans="2:2" x14ac:dyDescent="0.25">
      <c r="B6710">
        <v>1</v>
      </c>
    </row>
    <row r="6711" spans="2:2" x14ac:dyDescent="0.25">
      <c r="B6711">
        <v>1</v>
      </c>
    </row>
    <row r="6712" spans="2:2" x14ac:dyDescent="0.25">
      <c r="B6712">
        <v>1</v>
      </c>
    </row>
    <row r="6713" spans="2:2" x14ac:dyDescent="0.25">
      <c r="B6713">
        <v>1</v>
      </c>
    </row>
    <row r="6714" spans="2:2" x14ac:dyDescent="0.25">
      <c r="B6714">
        <v>1</v>
      </c>
    </row>
    <row r="6715" spans="2:2" x14ac:dyDescent="0.25">
      <c r="B6715">
        <v>1</v>
      </c>
    </row>
    <row r="6716" spans="2:2" x14ac:dyDescent="0.25">
      <c r="B6716">
        <v>1</v>
      </c>
    </row>
    <row r="6717" spans="2:2" x14ac:dyDescent="0.25">
      <c r="B6717">
        <v>1</v>
      </c>
    </row>
    <row r="6718" spans="2:2" x14ac:dyDescent="0.25">
      <c r="B6718">
        <v>1</v>
      </c>
    </row>
    <row r="6719" spans="2:2" x14ac:dyDescent="0.25">
      <c r="B6719">
        <v>1</v>
      </c>
    </row>
    <row r="6720" spans="2:2" x14ac:dyDescent="0.25">
      <c r="B6720">
        <v>1</v>
      </c>
    </row>
    <row r="6721" spans="2:2" x14ac:dyDescent="0.25">
      <c r="B6721">
        <v>1</v>
      </c>
    </row>
    <row r="6722" spans="2:2" x14ac:dyDescent="0.25">
      <c r="B6722">
        <v>1</v>
      </c>
    </row>
    <row r="6723" spans="2:2" x14ac:dyDescent="0.25">
      <c r="B6723">
        <v>1</v>
      </c>
    </row>
    <row r="6724" spans="2:2" x14ac:dyDescent="0.25">
      <c r="B6724">
        <v>1</v>
      </c>
    </row>
    <row r="6725" spans="2:2" x14ac:dyDescent="0.25">
      <c r="B6725">
        <v>1</v>
      </c>
    </row>
    <row r="6726" spans="2:2" x14ac:dyDescent="0.25">
      <c r="B6726">
        <v>1</v>
      </c>
    </row>
    <row r="6727" spans="2:2" x14ac:dyDescent="0.25">
      <c r="B6727">
        <v>1</v>
      </c>
    </row>
    <row r="6728" spans="2:2" x14ac:dyDescent="0.25">
      <c r="B6728">
        <v>1</v>
      </c>
    </row>
    <row r="6729" spans="2:2" x14ac:dyDescent="0.25">
      <c r="B6729">
        <v>1</v>
      </c>
    </row>
    <row r="6730" spans="2:2" x14ac:dyDescent="0.25">
      <c r="B6730">
        <v>1</v>
      </c>
    </row>
    <row r="6731" spans="2:2" x14ac:dyDescent="0.25">
      <c r="B6731">
        <v>1</v>
      </c>
    </row>
    <row r="6732" spans="2:2" x14ac:dyDescent="0.25">
      <c r="B6732">
        <v>1</v>
      </c>
    </row>
    <row r="6733" spans="2:2" x14ac:dyDescent="0.25">
      <c r="B6733">
        <v>1</v>
      </c>
    </row>
    <row r="6734" spans="2:2" x14ac:dyDescent="0.25">
      <c r="B6734">
        <v>1</v>
      </c>
    </row>
    <row r="6735" spans="2:2" x14ac:dyDescent="0.25">
      <c r="B6735">
        <v>1</v>
      </c>
    </row>
    <row r="6736" spans="2:2" x14ac:dyDescent="0.25">
      <c r="B6736">
        <v>1</v>
      </c>
    </row>
    <row r="6737" spans="2:2" x14ac:dyDescent="0.25">
      <c r="B6737">
        <v>1</v>
      </c>
    </row>
    <row r="6738" spans="2:2" x14ac:dyDescent="0.25">
      <c r="B6738">
        <v>1</v>
      </c>
    </row>
    <row r="6739" spans="2:2" x14ac:dyDescent="0.25">
      <c r="B6739">
        <v>1</v>
      </c>
    </row>
    <row r="6740" spans="2:2" x14ac:dyDescent="0.25">
      <c r="B6740">
        <v>1</v>
      </c>
    </row>
    <row r="6741" spans="2:2" x14ac:dyDescent="0.25">
      <c r="B6741">
        <v>1</v>
      </c>
    </row>
    <row r="6742" spans="2:2" x14ac:dyDescent="0.25">
      <c r="B6742">
        <v>1</v>
      </c>
    </row>
    <row r="6743" spans="2:2" x14ac:dyDescent="0.25">
      <c r="B6743">
        <v>1</v>
      </c>
    </row>
    <row r="6744" spans="2:2" x14ac:dyDescent="0.25">
      <c r="B6744">
        <v>1</v>
      </c>
    </row>
    <row r="6745" spans="2:2" x14ac:dyDescent="0.25">
      <c r="B6745">
        <v>1</v>
      </c>
    </row>
    <row r="6746" spans="2:2" x14ac:dyDescent="0.25">
      <c r="B6746">
        <v>1</v>
      </c>
    </row>
    <row r="6747" spans="2:2" x14ac:dyDescent="0.25">
      <c r="B6747">
        <v>1</v>
      </c>
    </row>
    <row r="6748" spans="2:2" x14ac:dyDescent="0.25">
      <c r="B6748">
        <v>1</v>
      </c>
    </row>
    <row r="6749" spans="2:2" x14ac:dyDescent="0.25">
      <c r="B6749">
        <v>1</v>
      </c>
    </row>
    <row r="6750" spans="2:2" x14ac:dyDescent="0.25">
      <c r="B6750">
        <v>1</v>
      </c>
    </row>
    <row r="6751" spans="2:2" x14ac:dyDescent="0.25">
      <c r="B6751">
        <v>1</v>
      </c>
    </row>
    <row r="6752" spans="2:2" x14ac:dyDescent="0.25">
      <c r="B6752">
        <v>1</v>
      </c>
    </row>
    <row r="6753" spans="2:2" x14ac:dyDescent="0.25">
      <c r="B6753">
        <v>1</v>
      </c>
    </row>
    <row r="6754" spans="2:2" x14ac:dyDescent="0.25">
      <c r="B6754">
        <v>1</v>
      </c>
    </row>
    <row r="6755" spans="2:2" x14ac:dyDescent="0.25">
      <c r="B6755">
        <v>1</v>
      </c>
    </row>
    <row r="6756" spans="2:2" x14ac:dyDescent="0.25">
      <c r="B6756">
        <v>1</v>
      </c>
    </row>
    <row r="6757" spans="2:2" x14ac:dyDescent="0.25">
      <c r="B6757">
        <v>1</v>
      </c>
    </row>
    <row r="6758" spans="2:2" x14ac:dyDescent="0.25">
      <c r="B6758">
        <v>1</v>
      </c>
    </row>
    <row r="6759" spans="2:2" x14ac:dyDescent="0.25">
      <c r="B6759">
        <v>1</v>
      </c>
    </row>
    <row r="6760" spans="2:2" x14ac:dyDescent="0.25">
      <c r="B6760">
        <v>1</v>
      </c>
    </row>
    <row r="6761" spans="2:2" x14ac:dyDescent="0.25">
      <c r="B6761">
        <v>1</v>
      </c>
    </row>
    <row r="6762" spans="2:2" x14ac:dyDescent="0.25">
      <c r="B6762">
        <v>1</v>
      </c>
    </row>
    <row r="6763" spans="2:2" x14ac:dyDescent="0.25">
      <c r="B6763">
        <v>1</v>
      </c>
    </row>
    <row r="6764" spans="2:2" x14ac:dyDescent="0.25">
      <c r="B6764">
        <v>1</v>
      </c>
    </row>
    <row r="6765" spans="2:2" x14ac:dyDescent="0.25">
      <c r="B6765">
        <v>1</v>
      </c>
    </row>
    <row r="6766" spans="2:2" x14ac:dyDescent="0.25">
      <c r="B6766">
        <v>1</v>
      </c>
    </row>
    <row r="6767" spans="2:2" x14ac:dyDescent="0.25">
      <c r="B6767">
        <v>1</v>
      </c>
    </row>
    <row r="6768" spans="2:2" x14ac:dyDescent="0.25">
      <c r="B6768">
        <v>1</v>
      </c>
    </row>
    <row r="6769" spans="2:2" x14ac:dyDescent="0.25">
      <c r="B6769">
        <v>1</v>
      </c>
    </row>
    <row r="6770" spans="2:2" x14ac:dyDescent="0.25">
      <c r="B6770">
        <v>1</v>
      </c>
    </row>
    <row r="6771" spans="2:2" x14ac:dyDescent="0.25">
      <c r="B6771">
        <v>1</v>
      </c>
    </row>
    <row r="6772" spans="2:2" x14ac:dyDescent="0.25">
      <c r="B6772">
        <v>1</v>
      </c>
    </row>
    <row r="6773" spans="2:2" x14ac:dyDescent="0.25">
      <c r="B6773">
        <v>1</v>
      </c>
    </row>
    <row r="6774" spans="2:2" x14ac:dyDescent="0.25">
      <c r="B6774">
        <v>1</v>
      </c>
    </row>
    <row r="6775" spans="2:2" x14ac:dyDescent="0.25">
      <c r="B6775">
        <v>1</v>
      </c>
    </row>
    <row r="6776" spans="2:2" x14ac:dyDescent="0.25">
      <c r="B6776">
        <v>1</v>
      </c>
    </row>
    <row r="6777" spans="2:2" x14ac:dyDescent="0.25">
      <c r="B6777">
        <v>1</v>
      </c>
    </row>
    <row r="6778" spans="2:2" x14ac:dyDescent="0.25">
      <c r="B6778">
        <v>1</v>
      </c>
    </row>
    <row r="6779" spans="2:2" x14ac:dyDescent="0.25">
      <c r="B6779">
        <v>1</v>
      </c>
    </row>
    <row r="6780" spans="2:2" x14ac:dyDescent="0.25">
      <c r="B6780">
        <v>1</v>
      </c>
    </row>
    <row r="6781" spans="2:2" x14ac:dyDescent="0.25">
      <c r="B6781">
        <v>1</v>
      </c>
    </row>
    <row r="6782" spans="2:2" x14ac:dyDescent="0.25">
      <c r="B6782">
        <v>1</v>
      </c>
    </row>
    <row r="6783" spans="2:2" x14ac:dyDescent="0.25">
      <c r="B6783">
        <v>1</v>
      </c>
    </row>
    <row r="6784" spans="2:2" x14ac:dyDescent="0.25">
      <c r="B6784">
        <v>1</v>
      </c>
    </row>
    <row r="6785" spans="2:2" x14ac:dyDescent="0.25">
      <c r="B6785">
        <v>1</v>
      </c>
    </row>
    <row r="6786" spans="2:2" x14ac:dyDescent="0.25">
      <c r="B6786">
        <v>1</v>
      </c>
    </row>
    <row r="6787" spans="2:2" x14ac:dyDescent="0.25">
      <c r="B6787">
        <v>1</v>
      </c>
    </row>
    <row r="6788" spans="2:2" x14ac:dyDescent="0.25">
      <c r="B6788">
        <v>1</v>
      </c>
    </row>
    <row r="6789" spans="2:2" x14ac:dyDescent="0.25">
      <c r="B6789">
        <v>1</v>
      </c>
    </row>
    <row r="6790" spans="2:2" x14ac:dyDescent="0.25">
      <c r="B6790">
        <v>1</v>
      </c>
    </row>
    <row r="6791" spans="2:2" x14ac:dyDescent="0.25">
      <c r="B6791">
        <v>1</v>
      </c>
    </row>
    <row r="6792" spans="2:2" x14ac:dyDescent="0.25">
      <c r="B6792">
        <v>1</v>
      </c>
    </row>
    <row r="6793" spans="2:2" x14ac:dyDescent="0.25">
      <c r="B6793">
        <v>1</v>
      </c>
    </row>
    <row r="6794" spans="2:2" x14ac:dyDescent="0.25">
      <c r="B6794">
        <v>1</v>
      </c>
    </row>
    <row r="6795" spans="2:2" x14ac:dyDescent="0.25">
      <c r="B6795">
        <v>1</v>
      </c>
    </row>
    <row r="6796" spans="2:2" x14ac:dyDescent="0.25">
      <c r="B6796">
        <v>1</v>
      </c>
    </row>
    <row r="6797" spans="2:2" x14ac:dyDescent="0.25">
      <c r="B6797">
        <v>1</v>
      </c>
    </row>
    <row r="6798" spans="2:2" x14ac:dyDescent="0.25">
      <c r="B6798">
        <v>1</v>
      </c>
    </row>
    <row r="6799" spans="2:2" x14ac:dyDescent="0.25">
      <c r="B6799">
        <v>1</v>
      </c>
    </row>
    <row r="6800" spans="2:2" x14ac:dyDescent="0.25">
      <c r="B6800">
        <v>1</v>
      </c>
    </row>
    <row r="6801" spans="2:2" x14ac:dyDescent="0.25">
      <c r="B6801">
        <v>1</v>
      </c>
    </row>
    <row r="6802" spans="2:2" x14ac:dyDescent="0.25">
      <c r="B6802">
        <v>1</v>
      </c>
    </row>
    <row r="6803" spans="2:2" x14ac:dyDescent="0.25">
      <c r="B6803">
        <v>1</v>
      </c>
    </row>
    <row r="6804" spans="2:2" x14ac:dyDescent="0.25">
      <c r="B6804">
        <v>1</v>
      </c>
    </row>
    <row r="6805" spans="2:2" x14ac:dyDescent="0.25">
      <c r="B6805">
        <v>1</v>
      </c>
    </row>
    <row r="6806" spans="2:2" x14ac:dyDescent="0.25">
      <c r="B6806">
        <v>1</v>
      </c>
    </row>
    <row r="6807" spans="2:2" x14ac:dyDescent="0.25">
      <c r="B6807">
        <v>1</v>
      </c>
    </row>
    <row r="6808" spans="2:2" x14ac:dyDescent="0.25">
      <c r="B6808">
        <v>1</v>
      </c>
    </row>
    <row r="6809" spans="2:2" x14ac:dyDescent="0.25">
      <c r="B6809">
        <v>1</v>
      </c>
    </row>
    <row r="6810" spans="2:2" x14ac:dyDescent="0.25">
      <c r="B6810">
        <v>1</v>
      </c>
    </row>
    <row r="6811" spans="2:2" x14ac:dyDescent="0.25">
      <c r="B6811">
        <v>1</v>
      </c>
    </row>
    <row r="6812" spans="2:2" x14ac:dyDescent="0.25">
      <c r="B6812">
        <v>1</v>
      </c>
    </row>
    <row r="6813" spans="2:2" x14ac:dyDescent="0.25">
      <c r="B6813">
        <v>1</v>
      </c>
    </row>
    <row r="6814" spans="2:2" x14ac:dyDescent="0.25">
      <c r="B6814">
        <v>1</v>
      </c>
    </row>
    <row r="6815" spans="2:2" x14ac:dyDescent="0.25">
      <c r="B6815">
        <v>1</v>
      </c>
    </row>
    <row r="6816" spans="2:2" x14ac:dyDescent="0.25">
      <c r="B6816">
        <v>1</v>
      </c>
    </row>
    <row r="6817" spans="2:2" x14ac:dyDescent="0.25">
      <c r="B6817">
        <v>1</v>
      </c>
    </row>
    <row r="6818" spans="2:2" x14ac:dyDescent="0.25">
      <c r="B6818">
        <v>1</v>
      </c>
    </row>
    <row r="6819" spans="2:2" x14ac:dyDescent="0.25">
      <c r="B6819">
        <v>1</v>
      </c>
    </row>
    <row r="6820" spans="2:2" x14ac:dyDescent="0.25">
      <c r="B6820">
        <v>1</v>
      </c>
    </row>
    <row r="6821" spans="2:2" x14ac:dyDescent="0.25">
      <c r="B6821">
        <v>1</v>
      </c>
    </row>
    <row r="6822" spans="2:2" x14ac:dyDescent="0.25">
      <c r="B6822">
        <v>1</v>
      </c>
    </row>
    <row r="6823" spans="2:2" x14ac:dyDescent="0.25">
      <c r="B6823">
        <v>1</v>
      </c>
    </row>
    <row r="6824" spans="2:2" x14ac:dyDescent="0.25">
      <c r="B6824">
        <v>1</v>
      </c>
    </row>
    <row r="6825" spans="2:2" x14ac:dyDescent="0.25">
      <c r="B6825">
        <v>1</v>
      </c>
    </row>
    <row r="6826" spans="2:2" x14ac:dyDescent="0.25">
      <c r="B6826">
        <v>1</v>
      </c>
    </row>
    <row r="6827" spans="2:2" x14ac:dyDescent="0.25">
      <c r="B6827">
        <v>1</v>
      </c>
    </row>
    <row r="6828" spans="2:2" x14ac:dyDescent="0.25">
      <c r="B6828">
        <v>1</v>
      </c>
    </row>
    <row r="6829" spans="2:2" x14ac:dyDescent="0.25">
      <c r="B6829">
        <v>1</v>
      </c>
    </row>
    <row r="6830" spans="2:2" x14ac:dyDescent="0.25">
      <c r="B6830">
        <v>1</v>
      </c>
    </row>
    <row r="6831" spans="2:2" x14ac:dyDescent="0.25">
      <c r="B6831">
        <v>1</v>
      </c>
    </row>
    <row r="6832" spans="2:2" x14ac:dyDescent="0.25">
      <c r="B6832">
        <v>1</v>
      </c>
    </row>
    <row r="6833" spans="2:2" x14ac:dyDescent="0.25">
      <c r="B6833">
        <v>1</v>
      </c>
    </row>
    <row r="6834" spans="2:2" x14ac:dyDescent="0.25">
      <c r="B6834">
        <v>1</v>
      </c>
    </row>
    <row r="6835" spans="2:2" x14ac:dyDescent="0.25">
      <c r="B6835">
        <v>1</v>
      </c>
    </row>
    <row r="6836" spans="2:2" x14ac:dyDescent="0.25">
      <c r="B6836">
        <v>1</v>
      </c>
    </row>
    <row r="6837" spans="2:2" x14ac:dyDescent="0.25">
      <c r="B6837">
        <v>1</v>
      </c>
    </row>
    <row r="6838" spans="2:2" x14ac:dyDescent="0.25">
      <c r="B6838">
        <v>1</v>
      </c>
    </row>
    <row r="6839" spans="2:2" x14ac:dyDescent="0.25">
      <c r="B6839">
        <v>1</v>
      </c>
    </row>
    <row r="6840" spans="2:2" x14ac:dyDescent="0.25">
      <c r="B6840">
        <v>1</v>
      </c>
    </row>
    <row r="6841" spans="2:2" x14ac:dyDescent="0.25">
      <c r="B6841">
        <v>1</v>
      </c>
    </row>
    <row r="6842" spans="2:2" x14ac:dyDescent="0.25">
      <c r="B6842">
        <v>1</v>
      </c>
    </row>
    <row r="6843" spans="2:2" x14ac:dyDescent="0.25">
      <c r="B6843">
        <v>1</v>
      </c>
    </row>
    <row r="6844" spans="2:2" x14ac:dyDescent="0.25">
      <c r="B6844">
        <v>1</v>
      </c>
    </row>
    <row r="6845" spans="2:2" x14ac:dyDescent="0.25">
      <c r="B6845">
        <v>1</v>
      </c>
    </row>
    <row r="6846" spans="2:2" x14ac:dyDescent="0.25">
      <c r="B6846">
        <v>1</v>
      </c>
    </row>
    <row r="6847" spans="2:2" x14ac:dyDescent="0.25">
      <c r="B6847">
        <v>1</v>
      </c>
    </row>
    <row r="6848" spans="2:2" x14ac:dyDescent="0.25">
      <c r="B6848">
        <v>1</v>
      </c>
    </row>
    <row r="6849" spans="2:2" x14ac:dyDescent="0.25">
      <c r="B6849">
        <v>1</v>
      </c>
    </row>
    <row r="6850" spans="2:2" x14ac:dyDescent="0.25">
      <c r="B6850">
        <v>1</v>
      </c>
    </row>
    <row r="6851" spans="2:2" x14ac:dyDescent="0.25">
      <c r="B6851">
        <v>1</v>
      </c>
    </row>
    <row r="6852" spans="2:2" x14ac:dyDescent="0.25">
      <c r="B6852">
        <v>1</v>
      </c>
    </row>
    <row r="6853" spans="2:2" x14ac:dyDescent="0.25">
      <c r="B6853">
        <v>1</v>
      </c>
    </row>
    <row r="6854" spans="2:2" x14ac:dyDescent="0.25">
      <c r="B6854">
        <v>1</v>
      </c>
    </row>
    <row r="6855" spans="2:2" x14ac:dyDescent="0.25">
      <c r="B6855">
        <v>1</v>
      </c>
    </row>
    <row r="6856" spans="2:2" x14ac:dyDescent="0.25">
      <c r="B6856">
        <v>1</v>
      </c>
    </row>
    <row r="6857" spans="2:2" x14ac:dyDescent="0.25">
      <c r="B6857">
        <v>1</v>
      </c>
    </row>
    <row r="6858" spans="2:2" x14ac:dyDescent="0.25">
      <c r="B6858">
        <v>1</v>
      </c>
    </row>
    <row r="6859" spans="2:2" x14ac:dyDescent="0.25">
      <c r="B6859">
        <v>1</v>
      </c>
    </row>
    <row r="6860" spans="2:2" x14ac:dyDescent="0.25">
      <c r="B6860">
        <v>1</v>
      </c>
    </row>
    <row r="6861" spans="2:2" x14ac:dyDescent="0.25">
      <c r="B6861">
        <v>1</v>
      </c>
    </row>
    <row r="6862" spans="2:2" x14ac:dyDescent="0.25">
      <c r="B6862">
        <v>1</v>
      </c>
    </row>
    <row r="6863" spans="2:2" x14ac:dyDescent="0.25">
      <c r="B6863">
        <v>1</v>
      </c>
    </row>
    <row r="6864" spans="2:2" x14ac:dyDescent="0.25">
      <c r="B6864">
        <v>1</v>
      </c>
    </row>
    <row r="6865" spans="2:2" x14ac:dyDescent="0.25">
      <c r="B6865">
        <v>1</v>
      </c>
    </row>
    <row r="6866" spans="2:2" x14ac:dyDescent="0.25">
      <c r="B6866">
        <v>1</v>
      </c>
    </row>
    <row r="6867" spans="2:2" x14ac:dyDescent="0.25">
      <c r="B6867">
        <v>1</v>
      </c>
    </row>
    <row r="6868" spans="2:2" x14ac:dyDescent="0.25">
      <c r="B6868">
        <v>1</v>
      </c>
    </row>
    <row r="6869" spans="2:2" x14ac:dyDescent="0.25">
      <c r="B6869">
        <v>1</v>
      </c>
    </row>
    <row r="6870" spans="2:2" x14ac:dyDescent="0.25">
      <c r="B6870">
        <v>1</v>
      </c>
    </row>
    <row r="6871" spans="2:2" x14ac:dyDescent="0.25">
      <c r="B6871">
        <v>1</v>
      </c>
    </row>
    <row r="6872" spans="2:2" x14ac:dyDescent="0.25">
      <c r="B6872">
        <v>1</v>
      </c>
    </row>
    <row r="6873" spans="2:2" x14ac:dyDescent="0.25">
      <c r="B6873">
        <v>1</v>
      </c>
    </row>
    <row r="6874" spans="2:2" x14ac:dyDescent="0.25">
      <c r="B6874">
        <v>1</v>
      </c>
    </row>
    <row r="6875" spans="2:2" x14ac:dyDescent="0.25">
      <c r="B6875">
        <v>1</v>
      </c>
    </row>
    <row r="6876" spans="2:2" x14ac:dyDescent="0.25">
      <c r="B6876">
        <v>1</v>
      </c>
    </row>
    <row r="6877" spans="2:2" x14ac:dyDescent="0.25">
      <c r="B6877">
        <v>1</v>
      </c>
    </row>
    <row r="6878" spans="2:2" x14ac:dyDescent="0.25">
      <c r="B6878">
        <v>1</v>
      </c>
    </row>
    <row r="6879" spans="2:2" x14ac:dyDescent="0.25">
      <c r="B6879">
        <v>1</v>
      </c>
    </row>
    <row r="6880" spans="2:2" x14ac:dyDescent="0.25">
      <c r="B6880">
        <v>1</v>
      </c>
    </row>
    <row r="6881" spans="2:2" x14ac:dyDescent="0.25">
      <c r="B6881">
        <v>1</v>
      </c>
    </row>
    <row r="6882" spans="2:2" x14ac:dyDescent="0.25">
      <c r="B6882">
        <v>1</v>
      </c>
    </row>
    <row r="6883" spans="2:2" x14ac:dyDescent="0.25">
      <c r="B6883">
        <v>1</v>
      </c>
    </row>
    <row r="6884" spans="2:2" x14ac:dyDescent="0.25">
      <c r="B6884">
        <v>1</v>
      </c>
    </row>
    <row r="6885" spans="2:2" x14ac:dyDescent="0.25">
      <c r="B6885">
        <v>1</v>
      </c>
    </row>
    <row r="6886" spans="2:2" x14ac:dyDescent="0.25">
      <c r="B6886">
        <v>1</v>
      </c>
    </row>
    <row r="6887" spans="2:2" x14ac:dyDescent="0.25">
      <c r="B6887">
        <v>1</v>
      </c>
    </row>
    <row r="6888" spans="2:2" x14ac:dyDescent="0.25">
      <c r="B6888">
        <v>1</v>
      </c>
    </row>
    <row r="6889" spans="2:2" x14ac:dyDescent="0.25">
      <c r="B6889">
        <v>1</v>
      </c>
    </row>
    <row r="6890" spans="2:2" x14ac:dyDescent="0.25">
      <c r="B6890">
        <v>1</v>
      </c>
    </row>
    <row r="6891" spans="2:2" x14ac:dyDescent="0.25">
      <c r="B6891">
        <v>1</v>
      </c>
    </row>
    <row r="6892" spans="2:2" x14ac:dyDescent="0.25">
      <c r="B6892">
        <v>1</v>
      </c>
    </row>
    <row r="6893" spans="2:2" x14ac:dyDescent="0.25">
      <c r="B6893">
        <v>1</v>
      </c>
    </row>
    <row r="6894" spans="2:2" x14ac:dyDescent="0.25">
      <c r="B6894">
        <v>1</v>
      </c>
    </row>
    <row r="6895" spans="2:2" x14ac:dyDescent="0.25">
      <c r="B6895">
        <v>1</v>
      </c>
    </row>
    <row r="6896" spans="2:2" x14ac:dyDescent="0.25">
      <c r="B6896">
        <v>1</v>
      </c>
    </row>
    <row r="6897" spans="2:2" x14ac:dyDescent="0.25">
      <c r="B6897">
        <v>1</v>
      </c>
    </row>
    <row r="6898" spans="2:2" x14ac:dyDescent="0.25">
      <c r="B6898">
        <v>1</v>
      </c>
    </row>
    <row r="6899" spans="2:2" x14ac:dyDescent="0.25">
      <c r="B6899">
        <v>1</v>
      </c>
    </row>
    <row r="6900" spans="2:2" x14ac:dyDescent="0.25">
      <c r="B6900">
        <v>1</v>
      </c>
    </row>
    <row r="6901" spans="2:2" x14ac:dyDescent="0.25">
      <c r="B6901">
        <v>1</v>
      </c>
    </row>
    <row r="6902" spans="2:2" x14ac:dyDescent="0.25">
      <c r="B6902">
        <v>1</v>
      </c>
    </row>
    <row r="6903" spans="2:2" x14ac:dyDescent="0.25">
      <c r="B6903">
        <v>1</v>
      </c>
    </row>
    <row r="6904" spans="2:2" x14ac:dyDescent="0.25">
      <c r="B6904">
        <v>1</v>
      </c>
    </row>
    <row r="6905" spans="2:2" x14ac:dyDescent="0.25">
      <c r="B6905">
        <v>1</v>
      </c>
    </row>
    <row r="6906" spans="2:2" x14ac:dyDescent="0.25">
      <c r="B6906">
        <v>1</v>
      </c>
    </row>
    <row r="6907" spans="2:2" x14ac:dyDescent="0.25">
      <c r="B6907">
        <v>1</v>
      </c>
    </row>
    <row r="6908" spans="2:2" x14ac:dyDescent="0.25">
      <c r="B6908">
        <v>1</v>
      </c>
    </row>
    <row r="6909" spans="2:2" x14ac:dyDescent="0.25">
      <c r="B6909">
        <v>1</v>
      </c>
    </row>
    <row r="6910" spans="2:2" x14ac:dyDescent="0.25">
      <c r="B6910">
        <v>1</v>
      </c>
    </row>
    <row r="6911" spans="2:2" x14ac:dyDescent="0.25">
      <c r="B6911">
        <v>1</v>
      </c>
    </row>
    <row r="6912" spans="2:2" x14ac:dyDescent="0.25">
      <c r="B6912">
        <v>1</v>
      </c>
    </row>
    <row r="6913" spans="2:2" x14ac:dyDescent="0.25">
      <c r="B6913">
        <v>1</v>
      </c>
    </row>
    <row r="6914" spans="2:2" x14ac:dyDescent="0.25">
      <c r="B6914">
        <v>1</v>
      </c>
    </row>
    <row r="6915" spans="2:2" x14ac:dyDescent="0.25">
      <c r="B6915">
        <v>1</v>
      </c>
    </row>
    <row r="6916" spans="2:2" x14ac:dyDescent="0.25">
      <c r="B6916">
        <v>1</v>
      </c>
    </row>
    <row r="6917" spans="2:2" x14ac:dyDescent="0.25">
      <c r="B6917">
        <v>1</v>
      </c>
    </row>
    <row r="6918" spans="2:2" x14ac:dyDescent="0.25">
      <c r="B6918">
        <v>1</v>
      </c>
    </row>
    <row r="6919" spans="2:2" x14ac:dyDescent="0.25">
      <c r="B6919">
        <v>1</v>
      </c>
    </row>
    <row r="6920" spans="2:2" x14ac:dyDescent="0.25">
      <c r="B6920">
        <v>1</v>
      </c>
    </row>
    <row r="6921" spans="2:2" x14ac:dyDescent="0.25">
      <c r="B6921">
        <v>1</v>
      </c>
    </row>
    <row r="6922" spans="2:2" x14ac:dyDescent="0.25">
      <c r="B6922">
        <v>1</v>
      </c>
    </row>
    <row r="6923" spans="2:2" x14ac:dyDescent="0.25">
      <c r="B6923">
        <v>1</v>
      </c>
    </row>
    <row r="6924" spans="2:2" x14ac:dyDescent="0.25">
      <c r="B6924">
        <v>1</v>
      </c>
    </row>
    <row r="6925" spans="2:2" x14ac:dyDescent="0.25">
      <c r="B6925">
        <v>1</v>
      </c>
    </row>
    <row r="6926" spans="2:2" x14ac:dyDescent="0.25">
      <c r="B6926">
        <v>1</v>
      </c>
    </row>
    <row r="6927" spans="2:2" x14ac:dyDescent="0.25">
      <c r="B6927">
        <v>1</v>
      </c>
    </row>
    <row r="6928" spans="2:2" x14ac:dyDescent="0.25">
      <c r="B6928">
        <v>1</v>
      </c>
    </row>
    <row r="6929" spans="2:2" x14ac:dyDescent="0.25">
      <c r="B6929">
        <v>1</v>
      </c>
    </row>
    <row r="6930" spans="2:2" x14ac:dyDescent="0.25">
      <c r="B6930">
        <v>1</v>
      </c>
    </row>
    <row r="6931" spans="2:2" x14ac:dyDescent="0.25">
      <c r="B6931">
        <v>1</v>
      </c>
    </row>
    <row r="6932" spans="2:2" x14ac:dyDescent="0.25">
      <c r="B6932">
        <v>1</v>
      </c>
    </row>
    <row r="6933" spans="2:2" x14ac:dyDescent="0.25">
      <c r="B6933">
        <v>1</v>
      </c>
    </row>
    <row r="6934" spans="2:2" x14ac:dyDescent="0.25">
      <c r="B6934">
        <v>1</v>
      </c>
    </row>
    <row r="6935" spans="2:2" x14ac:dyDescent="0.25">
      <c r="B6935">
        <v>1</v>
      </c>
    </row>
    <row r="6936" spans="2:2" x14ac:dyDescent="0.25">
      <c r="B6936">
        <v>1</v>
      </c>
    </row>
    <row r="6937" spans="2:2" x14ac:dyDescent="0.25">
      <c r="B6937">
        <v>1</v>
      </c>
    </row>
    <row r="6938" spans="2:2" x14ac:dyDescent="0.25">
      <c r="B6938">
        <v>1</v>
      </c>
    </row>
    <row r="6939" spans="2:2" x14ac:dyDescent="0.25">
      <c r="B6939">
        <v>1</v>
      </c>
    </row>
    <row r="6940" spans="2:2" x14ac:dyDescent="0.25">
      <c r="B6940">
        <v>1</v>
      </c>
    </row>
    <row r="6941" spans="2:2" x14ac:dyDescent="0.25">
      <c r="B6941">
        <v>1</v>
      </c>
    </row>
    <row r="6942" spans="2:2" x14ac:dyDescent="0.25">
      <c r="B6942">
        <v>1</v>
      </c>
    </row>
    <row r="6943" spans="2:2" x14ac:dyDescent="0.25">
      <c r="B6943">
        <v>1</v>
      </c>
    </row>
    <row r="6944" spans="2:2" x14ac:dyDescent="0.25">
      <c r="B6944">
        <v>1</v>
      </c>
    </row>
    <row r="6945" spans="2:2" x14ac:dyDescent="0.25">
      <c r="B6945">
        <v>1</v>
      </c>
    </row>
    <row r="6946" spans="2:2" x14ac:dyDescent="0.25">
      <c r="B6946">
        <v>1</v>
      </c>
    </row>
    <row r="6947" spans="2:2" x14ac:dyDescent="0.25">
      <c r="B6947">
        <v>1</v>
      </c>
    </row>
    <row r="6948" spans="2:2" x14ac:dyDescent="0.25">
      <c r="B6948">
        <v>1</v>
      </c>
    </row>
    <row r="6949" spans="2:2" x14ac:dyDescent="0.25">
      <c r="B6949">
        <v>1</v>
      </c>
    </row>
    <row r="6950" spans="2:2" x14ac:dyDescent="0.25">
      <c r="B6950">
        <v>1</v>
      </c>
    </row>
    <row r="6951" spans="2:2" x14ac:dyDescent="0.25">
      <c r="B6951">
        <v>1</v>
      </c>
    </row>
    <row r="6952" spans="2:2" x14ac:dyDescent="0.25">
      <c r="B6952">
        <v>1</v>
      </c>
    </row>
    <row r="6953" spans="2:2" x14ac:dyDescent="0.25">
      <c r="B6953">
        <v>1</v>
      </c>
    </row>
    <row r="6954" spans="2:2" x14ac:dyDescent="0.25">
      <c r="B6954">
        <v>1</v>
      </c>
    </row>
    <row r="6955" spans="2:2" x14ac:dyDescent="0.25">
      <c r="B6955">
        <v>1</v>
      </c>
    </row>
    <row r="6956" spans="2:2" x14ac:dyDescent="0.25">
      <c r="B6956">
        <v>1</v>
      </c>
    </row>
    <row r="6957" spans="2:2" x14ac:dyDescent="0.25">
      <c r="B6957">
        <v>1</v>
      </c>
    </row>
    <row r="6958" spans="2:2" x14ac:dyDescent="0.25">
      <c r="B6958">
        <v>1</v>
      </c>
    </row>
    <row r="6959" spans="2:2" x14ac:dyDescent="0.25">
      <c r="B6959">
        <v>1</v>
      </c>
    </row>
    <row r="6960" spans="2:2" x14ac:dyDescent="0.25">
      <c r="B6960">
        <v>1</v>
      </c>
    </row>
    <row r="6961" spans="2:2" x14ac:dyDescent="0.25">
      <c r="B6961">
        <v>1</v>
      </c>
    </row>
    <row r="6962" spans="2:2" x14ac:dyDescent="0.25">
      <c r="B6962">
        <v>1</v>
      </c>
    </row>
    <row r="6963" spans="2:2" x14ac:dyDescent="0.25">
      <c r="B6963">
        <v>1</v>
      </c>
    </row>
    <row r="6964" spans="2:2" x14ac:dyDescent="0.25">
      <c r="B6964">
        <v>1</v>
      </c>
    </row>
    <row r="6965" spans="2:2" x14ac:dyDescent="0.25">
      <c r="B6965">
        <v>1</v>
      </c>
    </row>
    <row r="6966" spans="2:2" x14ac:dyDescent="0.25">
      <c r="B6966">
        <v>1</v>
      </c>
    </row>
    <row r="6967" spans="2:2" x14ac:dyDescent="0.25">
      <c r="B6967">
        <v>1</v>
      </c>
    </row>
    <row r="6968" spans="2:2" x14ac:dyDescent="0.25">
      <c r="B6968">
        <v>1</v>
      </c>
    </row>
    <row r="6969" spans="2:2" x14ac:dyDescent="0.25">
      <c r="B6969">
        <v>1</v>
      </c>
    </row>
    <row r="6970" spans="2:2" x14ac:dyDescent="0.25">
      <c r="B6970">
        <v>1</v>
      </c>
    </row>
    <row r="6971" spans="2:2" x14ac:dyDescent="0.25">
      <c r="B6971">
        <v>1</v>
      </c>
    </row>
    <row r="6972" spans="2:2" x14ac:dyDescent="0.25">
      <c r="B6972">
        <v>1</v>
      </c>
    </row>
    <row r="6973" spans="2:2" x14ac:dyDescent="0.25">
      <c r="B6973">
        <v>1</v>
      </c>
    </row>
    <row r="6974" spans="2:2" x14ac:dyDescent="0.25">
      <c r="B6974">
        <v>1</v>
      </c>
    </row>
    <row r="6975" spans="2:2" x14ac:dyDescent="0.25">
      <c r="B6975">
        <v>1</v>
      </c>
    </row>
    <row r="6976" spans="2:2" x14ac:dyDescent="0.25">
      <c r="B6976">
        <v>1</v>
      </c>
    </row>
    <row r="6977" spans="2:2" x14ac:dyDescent="0.25">
      <c r="B6977">
        <v>1</v>
      </c>
    </row>
    <row r="6978" spans="2:2" x14ac:dyDescent="0.25">
      <c r="B6978">
        <v>1</v>
      </c>
    </row>
    <row r="6979" spans="2:2" x14ac:dyDescent="0.25">
      <c r="B6979">
        <v>1</v>
      </c>
    </row>
    <row r="6980" spans="2:2" x14ac:dyDescent="0.25">
      <c r="B6980">
        <v>1</v>
      </c>
    </row>
    <row r="6981" spans="2:2" x14ac:dyDescent="0.25">
      <c r="B6981">
        <v>1</v>
      </c>
    </row>
    <row r="6982" spans="2:2" x14ac:dyDescent="0.25">
      <c r="B6982">
        <v>1</v>
      </c>
    </row>
    <row r="6983" spans="2:2" x14ac:dyDescent="0.25">
      <c r="B6983">
        <v>1</v>
      </c>
    </row>
    <row r="6984" spans="2:2" x14ac:dyDescent="0.25">
      <c r="B6984">
        <v>1</v>
      </c>
    </row>
    <row r="6985" spans="2:2" x14ac:dyDescent="0.25">
      <c r="B6985">
        <v>1</v>
      </c>
    </row>
    <row r="6986" spans="2:2" x14ac:dyDescent="0.25">
      <c r="B6986">
        <v>1</v>
      </c>
    </row>
    <row r="6987" spans="2:2" x14ac:dyDescent="0.25">
      <c r="B6987">
        <v>1</v>
      </c>
    </row>
    <row r="6988" spans="2:2" x14ac:dyDescent="0.25">
      <c r="B6988">
        <v>1</v>
      </c>
    </row>
    <row r="6989" spans="2:2" x14ac:dyDescent="0.25">
      <c r="B6989">
        <v>1</v>
      </c>
    </row>
    <row r="6990" spans="2:2" x14ac:dyDescent="0.25">
      <c r="B6990">
        <v>1</v>
      </c>
    </row>
    <row r="6991" spans="2:2" x14ac:dyDescent="0.25">
      <c r="B6991">
        <v>1</v>
      </c>
    </row>
    <row r="6992" spans="2:2" x14ac:dyDescent="0.25">
      <c r="B6992">
        <v>1</v>
      </c>
    </row>
    <row r="6993" spans="2:2" x14ac:dyDescent="0.25">
      <c r="B6993">
        <v>1</v>
      </c>
    </row>
    <row r="6994" spans="2:2" x14ac:dyDescent="0.25">
      <c r="B6994">
        <v>1</v>
      </c>
    </row>
    <row r="6995" spans="2:2" x14ac:dyDescent="0.25">
      <c r="B6995">
        <v>1</v>
      </c>
    </row>
    <row r="6996" spans="2:2" x14ac:dyDescent="0.25">
      <c r="B6996">
        <v>1</v>
      </c>
    </row>
    <row r="6997" spans="2:2" x14ac:dyDescent="0.25">
      <c r="B6997">
        <v>1</v>
      </c>
    </row>
    <row r="6998" spans="2:2" x14ac:dyDescent="0.25">
      <c r="B6998">
        <v>1</v>
      </c>
    </row>
    <row r="6999" spans="2:2" x14ac:dyDescent="0.25">
      <c r="B6999">
        <v>1</v>
      </c>
    </row>
    <row r="7000" spans="2:2" x14ac:dyDescent="0.25">
      <c r="B7000">
        <v>1</v>
      </c>
    </row>
    <row r="7001" spans="2:2" x14ac:dyDescent="0.25">
      <c r="B7001">
        <v>1</v>
      </c>
    </row>
    <row r="7002" spans="2:2" x14ac:dyDescent="0.25">
      <c r="B7002">
        <v>1</v>
      </c>
    </row>
    <row r="7003" spans="2:2" x14ac:dyDescent="0.25">
      <c r="B7003">
        <v>1</v>
      </c>
    </row>
    <row r="7004" spans="2:2" x14ac:dyDescent="0.25">
      <c r="B7004">
        <v>1</v>
      </c>
    </row>
    <row r="7005" spans="2:2" x14ac:dyDescent="0.25">
      <c r="B7005">
        <v>1</v>
      </c>
    </row>
    <row r="7006" spans="2:2" x14ac:dyDescent="0.25">
      <c r="B7006">
        <v>1</v>
      </c>
    </row>
    <row r="7007" spans="2:2" x14ac:dyDescent="0.25">
      <c r="B7007">
        <v>1</v>
      </c>
    </row>
    <row r="7008" spans="2:2" x14ac:dyDescent="0.25">
      <c r="B7008">
        <v>1</v>
      </c>
    </row>
    <row r="7009" spans="2:2" x14ac:dyDescent="0.25">
      <c r="B7009">
        <v>1</v>
      </c>
    </row>
    <row r="7010" spans="2:2" x14ac:dyDescent="0.25">
      <c r="B7010">
        <v>1</v>
      </c>
    </row>
    <row r="7011" spans="2:2" x14ac:dyDescent="0.25">
      <c r="B7011">
        <v>1</v>
      </c>
    </row>
    <row r="7012" spans="2:2" x14ac:dyDescent="0.25">
      <c r="B7012">
        <v>1</v>
      </c>
    </row>
    <row r="7013" spans="2:2" x14ac:dyDescent="0.25">
      <c r="B7013">
        <v>1</v>
      </c>
    </row>
    <row r="7014" spans="2:2" x14ac:dyDescent="0.25">
      <c r="B7014">
        <v>1</v>
      </c>
    </row>
    <row r="7015" spans="2:2" x14ac:dyDescent="0.25">
      <c r="B7015">
        <v>1</v>
      </c>
    </row>
    <row r="7016" spans="2:2" x14ac:dyDescent="0.25">
      <c r="B7016">
        <v>1</v>
      </c>
    </row>
    <row r="7017" spans="2:2" x14ac:dyDescent="0.25">
      <c r="B7017">
        <v>1</v>
      </c>
    </row>
    <row r="7018" spans="2:2" x14ac:dyDescent="0.25">
      <c r="B7018">
        <v>1</v>
      </c>
    </row>
    <row r="7019" spans="2:2" x14ac:dyDescent="0.25">
      <c r="B7019">
        <v>1</v>
      </c>
    </row>
    <row r="7020" spans="2:2" x14ac:dyDescent="0.25">
      <c r="B7020">
        <v>1</v>
      </c>
    </row>
    <row r="7021" spans="2:2" x14ac:dyDescent="0.25">
      <c r="B7021">
        <v>1</v>
      </c>
    </row>
    <row r="7022" spans="2:2" x14ac:dyDescent="0.25">
      <c r="B7022">
        <v>1</v>
      </c>
    </row>
    <row r="7023" spans="2:2" x14ac:dyDescent="0.25">
      <c r="B7023">
        <v>1</v>
      </c>
    </row>
    <row r="7024" spans="2:2" x14ac:dyDescent="0.25">
      <c r="B7024">
        <v>1</v>
      </c>
    </row>
    <row r="7025" spans="2:2" x14ac:dyDescent="0.25">
      <c r="B7025">
        <v>1</v>
      </c>
    </row>
    <row r="7026" spans="2:2" x14ac:dyDescent="0.25">
      <c r="B7026">
        <v>1</v>
      </c>
    </row>
    <row r="7027" spans="2:2" x14ac:dyDescent="0.25">
      <c r="B7027">
        <v>1</v>
      </c>
    </row>
    <row r="7028" spans="2:2" x14ac:dyDescent="0.25">
      <c r="B7028">
        <v>1</v>
      </c>
    </row>
    <row r="7029" spans="2:2" x14ac:dyDescent="0.25">
      <c r="B7029">
        <v>1</v>
      </c>
    </row>
    <row r="7030" spans="2:2" x14ac:dyDescent="0.25">
      <c r="B7030">
        <v>1</v>
      </c>
    </row>
    <row r="7031" spans="2:2" x14ac:dyDescent="0.25">
      <c r="B7031">
        <v>1</v>
      </c>
    </row>
    <row r="7032" spans="2:2" x14ac:dyDescent="0.25">
      <c r="B7032">
        <v>1</v>
      </c>
    </row>
    <row r="7033" spans="2:2" x14ac:dyDescent="0.25">
      <c r="B7033">
        <v>1</v>
      </c>
    </row>
    <row r="7034" spans="2:2" x14ac:dyDescent="0.25">
      <c r="B7034">
        <v>1</v>
      </c>
    </row>
    <row r="7035" spans="2:2" x14ac:dyDescent="0.25">
      <c r="B7035">
        <v>1</v>
      </c>
    </row>
    <row r="7036" spans="2:2" x14ac:dyDescent="0.25">
      <c r="B7036">
        <v>1</v>
      </c>
    </row>
    <row r="7037" spans="2:2" x14ac:dyDescent="0.25">
      <c r="B7037">
        <v>1</v>
      </c>
    </row>
    <row r="7038" spans="2:2" x14ac:dyDescent="0.25">
      <c r="B7038">
        <v>1</v>
      </c>
    </row>
    <row r="7039" spans="2:2" x14ac:dyDescent="0.25">
      <c r="B7039">
        <v>1</v>
      </c>
    </row>
    <row r="7040" spans="2:2" x14ac:dyDescent="0.25">
      <c r="B7040">
        <v>1</v>
      </c>
    </row>
    <row r="7041" spans="2:2" x14ac:dyDescent="0.25">
      <c r="B7041">
        <v>1</v>
      </c>
    </row>
    <row r="7042" spans="2:2" x14ac:dyDescent="0.25">
      <c r="B7042">
        <v>1</v>
      </c>
    </row>
    <row r="7043" spans="2:2" x14ac:dyDescent="0.25">
      <c r="B7043">
        <v>1</v>
      </c>
    </row>
    <row r="7044" spans="2:2" x14ac:dyDescent="0.25">
      <c r="B7044">
        <v>1</v>
      </c>
    </row>
    <row r="7045" spans="2:2" x14ac:dyDescent="0.25">
      <c r="B7045">
        <v>1</v>
      </c>
    </row>
    <row r="7046" spans="2:2" x14ac:dyDescent="0.25">
      <c r="B7046">
        <v>1</v>
      </c>
    </row>
    <row r="7047" spans="2:2" x14ac:dyDescent="0.25">
      <c r="B7047">
        <v>1</v>
      </c>
    </row>
    <row r="7048" spans="2:2" x14ac:dyDescent="0.25">
      <c r="B7048">
        <v>1</v>
      </c>
    </row>
    <row r="7049" spans="2:2" x14ac:dyDescent="0.25">
      <c r="B7049">
        <v>1</v>
      </c>
    </row>
    <row r="7050" spans="2:2" x14ac:dyDescent="0.25">
      <c r="B7050">
        <v>1</v>
      </c>
    </row>
    <row r="7051" spans="2:2" x14ac:dyDescent="0.25">
      <c r="B7051">
        <v>1</v>
      </c>
    </row>
    <row r="7052" spans="2:2" x14ac:dyDescent="0.25">
      <c r="B7052">
        <v>1</v>
      </c>
    </row>
    <row r="7053" spans="2:2" x14ac:dyDescent="0.25">
      <c r="B7053">
        <v>1</v>
      </c>
    </row>
    <row r="7054" spans="2:2" x14ac:dyDescent="0.25">
      <c r="B7054">
        <v>1</v>
      </c>
    </row>
    <row r="7055" spans="2:2" x14ac:dyDescent="0.25">
      <c r="B7055">
        <v>1</v>
      </c>
    </row>
    <row r="7056" spans="2:2" x14ac:dyDescent="0.25">
      <c r="B7056">
        <v>1</v>
      </c>
    </row>
    <row r="7057" spans="2:2" x14ac:dyDescent="0.25">
      <c r="B7057">
        <v>1</v>
      </c>
    </row>
    <row r="7058" spans="2:2" x14ac:dyDescent="0.25">
      <c r="B7058">
        <v>1</v>
      </c>
    </row>
    <row r="7059" spans="2:2" x14ac:dyDescent="0.25">
      <c r="B7059">
        <v>1</v>
      </c>
    </row>
    <row r="7060" spans="2:2" x14ac:dyDescent="0.25">
      <c r="B7060">
        <v>1</v>
      </c>
    </row>
    <row r="7061" spans="2:2" x14ac:dyDescent="0.25">
      <c r="B7061">
        <v>1</v>
      </c>
    </row>
    <row r="7062" spans="2:2" x14ac:dyDescent="0.25">
      <c r="B7062">
        <v>1</v>
      </c>
    </row>
    <row r="7063" spans="2:2" x14ac:dyDescent="0.25">
      <c r="B7063">
        <v>1</v>
      </c>
    </row>
    <row r="7064" spans="2:2" x14ac:dyDescent="0.25">
      <c r="B7064">
        <v>1</v>
      </c>
    </row>
    <row r="7065" spans="2:2" x14ac:dyDescent="0.25">
      <c r="B7065">
        <v>1</v>
      </c>
    </row>
    <row r="7066" spans="2:2" x14ac:dyDescent="0.25">
      <c r="B7066">
        <v>1</v>
      </c>
    </row>
    <row r="7067" spans="2:2" x14ac:dyDescent="0.25">
      <c r="B7067">
        <v>1</v>
      </c>
    </row>
    <row r="7068" spans="2:2" x14ac:dyDescent="0.25">
      <c r="B7068">
        <v>1</v>
      </c>
    </row>
    <row r="7069" spans="2:2" x14ac:dyDescent="0.25">
      <c r="B7069">
        <v>1</v>
      </c>
    </row>
    <row r="7070" spans="2:2" x14ac:dyDescent="0.25">
      <c r="B7070">
        <v>1</v>
      </c>
    </row>
    <row r="7071" spans="2:2" x14ac:dyDescent="0.25">
      <c r="B7071">
        <v>1</v>
      </c>
    </row>
    <row r="7072" spans="2:2" x14ac:dyDescent="0.25">
      <c r="B7072">
        <v>1</v>
      </c>
    </row>
    <row r="7073" spans="2:2" x14ac:dyDescent="0.25">
      <c r="B7073">
        <v>1</v>
      </c>
    </row>
    <row r="7074" spans="2:2" x14ac:dyDescent="0.25">
      <c r="B7074">
        <v>1</v>
      </c>
    </row>
    <row r="7075" spans="2:2" x14ac:dyDescent="0.25">
      <c r="B7075">
        <v>1</v>
      </c>
    </row>
    <row r="7076" spans="2:2" x14ac:dyDescent="0.25">
      <c r="B7076">
        <v>1</v>
      </c>
    </row>
    <row r="7077" spans="2:2" x14ac:dyDescent="0.25">
      <c r="B7077">
        <v>1</v>
      </c>
    </row>
    <row r="7078" spans="2:2" x14ac:dyDescent="0.25">
      <c r="B7078">
        <v>1</v>
      </c>
    </row>
    <row r="7079" spans="2:2" x14ac:dyDescent="0.25">
      <c r="B7079">
        <v>1</v>
      </c>
    </row>
    <row r="7080" spans="2:2" x14ac:dyDescent="0.25">
      <c r="B7080">
        <v>1</v>
      </c>
    </row>
    <row r="7081" spans="2:2" x14ac:dyDescent="0.25">
      <c r="B7081">
        <v>1</v>
      </c>
    </row>
    <row r="7082" spans="2:2" x14ac:dyDescent="0.25">
      <c r="B7082">
        <v>1</v>
      </c>
    </row>
    <row r="7083" spans="2:2" x14ac:dyDescent="0.25">
      <c r="B7083">
        <v>1</v>
      </c>
    </row>
    <row r="7084" spans="2:2" x14ac:dyDescent="0.25">
      <c r="B7084">
        <v>1</v>
      </c>
    </row>
    <row r="7085" spans="2:2" x14ac:dyDescent="0.25">
      <c r="B7085">
        <v>1</v>
      </c>
    </row>
    <row r="7086" spans="2:2" x14ac:dyDescent="0.25">
      <c r="B7086">
        <v>1</v>
      </c>
    </row>
    <row r="7087" spans="2:2" x14ac:dyDescent="0.25">
      <c r="B7087">
        <v>1</v>
      </c>
    </row>
    <row r="7088" spans="2:2" x14ac:dyDescent="0.25">
      <c r="B7088">
        <v>1</v>
      </c>
    </row>
    <row r="7089" spans="2:2" x14ac:dyDescent="0.25">
      <c r="B7089">
        <v>1</v>
      </c>
    </row>
    <row r="7090" spans="2:2" x14ac:dyDescent="0.25">
      <c r="B7090">
        <v>1</v>
      </c>
    </row>
    <row r="7091" spans="2:2" x14ac:dyDescent="0.25">
      <c r="B7091">
        <v>1</v>
      </c>
    </row>
    <row r="7092" spans="2:2" x14ac:dyDescent="0.25">
      <c r="B7092">
        <v>1</v>
      </c>
    </row>
    <row r="7093" spans="2:2" x14ac:dyDescent="0.25">
      <c r="B7093">
        <v>1</v>
      </c>
    </row>
    <row r="7094" spans="2:2" x14ac:dyDescent="0.25">
      <c r="B7094">
        <v>1</v>
      </c>
    </row>
    <row r="7095" spans="2:2" x14ac:dyDescent="0.25">
      <c r="B7095">
        <v>1</v>
      </c>
    </row>
    <row r="7096" spans="2:2" x14ac:dyDescent="0.25">
      <c r="B7096">
        <v>1</v>
      </c>
    </row>
    <row r="7097" spans="2:2" x14ac:dyDescent="0.25">
      <c r="B7097">
        <v>1</v>
      </c>
    </row>
    <row r="7098" spans="2:2" x14ac:dyDescent="0.25">
      <c r="B7098">
        <v>1</v>
      </c>
    </row>
    <row r="7099" spans="2:2" x14ac:dyDescent="0.25">
      <c r="B7099">
        <v>1</v>
      </c>
    </row>
    <row r="7100" spans="2:2" x14ac:dyDescent="0.25">
      <c r="B7100">
        <v>1</v>
      </c>
    </row>
    <row r="7101" spans="2:2" x14ac:dyDescent="0.25">
      <c r="B7101">
        <v>1</v>
      </c>
    </row>
    <row r="7102" spans="2:2" x14ac:dyDescent="0.25">
      <c r="B7102">
        <v>1</v>
      </c>
    </row>
    <row r="7103" spans="2:2" x14ac:dyDescent="0.25">
      <c r="B7103">
        <v>1</v>
      </c>
    </row>
    <row r="7104" spans="2:2" x14ac:dyDescent="0.25">
      <c r="B7104">
        <v>1</v>
      </c>
    </row>
    <row r="7105" spans="2:2" x14ac:dyDescent="0.25">
      <c r="B7105">
        <v>1</v>
      </c>
    </row>
    <row r="7106" spans="2:2" x14ac:dyDescent="0.25">
      <c r="B7106">
        <v>1</v>
      </c>
    </row>
    <row r="7107" spans="2:2" x14ac:dyDescent="0.25">
      <c r="B7107">
        <v>1</v>
      </c>
    </row>
    <row r="7108" spans="2:2" x14ac:dyDescent="0.25">
      <c r="B7108">
        <v>1</v>
      </c>
    </row>
    <row r="7109" spans="2:2" x14ac:dyDescent="0.25">
      <c r="B7109">
        <v>1</v>
      </c>
    </row>
    <row r="7110" spans="2:2" x14ac:dyDescent="0.25">
      <c r="B7110">
        <v>1</v>
      </c>
    </row>
    <row r="7111" spans="2:2" x14ac:dyDescent="0.25">
      <c r="B7111">
        <v>1</v>
      </c>
    </row>
    <row r="7112" spans="2:2" x14ac:dyDescent="0.25">
      <c r="B7112">
        <v>1</v>
      </c>
    </row>
    <row r="7113" spans="2:2" x14ac:dyDescent="0.25">
      <c r="B7113">
        <v>1</v>
      </c>
    </row>
    <row r="7114" spans="2:2" x14ac:dyDescent="0.25">
      <c r="B7114">
        <v>1</v>
      </c>
    </row>
    <row r="7115" spans="2:2" x14ac:dyDescent="0.25">
      <c r="B7115">
        <v>1</v>
      </c>
    </row>
    <row r="7116" spans="2:2" x14ac:dyDescent="0.25">
      <c r="B7116">
        <v>1</v>
      </c>
    </row>
    <row r="7117" spans="2:2" x14ac:dyDescent="0.25">
      <c r="B7117">
        <v>1</v>
      </c>
    </row>
    <row r="7118" spans="2:2" x14ac:dyDescent="0.25">
      <c r="B7118">
        <v>1</v>
      </c>
    </row>
    <row r="7119" spans="2:2" x14ac:dyDescent="0.25">
      <c r="B7119">
        <v>1</v>
      </c>
    </row>
    <row r="7120" spans="2:2" x14ac:dyDescent="0.25">
      <c r="B7120">
        <v>1</v>
      </c>
    </row>
    <row r="7121" spans="2:2" x14ac:dyDescent="0.25">
      <c r="B7121">
        <v>1</v>
      </c>
    </row>
    <row r="7122" spans="2:2" x14ac:dyDescent="0.25">
      <c r="B7122">
        <v>1</v>
      </c>
    </row>
    <row r="7123" spans="2:2" x14ac:dyDescent="0.25">
      <c r="B7123">
        <v>1</v>
      </c>
    </row>
    <row r="7124" spans="2:2" x14ac:dyDescent="0.25">
      <c r="B7124">
        <v>1</v>
      </c>
    </row>
    <row r="7125" spans="2:2" x14ac:dyDescent="0.25">
      <c r="B7125">
        <v>1</v>
      </c>
    </row>
    <row r="7126" spans="2:2" x14ac:dyDescent="0.25">
      <c r="B7126">
        <v>1</v>
      </c>
    </row>
    <row r="7127" spans="2:2" x14ac:dyDescent="0.25">
      <c r="B7127">
        <v>1</v>
      </c>
    </row>
    <row r="7128" spans="2:2" x14ac:dyDescent="0.25">
      <c r="B7128">
        <v>1</v>
      </c>
    </row>
    <row r="7129" spans="2:2" x14ac:dyDescent="0.25">
      <c r="B7129">
        <v>1</v>
      </c>
    </row>
    <row r="7130" spans="2:2" x14ac:dyDescent="0.25">
      <c r="B7130">
        <v>1</v>
      </c>
    </row>
    <row r="7131" spans="2:2" x14ac:dyDescent="0.25">
      <c r="B7131">
        <v>1</v>
      </c>
    </row>
    <row r="7132" spans="2:2" x14ac:dyDescent="0.25">
      <c r="B7132">
        <v>1</v>
      </c>
    </row>
    <row r="7133" spans="2:2" x14ac:dyDescent="0.25">
      <c r="B7133">
        <v>1</v>
      </c>
    </row>
    <row r="7134" spans="2:2" x14ac:dyDescent="0.25">
      <c r="B7134">
        <v>1</v>
      </c>
    </row>
    <row r="7135" spans="2:2" x14ac:dyDescent="0.25">
      <c r="B7135">
        <v>1</v>
      </c>
    </row>
    <row r="7136" spans="2:2" x14ac:dyDescent="0.25">
      <c r="B7136">
        <v>1</v>
      </c>
    </row>
    <row r="7137" spans="2:2" x14ac:dyDescent="0.25">
      <c r="B7137">
        <v>1</v>
      </c>
    </row>
    <row r="7138" spans="2:2" x14ac:dyDescent="0.25">
      <c r="B7138">
        <v>1</v>
      </c>
    </row>
    <row r="7139" spans="2:2" x14ac:dyDescent="0.25">
      <c r="B7139">
        <v>1</v>
      </c>
    </row>
    <row r="7140" spans="2:2" x14ac:dyDescent="0.25">
      <c r="B7140">
        <v>1</v>
      </c>
    </row>
    <row r="7141" spans="2:2" x14ac:dyDescent="0.25">
      <c r="B7141">
        <v>1</v>
      </c>
    </row>
    <row r="7142" spans="2:2" x14ac:dyDescent="0.25">
      <c r="B7142">
        <v>1</v>
      </c>
    </row>
    <row r="7143" spans="2:2" x14ac:dyDescent="0.25">
      <c r="B7143">
        <v>1</v>
      </c>
    </row>
    <row r="7144" spans="2:2" x14ac:dyDescent="0.25">
      <c r="B7144">
        <v>1</v>
      </c>
    </row>
    <row r="7145" spans="2:2" x14ac:dyDescent="0.25">
      <c r="B7145">
        <v>1</v>
      </c>
    </row>
    <row r="7146" spans="2:2" x14ac:dyDescent="0.25">
      <c r="B7146">
        <v>1</v>
      </c>
    </row>
    <row r="7147" spans="2:2" x14ac:dyDescent="0.25">
      <c r="B7147">
        <v>1</v>
      </c>
    </row>
    <row r="7148" spans="2:2" x14ac:dyDescent="0.25">
      <c r="B7148">
        <v>1</v>
      </c>
    </row>
    <row r="7149" spans="2:2" x14ac:dyDescent="0.25">
      <c r="B7149">
        <v>1</v>
      </c>
    </row>
    <row r="7150" spans="2:2" x14ac:dyDescent="0.25">
      <c r="B7150">
        <v>1</v>
      </c>
    </row>
    <row r="7151" spans="2:2" x14ac:dyDescent="0.25">
      <c r="B7151">
        <v>1</v>
      </c>
    </row>
    <row r="7152" spans="2:2" x14ac:dyDescent="0.25">
      <c r="B7152">
        <v>1</v>
      </c>
    </row>
    <row r="7153" spans="2:2" x14ac:dyDescent="0.25">
      <c r="B7153">
        <v>1</v>
      </c>
    </row>
    <row r="7154" spans="2:2" x14ac:dyDescent="0.25">
      <c r="B7154">
        <v>1</v>
      </c>
    </row>
    <row r="7155" spans="2:2" x14ac:dyDescent="0.25">
      <c r="B7155">
        <v>1</v>
      </c>
    </row>
    <row r="7156" spans="2:2" x14ac:dyDescent="0.25">
      <c r="B7156">
        <v>1</v>
      </c>
    </row>
    <row r="7157" spans="2:2" x14ac:dyDescent="0.25">
      <c r="B7157">
        <v>1</v>
      </c>
    </row>
    <row r="7158" spans="2:2" x14ac:dyDescent="0.25">
      <c r="B7158">
        <v>1</v>
      </c>
    </row>
    <row r="7159" spans="2:2" x14ac:dyDescent="0.25">
      <c r="B7159">
        <v>1</v>
      </c>
    </row>
    <row r="7160" spans="2:2" x14ac:dyDescent="0.25">
      <c r="B7160">
        <v>1</v>
      </c>
    </row>
    <row r="7161" spans="2:2" x14ac:dyDescent="0.25">
      <c r="B7161">
        <v>1</v>
      </c>
    </row>
    <row r="7162" spans="2:2" x14ac:dyDescent="0.25">
      <c r="B7162">
        <v>1</v>
      </c>
    </row>
    <row r="7163" spans="2:2" x14ac:dyDescent="0.25">
      <c r="B7163">
        <v>1</v>
      </c>
    </row>
    <row r="7164" spans="2:2" x14ac:dyDescent="0.25">
      <c r="B7164">
        <v>1</v>
      </c>
    </row>
    <row r="7165" spans="2:2" x14ac:dyDescent="0.25">
      <c r="B7165">
        <v>1</v>
      </c>
    </row>
    <row r="7166" spans="2:2" x14ac:dyDescent="0.25">
      <c r="B7166">
        <v>1</v>
      </c>
    </row>
    <row r="7167" spans="2:2" x14ac:dyDescent="0.25">
      <c r="B7167">
        <v>1</v>
      </c>
    </row>
    <row r="7168" spans="2:2" x14ac:dyDescent="0.25">
      <c r="B7168">
        <v>1</v>
      </c>
    </row>
    <row r="7169" spans="2:2" x14ac:dyDescent="0.25">
      <c r="B7169">
        <v>1</v>
      </c>
    </row>
    <row r="7170" spans="2:2" x14ac:dyDescent="0.25">
      <c r="B7170">
        <v>1</v>
      </c>
    </row>
    <row r="7171" spans="2:2" x14ac:dyDescent="0.25">
      <c r="B7171">
        <v>1</v>
      </c>
    </row>
    <row r="7172" spans="2:2" x14ac:dyDescent="0.25">
      <c r="B7172">
        <v>1</v>
      </c>
    </row>
    <row r="7173" spans="2:2" x14ac:dyDescent="0.25">
      <c r="B7173">
        <v>1</v>
      </c>
    </row>
    <row r="7174" spans="2:2" x14ac:dyDescent="0.25">
      <c r="B7174">
        <v>1</v>
      </c>
    </row>
    <row r="7175" spans="2:2" x14ac:dyDescent="0.25">
      <c r="B7175">
        <v>1</v>
      </c>
    </row>
    <row r="7176" spans="2:2" x14ac:dyDescent="0.25">
      <c r="B7176">
        <v>1</v>
      </c>
    </row>
    <row r="7177" spans="2:2" x14ac:dyDescent="0.25">
      <c r="B7177">
        <v>1</v>
      </c>
    </row>
    <row r="7178" spans="2:2" x14ac:dyDescent="0.25">
      <c r="B7178">
        <v>1</v>
      </c>
    </row>
    <row r="7179" spans="2:2" x14ac:dyDescent="0.25">
      <c r="B7179">
        <v>1</v>
      </c>
    </row>
    <row r="7180" spans="2:2" x14ac:dyDescent="0.25">
      <c r="B7180">
        <v>1</v>
      </c>
    </row>
    <row r="7181" spans="2:2" x14ac:dyDescent="0.25">
      <c r="B7181">
        <v>1</v>
      </c>
    </row>
    <row r="7182" spans="2:2" x14ac:dyDescent="0.25">
      <c r="B7182">
        <v>1</v>
      </c>
    </row>
    <row r="7183" spans="2:2" x14ac:dyDescent="0.25">
      <c r="B7183">
        <v>1</v>
      </c>
    </row>
    <row r="7184" spans="2:2" x14ac:dyDescent="0.25">
      <c r="B7184">
        <v>1</v>
      </c>
    </row>
    <row r="7185" spans="2:2" x14ac:dyDescent="0.25">
      <c r="B7185">
        <v>1</v>
      </c>
    </row>
    <row r="7186" spans="2:2" x14ac:dyDescent="0.25">
      <c r="B7186">
        <v>1</v>
      </c>
    </row>
    <row r="7187" spans="2:2" x14ac:dyDescent="0.25">
      <c r="B7187">
        <v>1</v>
      </c>
    </row>
    <row r="7188" spans="2:2" x14ac:dyDescent="0.25">
      <c r="B7188">
        <v>1</v>
      </c>
    </row>
    <row r="7189" spans="2:2" x14ac:dyDescent="0.25">
      <c r="B7189">
        <v>1</v>
      </c>
    </row>
    <row r="7190" spans="2:2" x14ac:dyDescent="0.25">
      <c r="B7190">
        <v>1</v>
      </c>
    </row>
    <row r="7191" spans="2:2" x14ac:dyDescent="0.25">
      <c r="B7191">
        <v>1</v>
      </c>
    </row>
    <row r="7192" spans="2:2" x14ac:dyDescent="0.25">
      <c r="B7192">
        <v>1</v>
      </c>
    </row>
    <row r="7193" spans="2:2" x14ac:dyDescent="0.25">
      <c r="B7193">
        <v>1</v>
      </c>
    </row>
    <row r="7194" spans="2:2" x14ac:dyDescent="0.25">
      <c r="B7194">
        <v>1</v>
      </c>
    </row>
    <row r="7195" spans="2:2" x14ac:dyDescent="0.25">
      <c r="B7195">
        <v>1</v>
      </c>
    </row>
    <row r="7196" spans="2:2" x14ac:dyDescent="0.25">
      <c r="B7196">
        <v>1</v>
      </c>
    </row>
    <row r="7197" spans="2:2" x14ac:dyDescent="0.25">
      <c r="B7197">
        <v>1</v>
      </c>
    </row>
    <row r="7198" spans="2:2" x14ac:dyDescent="0.25">
      <c r="B7198">
        <v>1</v>
      </c>
    </row>
    <row r="7199" spans="2:2" x14ac:dyDescent="0.25">
      <c r="B7199">
        <v>1</v>
      </c>
    </row>
    <row r="7200" spans="2:2" x14ac:dyDescent="0.25">
      <c r="B7200">
        <v>1</v>
      </c>
    </row>
    <row r="7201" spans="2:2" x14ac:dyDescent="0.25">
      <c r="B7201">
        <v>1</v>
      </c>
    </row>
    <row r="7202" spans="2:2" x14ac:dyDescent="0.25">
      <c r="B7202">
        <v>1</v>
      </c>
    </row>
    <row r="7203" spans="2:2" x14ac:dyDescent="0.25">
      <c r="B7203">
        <v>1</v>
      </c>
    </row>
    <row r="7204" spans="2:2" x14ac:dyDescent="0.25">
      <c r="B7204">
        <v>1</v>
      </c>
    </row>
    <row r="7205" spans="2:2" x14ac:dyDescent="0.25">
      <c r="B7205">
        <v>1</v>
      </c>
    </row>
    <row r="7206" spans="2:2" x14ac:dyDescent="0.25">
      <c r="B7206">
        <v>1</v>
      </c>
    </row>
    <row r="7207" spans="2:2" x14ac:dyDescent="0.25">
      <c r="B7207">
        <v>1</v>
      </c>
    </row>
    <row r="7208" spans="2:2" x14ac:dyDescent="0.25">
      <c r="B7208">
        <v>1</v>
      </c>
    </row>
    <row r="7209" spans="2:2" x14ac:dyDescent="0.25">
      <c r="B7209">
        <v>1</v>
      </c>
    </row>
    <row r="7210" spans="2:2" x14ac:dyDescent="0.25">
      <c r="B7210">
        <v>1</v>
      </c>
    </row>
    <row r="7211" spans="2:2" x14ac:dyDescent="0.25">
      <c r="B7211">
        <v>1</v>
      </c>
    </row>
    <row r="7212" spans="2:2" x14ac:dyDescent="0.25">
      <c r="B7212">
        <v>1</v>
      </c>
    </row>
    <row r="7213" spans="2:2" x14ac:dyDescent="0.25">
      <c r="B7213">
        <v>1</v>
      </c>
    </row>
    <row r="7214" spans="2:2" x14ac:dyDescent="0.25">
      <c r="B7214">
        <v>1</v>
      </c>
    </row>
    <row r="7215" spans="2:2" x14ac:dyDescent="0.25">
      <c r="B7215">
        <v>1</v>
      </c>
    </row>
    <row r="7216" spans="2:2" x14ac:dyDescent="0.25">
      <c r="B7216">
        <v>1</v>
      </c>
    </row>
    <row r="7217" spans="2:2" x14ac:dyDescent="0.25">
      <c r="B7217">
        <v>1</v>
      </c>
    </row>
    <row r="7218" spans="2:2" x14ac:dyDescent="0.25">
      <c r="B7218">
        <v>1</v>
      </c>
    </row>
    <row r="7219" spans="2:2" x14ac:dyDescent="0.25">
      <c r="B7219">
        <v>1</v>
      </c>
    </row>
    <row r="7220" spans="2:2" x14ac:dyDescent="0.25">
      <c r="B7220">
        <v>1</v>
      </c>
    </row>
    <row r="7221" spans="2:2" x14ac:dyDescent="0.25">
      <c r="B7221">
        <v>1</v>
      </c>
    </row>
    <row r="7222" spans="2:2" x14ac:dyDescent="0.25">
      <c r="B7222">
        <v>1</v>
      </c>
    </row>
    <row r="7223" spans="2:2" x14ac:dyDescent="0.25">
      <c r="B7223">
        <v>1</v>
      </c>
    </row>
    <row r="7224" spans="2:2" x14ac:dyDescent="0.25">
      <c r="B7224">
        <v>1</v>
      </c>
    </row>
    <row r="7225" spans="2:2" x14ac:dyDescent="0.25">
      <c r="B7225">
        <v>1</v>
      </c>
    </row>
    <row r="7226" spans="2:2" x14ac:dyDescent="0.25">
      <c r="B7226">
        <v>1</v>
      </c>
    </row>
    <row r="7227" spans="2:2" x14ac:dyDescent="0.25">
      <c r="B7227">
        <v>1</v>
      </c>
    </row>
    <row r="7228" spans="2:2" x14ac:dyDescent="0.25">
      <c r="B7228">
        <v>1</v>
      </c>
    </row>
    <row r="7229" spans="2:2" x14ac:dyDescent="0.25">
      <c r="B7229">
        <v>1</v>
      </c>
    </row>
    <row r="7230" spans="2:2" x14ac:dyDescent="0.25">
      <c r="B7230">
        <v>1</v>
      </c>
    </row>
    <row r="7231" spans="2:2" x14ac:dyDescent="0.25">
      <c r="B7231">
        <v>1</v>
      </c>
    </row>
    <row r="7232" spans="2:2" x14ac:dyDescent="0.25">
      <c r="B7232">
        <v>1</v>
      </c>
    </row>
    <row r="7233" spans="2:2" x14ac:dyDescent="0.25">
      <c r="B7233">
        <v>1</v>
      </c>
    </row>
    <row r="7234" spans="2:2" x14ac:dyDescent="0.25">
      <c r="B7234">
        <v>1</v>
      </c>
    </row>
    <row r="7235" spans="2:2" x14ac:dyDescent="0.25">
      <c r="B7235">
        <v>1</v>
      </c>
    </row>
    <row r="7236" spans="2:2" x14ac:dyDescent="0.25">
      <c r="B7236">
        <v>1</v>
      </c>
    </row>
    <row r="7237" spans="2:2" x14ac:dyDescent="0.25">
      <c r="B7237">
        <v>1</v>
      </c>
    </row>
    <row r="7238" spans="2:2" x14ac:dyDescent="0.25">
      <c r="B7238">
        <v>1</v>
      </c>
    </row>
    <row r="7239" spans="2:2" x14ac:dyDescent="0.25">
      <c r="B7239">
        <v>1</v>
      </c>
    </row>
    <row r="7240" spans="2:2" x14ac:dyDescent="0.25">
      <c r="B7240">
        <v>1</v>
      </c>
    </row>
    <row r="7241" spans="2:2" x14ac:dyDescent="0.25">
      <c r="B7241">
        <v>1</v>
      </c>
    </row>
    <row r="7242" spans="2:2" x14ac:dyDescent="0.25">
      <c r="B7242">
        <v>1</v>
      </c>
    </row>
    <row r="7243" spans="2:2" x14ac:dyDescent="0.25">
      <c r="B7243">
        <v>1</v>
      </c>
    </row>
    <row r="7244" spans="2:2" x14ac:dyDescent="0.25">
      <c r="B7244">
        <v>1</v>
      </c>
    </row>
    <row r="7245" spans="2:2" x14ac:dyDescent="0.25">
      <c r="B7245">
        <v>1</v>
      </c>
    </row>
    <row r="7246" spans="2:2" x14ac:dyDescent="0.25">
      <c r="B7246">
        <v>1</v>
      </c>
    </row>
    <row r="7247" spans="2:2" x14ac:dyDescent="0.25">
      <c r="B7247">
        <v>1</v>
      </c>
    </row>
    <row r="7248" spans="2:2" x14ac:dyDescent="0.25">
      <c r="B7248">
        <v>1</v>
      </c>
    </row>
    <row r="7249" spans="2:2" x14ac:dyDescent="0.25">
      <c r="B7249">
        <v>1</v>
      </c>
    </row>
    <row r="7250" spans="2:2" x14ac:dyDescent="0.25">
      <c r="B7250">
        <v>1</v>
      </c>
    </row>
    <row r="7251" spans="2:2" x14ac:dyDescent="0.25">
      <c r="B7251">
        <v>1</v>
      </c>
    </row>
    <row r="7252" spans="2:2" x14ac:dyDescent="0.25">
      <c r="B7252">
        <v>1</v>
      </c>
    </row>
    <row r="7253" spans="2:2" x14ac:dyDescent="0.25">
      <c r="B7253">
        <v>1</v>
      </c>
    </row>
    <row r="7254" spans="2:2" x14ac:dyDescent="0.25">
      <c r="B7254">
        <v>1</v>
      </c>
    </row>
    <row r="7255" spans="2:2" x14ac:dyDescent="0.25">
      <c r="B7255">
        <v>1</v>
      </c>
    </row>
    <row r="7256" spans="2:2" x14ac:dyDescent="0.25">
      <c r="B7256">
        <v>1</v>
      </c>
    </row>
    <row r="7257" spans="2:2" x14ac:dyDescent="0.25">
      <c r="B7257">
        <v>1</v>
      </c>
    </row>
    <row r="7258" spans="2:2" x14ac:dyDescent="0.25">
      <c r="B7258">
        <v>1</v>
      </c>
    </row>
    <row r="7259" spans="2:2" x14ac:dyDescent="0.25">
      <c r="B7259">
        <v>1</v>
      </c>
    </row>
    <row r="7260" spans="2:2" x14ac:dyDescent="0.25">
      <c r="B7260">
        <v>1</v>
      </c>
    </row>
    <row r="7261" spans="2:2" x14ac:dyDescent="0.25">
      <c r="B7261">
        <v>1</v>
      </c>
    </row>
    <row r="7262" spans="2:2" x14ac:dyDescent="0.25">
      <c r="B7262">
        <v>1</v>
      </c>
    </row>
    <row r="7263" spans="2:2" x14ac:dyDescent="0.25">
      <c r="B7263">
        <v>1</v>
      </c>
    </row>
    <row r="7264" spans="2:2" x14ac:dyDescent="0.25">
      <c r="B7264">
        <v>1</v>
      </c>
    </row>
    <row r="7265" spans="2:2" x14ac:dyDescent="0.25">
      <c r="B7265">
        <v>1</v>
      </c>
    </row>
    <row r="7266" spans="2:2" x14ac:dyDescent="0.25">
      <c r="B7266">
        <v>1</v>
      </c>
    </row>
    <row r="7267" spans="2:2" x14ac:dyDescent="0.25">
      <c r="B7267">
        <v>1</v>
      </c>
    </row>
    <row r="7268" spans="2:2" x14ac:dyDescent="0.25">
      <c r="B7268">
        <v>1</v>
      </c>
    </row>
    <row r="7269" spans="2:2" x14ac:dyDescent="0.25">
      <c r="B7269">
        <v>1</v>
      </c>
    </row>
    <row r="7270" spans="2:2" x14ac:dyDescent="0.25">
      <c r="B7270">
        <v>1</v>
      </c>
    </row>
    <row r="7271" spans="2:2" x14ac:dyDescent="0.25">
      <c r="B7271">
        <v>1</v>
      </c>
    </row>
    <row r="7272" spans="2:2" x14ac:dyDescent="0.25">
      <c r="B7272">
        <v>1</v>
      </c>
    </row>
    <row r="7273" spans="2:2" x14ac:dyDescent="0.25">
      <c r="B7273">
        <v>1</v>
      </c>
    </row>
    <row r="7274" spans="2:2" x14ac:dyDescent="0.25">
      <c r="B7274">
        <v>1</v>
      </c>
    </row>
    <row r="7275" spans="2:2" x14ac:dyDescent="0.25">
      <c r="B7275">
        <v>1</v>
      </c>
    </row>
    <row r="7276" spans="2:2" x14ac:dyDescent="0.25">
      <c r="B7276">
        <v>1</v>
      </c>
    </row>
    <row r="7277" spans="2:2" x14ac:dyDescent="0.25">
      <c r="B7277">
        <v>1</v>
      </c>
    </row>
    <row r="7278" spans="2:2" x14ac:dyDescent="0.25">
      <c r="B7278">
        <v>1</v>
      </c>
    </row>
    <row r="7279" spans="2:2" x14ac:dyDescent="0.25">
      <c r="B7279">
        <v>1</v>
      </c>
    </row>
    <row r="7280" spans="2:2" x14ac:dyDescent="0.25">
      <c r="B7280">
        <v>1</v>
      </c>
    </row>
    <row r="7281" spans="2:2" x14ac:dyDescent="0.25">
      <c r="B7281">
        <v>1</v>
      </c>
    </row>
    <row r="7282" spans="2:2" x14ac:dyDescent="0.25">
      <c r="B7282">
        <v>1</v>
      </c>
    </row>
    <row r="7283" spans="2:2" x14ac:dyDescent="0.25">
      <c r="B7283">
        <v>1</v>
      </c>
    </row>
    <row r="7284" spans="2:2" x14ac:dyDescent="0.25">
      <c r="B7284">
        <v>1</v>
      </c>
    </row>
    <row r="7285" spans="2:2" x14ac:dyDescent="0.25">
      <c r="B7285">
        <v>1</v>
      </c>
    </row>
    <row r="7286" spans="2:2" x14ac:dyDescent="0.25">
      <c r="B7286">
        <v>1</v>
      </c>
    </row>
    <row r="7287" spans="2:2" x14ac:dyDescent="0.25">
      <c r="B7287">
        <v>1</v>
      </c>
    </row>
    <row r="7288" spans="2:2" x14ac:dyDescent="0.25">
      <c r="B7288">
        <v>1</v>
      </c>
    </row>
    <row r="7289" spans="2:2" x14ac:dyDescent="0.25">
      <c r="B7289">
        <v>1</v>
      </c>
    </row>
    <row r="7290" spans="2:2" x14ac:dyDescent="0.25">
      <c r="B7290">
        <v>1</v>
      </c>
    </row>
    <row r="7291" spans="2:2" x14ac:dyDescent="0.25">
      <c r="B7291">
        <v>1</v>
      </c>
    </row>
    <row r="7292" spans="2:2" x14ac:dyDescent="0.25">
      <c r="B7292">
        <v>1</v>
      </c>
    </row>
    <row r="7293" spans="2:2" x14ac:dyDescent="0.25">
      <c r="B7293">
        <v>1</v>
      </c>
    </row>
    <row r="7294" spans="2:2" x14ac:dyDescent="0.25">
      <c r="B7294">
        <v>1</v>
      </c>
    </row>
    <row r="7295" spans="2:2" x14ac:dyDescent="0.25">
      <c r="B7295">
        <v>1</v>
      </c>
    </row>
    <row r="7296" spans="2:2" x14ac:dyDescent="0.25">
      <c r="B7296">
        <v>1</v>
      </c>
    </row>
    <row r="7297" spans="2:2" x14ac:dyDescent="0.25">
      <c r="B7297">
        <v>1</v>
      </c>
    </row>
    <row r="7298" spans="2:2" x14ac:dyDescent="0.25">
      <c r="B7298">
        <v>1</v>
      </c>
    </row>
    <row r="7299" spans="2:2" x14ac:dyDescent="0.25">
      <c r="B7299">
        <v>1</v>
      </c>
    </row>
    <row r="7300" spans="2:2" x14ac:dyDescent="0.25">
      <c r="B7300">
        <v>1</v>
      </c>
    </row>
    <row r="7301" spans="2:2" x14ac:dyDescent="0.25">
      <c r="B7301">
        <v>1</v>
      </c>
    </row>
    <row r="7302" spans="2:2" x14ac:dyDescent="0.25">
      <c r="B7302">
        <v>1</v>
      </c>
    </row>
    <row r="7303" spans="2:2" x14ac:dyDescent="0.25">
      <c r="B7303">
        <v>1</v>
      </c>
    </row>
    <row r="7304" spans="2:2" x14ac:dyDescent="0.25">
      <c r="B7304">
        <v>1</v>
      </c>
    </row>
    <row r="7305" spans="2:2" x14ac:dyDescent="0.25">
      <c r="B7305">
        <v>1</v>
      </c>
    </row>
    <row r="7306" spans="2:2" x14ac:dyDescent="0.25">
      <c r="B7306">
        <v>1</v>
      </c>
    </row>
    <row r="7307" spans="2:2" x14ac:dyDescent="0.25">
      <c r="B7307">
        <v>1</v>
      </c>
    </row>
    <row r="7308" spans="2:2" x14ac:dyDescent="0.25">
      <c r="B7308">
        <v>1</v>
      </c>
    </row>
    <row r="7309" spans="2:2" x14ac:dyDescent="0.25">
      <c r="B7309">
        <v>1</v>
      </c>
    </row>
    <row r="7310" spans="2:2" x14ac:dyDescent="0.25">
      <c r="B7310">
        <v>1</v>
      </c>
    </row>
    <row r="7311" spans="2:2" x14ac:dyDescent="0.25">
      <c r="B7311">
        <v>1</v>
      </c>
    </row>
    <row r="7312" spans="2:2" x14ac:dyDescent="0.25">
      <c r="B7312">
        <v>1</v>
      </c>
    </row>
    <row r="7313" spans="2:2" x14ac:dyDescent="0.25">
      <c r="B7313">
        <v>1</v>
      </c>
    </row>
    <row r="7314" spans="2:2" x14ac:dyDescent="0.25">
      <c r="B7314">
        <v>1</v>
      </c>
    </row>
    <row r="7315" spans="2:2" x14ac:dyDescent="0.25">
      <c r="B7315">
        <v>1</v>
      </c>
    </row>
    <row r="7316" spans="2:2" x14ac:dyDescent="0.25">
      <c r="B7316">
        <v>1</v>
      </c>
    </row>
    <row r="7317" spans="2:2" x14ac:dyDescent="0.25">
      <c r="B7317">
        <v>1</v>
      </c>
    </row>
    <row r="7318" spans="2:2" x14ac:dyDescent="0.25">
      <c r="B7318">
        <v>1</v>
      </c>
    </row>
    <row r="7319" spans="2:2" x14ac:dyDescent="0.25">
      <c r="B7319">
        <v>1</v>
      </c>
    </row>
    <row r="7320" spans="2:2" x14ac:dyDescent="0.25">
      <c r="B7320">
        <v>1</v>
      </c>
    </row>
    <row r="7321" spans="2:2" x14ac:dyDescent="0.25">
      <c r="B7321">
        <v>1</v>
      </c>
    </row>
    <row r="7322" spans="2:2" x14ac:dyDescent="0.25">
      <c r="B7322">
        <v>1</v>
      </c>
    </row>
    <row r="7323" spans="2:2" x14ac:dyDescent="0.25">
      <c r="B7323">
        <v>1</v>
      </c>
    </row>
    <row r="7324" spans="2:2" x14ac:dyDescent="0.25">
      <c r="B7324">
        <v>1</v>
      </c>
    </row>
    <row r="7325" spans="2:2" x14ac:dyDescent="0.25">
      <c r="B7325">
        <v>1</v>
      </c>
    </row>
    <row r="7326" spans="2:2" x14ac:dyDescent="0.25">
      <c r="B7326">
        <v>1</v>
      </c>
    </row>
    <row r="7327" spans="2:2" x14ac:dyDescent="0.25">
      <c r="B7327">
        <v>1</v>
      </c>
    </row>
    <row r="7328" spans="2:2" x14ac:dyDescent="0.25">
      <c r="B7328">
        <v>1</v>
      </c>
    </row>
    <row r="7329" spans="2:2" x14ac:dyDescent="0.25">
      <c r="B7329">
        <v>1</v>
      </c>
    </row>
    <row r="7330" spans="2:2" x14ac:dyDescent="0.25">
      <c r="B7330">
        <v>1</v>
      </c>
    </row>
    <row r="7331" spans="2:2" x14ac:dyDescent="0.25">
      <c r="B7331">
        <v>1</v>
      </c>
    </row>
    <row r="7332" spans="2:2" x14ac:dyDescent="0.25">
      <c r="B7332">
        <v>1</v>
      </c>
    </row>
    <row r="7333" spans="2:2" x14ac:dyDescent="0.25">
      <c r="B7333">
        <v>1</v>
      </c>
    </row>
    <row r="7334" spans="2:2" x14ac:dyDescent="0.25">
      <c r="B7334">
        <v>1</v>
      </c>
    </row>
    <row r="7335" spans="2:2" x14ac:dyDescent="0.25">
      <c r="B7335">
        <v>1</v>
      </c>
    </row>
    <row r="7336" spans="2:2" x14ac:dyDescent="0.25">
      <c r="B7336">
        <v>1</v>
      </c>
    </row>
    <row r="7337" spans="2:2" x14ac:dyDescent="0.25">
      <c r="B7337">
        <v>1</v>
      </c>
    </row>
    <row r="7338" spans="2:2" x14ac:dyDescent="0.25">
      <c r="B7338">
        <v>1</v>
      </c>
    </row>
    <row r="7339" spans="2:2" x14ac:dyDescent="0.25">
      <c r="B7339">
        <v>1</v>
      </c>
    </row>
    <row r="7340" spans="2:2" x14ac:dyDescent="0.25">
      <c r="B7340">
        <v>1</v>
      </c>
    </row>
    <row r="7341" spans="2:2" x14ac:dyDescent="0.25">
      <c r="B7341">
        <v>1</v>
      </c>
    </row>
    <row r="7342" spans="2:2" x14ac:dyDescent="0.25">
      <c r="B7342">
        <v>1</v>
      </c>
    </row>
    <row r="7343" spans="2:2" x14ac:dyDescent="0.25">
      <c r="B7343">
        <v>1</v>
      </c>
    </row>
    <row r="7344" spans="2:2" x14ac:dyDescent="0.25">
      <c r="B7344">
        <v>1</v>
      </c>
    </row>
    <row r="7345" spans="2:2" x14ac:dyDescent="0.25">
      <c r="B7345">
        <v>1</v>
      </c>
    </row>
    <row r="7346" spans="2:2" x14ac:dyDescent="0.25">
      <c r="B7346">
        <v>1</v>
      </c>
    </row>
    <row r="7347" spans="2:2" x14ac:dyDescent="0.25">
      <c r="B7347">
        <v>1</v>
      </c>
    </row>
    <row r="7348" spans="2:2" x14ac:dyDescent="0.25">
      <c r="B7348">
        <v>1</v>
      </c>
    </row>
    <row r="7349" spans="2:2" x14ac:dyDescent="0.25">
      <c r="B7349">
        <v>1</v>
      </c>
    </row>
    <row r="7350" spans="2:2" x14ac:dyDescent="0.25">
      <c r="B7350">
        <v>1</v>
      </c>
    </row>
    <row r="7351" spans="2:2" x14ac:dyDescent="0.25">
      <c r="B7351">
        <v>1</v>
      </c>
    </row>
    <row r="7352" spans="2:2" x14ac:dyDescent="0.25">
      <c r="B7352">
        <v>1</v>
      </c>
    </row>
    <row r="7353" spans="2:2" x14ac:dyDescent="0.25">
      <c r="B7353">
        <v>1</v>
      </c>
    </row>
    <row r="7354" spans="2:2" x14ac:dyDescent="0.25">
      <c r="B7354">
        <v>1</v>
      </c>
    </row>
    <row r="7355" spans="2:2" x14ac:dyDescent="0.25">
      <c r="B7355">
        <v>1</v>
      </c>
    </row>
    <row r="7356" spans="2:2" x14ac:dyDescent="0.25">
      <c r="B7356">
        <v>1</v>
      </c>
    </row>
    <row r="7357" spans="2:2" x14ac:dyDescent="0.25">
      <c r="B7357">
        <v>1</v>
      </c>
    </row>
    <row r="7358" spans="2:2" x14ac:dyDescent="0.25">
      <c r="B7358">
        <v>1</v>
      </c>
    </row>
    <row r="7359" spans="2:2" x14ac:dyDescent="0.25">
      <c r="B7359">
        <v>1</v>
      </c>
    </row>
    <row r="7360" spans="2:2" x14ac:dyDescent="0.25">
      <c r="B7360">
        <v>1</v>
      </c>
    </row>
    <row r="7361" spans="2:2" x14ac:dyDescent="0.25">
      <c r="B7361">
        <v>1</v>
      </c>
    </row>
    <row r="7362" spans="2:2" x14ac:dyDescent="0.25">
      <c r="B7362">
        <v>1</v>
      </c>
    </row>
    <row r="7363" spans="2:2" x14ac:dyDescent="0.25">
      <c r="B7363">
        <v>1</v>
      </c>
    </row>
    <row r="7364" spans="2:2" x14ac:dyDescent="0.25">
      <c r="B7364">
        <v>1</v>
      </c>
    </row>
    <row r="7365" spans="2:2" x14ac:dyDescent="0.25">
      <c r="B7365">
        <v>1</v>
      </c>
    </row>
    <row r="7366" spans="2:2" x14ac:dyDescent="0.25">
      <c r="B7366">
        <v>1</v>
      </c>
    </row>
    <row r="7367" spans="2:2" x14ac:dyDescent="0.25">
      <c r="B7367">
        <v>1</v>
      </c>
    </row>
    <row r="7368" spans="2:2" x14ac:dyDescent="0.25">
      <c r="B7368">
        <v>1</v>
      </c>
    </row>
    <row r="7369" spans="2:2" x14ac:dyDescent="0.25">
      <c r="B7369">
        <v>1</v>
      </c>
    </row>
    <row r="7370" spans="2:2" x14ac:dyDescent="0.25">
      <c r="B7370">
        <v>1</v>
      </c>
    </row>
    <row r="7371" spans="2:2" x14ac:dyDescent="0.25">
      <c r="B7371">
        <v>1</v>
      </c>
    </row>
    <row r="7372" spans="2:2" x14ac:dyDescent="0.25">
      <c r="B7372">
        <v>1</v>
      </c>
    </row>
    <row r="7373" spans="2:2" x14ac:dyDescent="0.25">
      <c r="B7373">
        <v>1</v>
      </c>
    </row>
    <row r="7374" spans="2:2" x14ac:dyDescent="0.25">
      <c r="B7374">
        <v>1</v>
      </c>
    </row>
    <row r="7375" spans="2:2" x14ac:dyDescent="0.25">
      <c r="B7375">
        <v>1</v>
      </c>
    </row>
    <row r="7376" spans="2:2" x14ac:dyDescent="0.25">
      <c r="B7376">
        <v>1</v>
      </c>
    </row>
    <row r="7377" spans="2:2" x14ac:dyDescent="0.25">
      <c r="B7377">
        <v>1</v>
      </c>
    </row>
    <row r="7378" spans="2:2" x14ac:dyDescent="0.25">
      <c r="B7378">
        <v>1</v>
      </c>
    </row>
    <row r="7379" spans="2:2" x14ac:dyDescent="0.25">
      <c r="B7379">
        <v>1</v>
      </c>
    </row>
    <row r="7380" spans="2:2" x14ac:dyDescent="0.25">
      <c r="B7380">
        <v>1</v>
      </c>
    </row>
    <row r="7381" spans="2:2" x14ac:dyDescent="0.25">
      <c r="B7381">
        <v>1</v>
      </c>
    </row>
    <row r="7382" spans="2:2" x14ac:dyDescent="0.25">
      <c r="B7382">
        <v>1</v>
      </c>
    </row>
    <row r="7383" spans="2:2" x14ac:dyDescent="0.25">
      <c r="B7383">
        <v>1</v>
      </c>
    </row>
    <row r="7384" spans="2:2" x14ac:dyDescent="0.25">
      <c r="B7384">
        <v>1</v>
      </c>
    </row>
    <row r="7385" spans="2:2" x14ac:dyDescent="0.25">
      <c r="B7385">
        <v>1</v>
      </c>
    </row>
    <row r="7386" spans="2:2" x14ac:dyDescent="0.25">
      <c r="B7386">
        <v>1</v>
      </c>
    </row>
    <row r="7387" spans="2:2" x14ac:dyDescent="0.25">
      <c r="B7387">
        <v>1</v>
      </c>
    </row>
    <row r="7388" spans="2:2" x14ac:dyDescent="0.25">
      <c r="B7388">
        <v>1</v>
      </c>
    </row>
    <row r="7389" spans="2:2" x14ac:dyDescent="0.25">
      <c r="B7389">
        <v>1</v>
      </c>
    </row>
    <row r="7390" spans="2:2" x14ac:dyDescent="0.25">
      <c r="B7390">
        <v>1</v>
      </c>
    </row>
    <row r="7391" spans="2:2" x14ac:dyDescent="0.25">
      <c r="B7391">
        <v>1</v>
      </c>
    </row>
    <row r="7392" spans="2:2" x14ac:dyDescent="0.25">
      <c r="B7392">
        <v>1</v>
      </c>
    </row>
    <row r="7393" spans="2:2" x14ac:dyDescent="0.25">
      <c r="B7393">
        <v>1</v>
      </c>
    </row>
    <row r="7394" spans="2:2" x14ac:dyDescent="0.25">
      <c r="B7394">
        <v>1</v>
      </c>
    </row>
    <row r="7395" spans="2:2" x14ac:dyDescent="0.25">
      <c r="B7395">
        <v>1</v>
      </c>
    </row>
    <row r="7396" spans="2:2" x14ac:dyDescent="0.25">
      <c r="B7396">
        <v>1</v>
      </c>
    </row>
    <row r="7397" spans="2:2" x14ac:dyDescent="0.25">
      <c r="B7397">
        <v>1</v>
      </c>
    </row>
    <row r="7398" spans="2:2" x14ac:dyDescent="0.25">
      <c r="B7398">
        <v>1</v>
      </c>
    </row>
    <row r="7399" spans="2:2" x14ac:dyDescent="0.25">
      <c r="B7399">
        <v>1</v>
      </c>
    </row>
    <row r="7400" spans="2:2" x14ac:dyDescent="0.25">
      <c r="B7400">
        <v>1</v>
      </c>
    </row>
    <row r="7401" spans="2:2" x14ac:dyDescent="0.25">
      <c r="B7401">
        <v>1</v>
      </c>
    </row>
    <row r="7402" spans="2:2" x14ac:dyDescent="0.25">
      <c r="B7402">
        <v>1</v>
      </c>
    </row>
    <row r="7403" spans="2:2" x14ac:dyDescent="0.25">
      <c r="B7403">
        <v>1</v>
      </c>
    </row>
    <row r="7404" spans="2:2" x14ac:dyDescent="0.25">
      <c r="B7404">
        <v>1</v>
      </c>
    </row>
    <row r="7405" spans="2:2" x14ac:dyDescent="0.25">
      <c r="B7405">
        <v>1</v>
      </c>
    </row>
    <row r="7406" spans="2:2" x14ac:dyDescent="0.25">
      <c r="B7406">
        <v>1</v>
      </c>
    </row>
    <row r="7407" spans="2:2" x14ac:dyDescent="0.25">
      <c r="B7407">
        <v>1</v>
      </c>
    </row>
    <row r="7408" spans="2:2" x14ac:dyDescent="0.25">
      <c r="B7408">
        <v>1</v>
      </c>
    </row>
    <row r="7409" spans="2:2" x14ac:dyDescent="0.25">
      <c r="B7409">
        <v>1</v>
      </c>
    </row>
    <row r="7410" spans="2:2" x14ac:dyDescent="0.25">
      <c r="B7410">
        <v>1</v>
      </c>
    </row>
    <row r="7411" spans="2:2" x14ac:dyDescent="0.25">
      <c r="B7411">
        <v>1</v>
      </c>
    </row>
    <row r="7412" spans="2:2" x14ac:dyDescent="0.25">
      <c r="B7412">
        <v>1</v>
      </c>
    </row>
    <row r="7413" spans="2:2" x14ac:dyDescent="0.25">
      <c r="B7413">
        <v>1</v>
      </c>
    </row>
    <row r="7414" spans="2:2" x14ac:dyDescent="0.25">
      <c r="B7414">
        <v>1</v>
      </c>
    </row>
    <row r="7415" spans="2:2" x14ac:dyDescent="0.25">
      <c r="B7415">
        <v>1</v>
      </c>
    </row>
    <row r="7416" spans="2:2" x14ac:dyDescent="0.25">
      <c r="B7416">
        <v>1</v>
      </c>
    </row>
    <row r="7417" spans="2:2" x14ac:dyDescent="0.25">
      <c r="B7417">
        <v>1</v>
      </c>
    </row>
    <row r="7418" spans="2:2" x14ac:dyDescent="0.25">
      <c r="B7418">
        <v>1</v>
      </c>
    </row>
    <row r="7419" spans="2:2" x14ac:dyDescent="0.25">
      <c r="B7419">
        <v>1</v>
      </c>
    </row>
    <row r="7420" spans="2:2" x14ac:dyDescent="0.25">
      <c r="B7420">
        <v>1</v>
      </c>
    </row>
    <row r="7421" spans="2:2" x14ac:dyDescent="0.25">
      <c r="B7421">
        <v>1</v>
      </c>
    </row>
    <row r="7422" spans="2:2" x14ac:dyDescent="0.25">
      <c r="B7422">
        <v>1</v>
      </c>
    </row>
    <row r="7423" spans="2:2" x14ac:dyDescent="0.25">
      <c r="B7423">
        <v>1</v>
      </c>
    </row>
    <row r="7424" spans="2:2" x14ac:dyDescent="0.25">
      <c r="B7424">
        <v>1</v>
      </c>
    </row>
    <row r="7425" spans="2:2" x14ac:dyDescent="0.25">
      <c r="B7425">
        <v>1</v>
      </c>
    </row>
    <row r="7426" spans="2:2" x14ac:dyDescent="0.25">
      <c r="B7426">
        <v>1</v>
      </c>
    </row>
    <row r="7427" spans="2:2" x14ac:dyDescent="0.25">
      <c r="B7427">
        <v>1</v>
      </c>
    </row>
    <row r="7428" spans="2:2" x14ac:dyDescent="0.25">
      <c r="B7428">
        <v>1</v>
      </c>
    </row>
    <row r="7429" spans="2:2" x14ac:dyDescent="0.25">
      <c r="B7429">
        <v>1</v>
      </c>
    </row>
    <row r="7430" spans="2:2" x14ac:dyDescent="0.25">
      <c r="B7430">
        <v>1</v>
      </c>
    </row>
    <row r="7431" spans="2:2" x14ac:dyDescent="0.25">
      <c r="B7431">
        <v>1</v>
      </c>
    </row>
    <row r="7432" spans="2:2" x14ac:dyDescent="0.25">
      <c r="B7432">
        <v>1</v>
      </c>
    </row>
    <row r="7433" spans="2:2" x14ac:dyDescent="0.25">
      <c r="B7433">
        <v>1</v>
      </c>
    </row>
    <row r="7434" spans="2:2" x14ac:dyDescent="0.25">
      <c r="B7434">
        <v>1</v>
      </c>
    </row>
    <row r="7435" spans="2:2" x14ac:dyDescent="0.25">
      <c r="B7435">
        <v>1</v>
      </c>
    </row>
    <row r="7436" spans="2:2" x14ac:dyDescent="0.25">
      <c r="B7436">
        <v>1</v>
      </c>
    </row>
    <row r="7437" spans="2:2" x14ac:dyDescent="0.25">
      <c r="B7437">
        <v>1</v>
      </c>
    </row>
    <row r="7438" spans="2:2" x14ac:dyDescent="0.25">
      <c r="B7438">
        <v>1</v>
      </c>
    </row>
    <row r="7439" spans="2:2" x14ac:dyDescent="0.25">
      <c r="B7439">
        <v>1</v>
      </c>
    </row>
    <row r="7440" spans="2:2" x14ac:dyDescent="0.25">
      <c r="B7440">
        <v>1</v>
      </c>
    </row>
    <row r="7441" spans="2:2" x14ac:dyDescent="0.25">
      <c r="B7441">
        <v>1</v>
      </c>
    </row>
    <row r="7442" spans="2:2" x14ac:dyDescent="0.25">
      <c r="B7442">
        <v>1</v>
      </c>
    </row>
    <row r="7443" spans="2:2" x14ac:dyDescent="0.25">
      <c r="B7443">
        <v>1</v>
      </c>
    </row>
    <row r="7444" spans="2:2" x14ac:dyDescent="0.25">
      <c r="B7444">
        <v>1</v>
      </c>
    </row>
    <row r="7445" spans="2:2" x14ac:dyDescent="0.25">
      <c r="B7445">
        <v>1</v>
      </c>
    </row>
    <row r="7446" spans="2:2" x14ac:dyDescent="0.25">
      <c r="B7446">
        <v>1</v>
      </c>
    </row>
    <row r="7447" spans="2:2" x14ac:dyDescent="0.25">
      <c r="B7447">
        <v>1</v>
      </c>
    </row>
    <row r="7448" spans="2:2" x14ac:dyDescent="0.25">
      <c r="B7448">
        <v>1</v>
      </c>
    </row>
    <row r="7449" spans="2:2" x14ac:dyDescent="0.25">
      <c r="B7449">
        <v>1</v>
      </c>
    </row>
    <row r="7450" spans="2:2" x14ac:dyDescent="0.25">
      <c r="B7450">
        <v>1</v>
      </c>
    </row>
    <row r="7451" spans="2:2" x14ac:dyDescent="0.25">
      <c r="B7451">
        <v>1</v>
      </c>
    </row>
    <row r="7452" spans="2:2" x14ac:dyDescent="0.25">
      <c r="B7452">
        <v>1</v>
      </c>
    </row>
    <row r="7453" spans="2:2" x14ac:dyDescent="0.25">
      <c r="B7453">
        <v>1</v>
      </c>
    </row>
    <row r="7454" spans="2:2" x14ac:dyDescent="0.25">
      <c r="B7454">
        <v>1</v>
      </c>
    </row>
    <row r="7455" spans="2:2" x14ac:dyDescent="0.25">
      <c r="B7455">
        <v>1</v>
      </c>
    </row>
    <row r="7456" spans="2:2" x14ac:dyDescent="0.25">
      <c r="B7456">
        <v>1</v>
      </c>
    </row>
    <row r="7457" spans="2:2" x14ac:dyDescent="0.25">
      <c r="B7457">
        <v>1</v>
      </c>
    </row>
    <row r="7458" spans="2:2" x14ac:dyDescent="0.25">
      <c r="B7458">
        <v>1</v>
      </c>
    </row>
    <row r="7459" spans="2:2" x14ac:dyDescent="0.25">
      <c r="B7459">
        <v>1</v>
      </c>
    </row>
    <row r="7460" spans="2:2" x14ac:dyDescent="0.25">
      <c r="B7460">
        <v>1</v>
      </c>
    </row>
    <row r="7461" spans="2:2" x14ac:dyDescent="0.25">
      <c r="B7461">
        <v>1</v>
      </c>
    </row>
    <row r="7462" spans="2:2" x14ac:dyDescent="0.25">
      <c r="B7462">
        <v>1</v>
      </c>
    </row>
    <row r="7463" spans="2:2" x14ac:dyDescent="0.25">
      <c r="B7463">
        <v>1</v>
      </c>
    </row>
    <row r="7464" spans="2:2" x14ac:dyDescent="0.25">
      <c r="B7464">
        <v>1</v>
      </c>
    </row>
    <row r="7465" spans="2:2" x14ac:dyDescent="0.25">
      <c r="B7465">
        <v>1</v>
      </c>
    </row>
    <row r="7466" spans="2:2" x14ac:dyDescent="0.25">
      <c r="B7466">
        <v>1</v>
      </c>
    </row>
    <row r="7467" spans="2:2" x14ac:dyDescent="0.25">
      <c r="B7467">
        <v>1</v>
      </c>
    </row>
    <row r="7468" spans="2:2" x14ac:dyDescent="0.25">
      <c r="B7468">
        <v>1</v>
      </c>
    </row>
    <row r="7469" spans="2:2" x14ac:dyDescent="0.25">
      <c r="B7469">
        <v>1</v>
      </c>
    </row>
    <row r="7470" spans="2:2" x14ac:dyDescent="0.25">
      <c r="B7470">
        <v>1</v>
      </c>
    </row>
    <row r="7471" spans="2:2" x14ac:dyDescent="0.25">
      <c r="B7471">
        <v>1</v>
      </c>
    </row>
    <row r="7472" spans="2:2" x14ac:dyDescent="0.25">
      <c r="B7472">
        <v>1</v>
      </c>
    </row>
    <row r="7473" spans="2:2" x14ac:dyDescent="0.25">
      <c r="B7473">
        <v>1</v>
      </c>
    </row>
    <row r="7474" spans="2:2" x14ac:dyDescent="0.25">
      <c r="B7474">
        <v>1</v>
      </c>
    </row>
    <row r="7475" spans="2:2" x14ac:dyDescent="0.25">
      <c r="B7475">
        <v>1</v>
      </c>
    </row>
    <row r="7476" spans="2:2" x14ac:dyDescent="0.25">
      <c r="B7476">
        <v>1</v>
      </c>
    </row>
    <row r="7477" spans="2:2" x14ac:dyDescent="0.25">
      <c r="B7477">
        <v>1</v>
      </c>
    </row>
    <row r="7478" spans="2:2" x14ac:dyDescent="0.25">
      <c r="B7478">
        <v>1</v>
      </c>
    </row>
    <row r="7479" spans="2:2" x14ac:dyDescent="0.25">
      <c r="B7479">
        <v>1</v>
      </c>
    </row>
    <row r="7480" spans="2:2" x14ac:dyDescent="0.25">
      <c r="B7480">
        <v>1</v>
      </c>
    </row>
    <row r="7481" spans="2:2" x14ac:dyDescent="0.25">
      <c r="B7481">
        <v>1</v>
      </c>
    </row>
    <row r="7482" spans="2:2" x14ac:dyDescent="0.25">
      <c r="B7482">
        <v>1</v>
      </c>
    </row>
    <row r="7483" spans="2:2" x14ac:dyDescent="0.25">
      <c r="B7483">
        <v>1</v>
      </c>
    </row>
    <row r="7484" spans="2:2" x14ac:dyDescent="0.25">
      <c r="B7484">
        <v>1</v>
      </c>
    </row>
    <row r="7485" spans="2:2" x14ac:dyDescent="0.25">
      <c r="B7485">
        <v>1</v>
      </c>
    </row>
    <row r="7486" spans="2:2" x14ac:dyDescent="0.25">
      <c r="B7486">
        <v>1</v>
      </c>
    </row>
    <row r="7487" spans="2:2" x14ac:dyDescent="0.25">
      <c r="B7487">
        <v>1</v>
      </c>
    </row>
    <row r="7488" spans="2:2" x14ac:dyDescent="0.25">
      <c r="B7488">
        <v>1</v>
      </c>
    </row>
    <row r="7489" spans="2:2" x14ac:dyDescent="0.25">
      <c r="B7489">
        <v>1</v>
      </c>
    </row>
    <row r="7490" spans="2:2" x14ac:dyDescent="0.25">
      <c r="B7490">
        <v>1</v>
      </c>
    </row>
    <row r="7491" spans="2:2" x14ac:dyDescent="0.25">
      <c r="B7491">
        <v>1</v>
      </c>
    </row>
    <row r="7492" spans="2:2" x14ac:dyDescent="0.25">
      <c r="B7492">
        <v>1</v>
      </c>
    </row>
    <row r="7493" spans="2:2" x14ac:dyDescent="0.25">
      <c r="B7493">
        <v>1</v>
      </c>
    </row>
    <row r="7494" spans="2:2" x14ac:dyDescent="0.25">
      <c r="B7494">
        <v>1</v>
      </c>
    </row>
    <row r="7495" spans="2:2" x14ac:dyDescent="0.25">
      <c r="B7495">
        <v>1</v>
      </c>
    </row>
    <row r="7496" spans="2:2" x14ac:dyDescent="0.25">
      <c r="B7496">
        <v>1</v>
      </c>
    </row>
    <row r="7497" spans="2:2" x14ac:dyDescent="0.25">
      <c r="B7497">
        <v>1</v>
      </c>
    </row>
    <row r="7498" spans="2:2" x14ac:dyDescent="0.25">
      <c r="B7498">
        <v>1</v>
      </c>
    </row>
    <row r="7499" spans="2:2" x14ac:dyDescent="0.25">
      <c r="B7499">
        <v>1</v>
      </c>
    </row>
    <row r="7500" spans="2:2" x14ac:dyDescent="0.25">
      <c r="B7500">
        <v>1</v>
      </c>
    </row>
    <row r="7501" spans="2:2" x14ac:dyDescent="0.25">
      <c r="B7501">
        <v>1</v>
      </c>
    </row>
    <row r="7502" spans="2:2" x14ac:dyDescent="0.25">
      <c r="B7502">
        <v>1</v>
      </c>
    </row>
    <row r="7503" spans="2:2" x14ac:dyDescent="0.25">
      <c r="B7503">
        <v>1</v>
      </c>
    </row>
    <row r="7504" spans="2:2" x14ac:dyDescent="0.25">
      <c r="B7504">
        <v>1</v>
      </c>
    </row>
    <row r="7505" spans="2:2" x14ac:dyDescent="0.25">
      <c r="B7505">
        <v>1</v>
      </c>
    </row>
    <row r="7506" spans="2:2" x14ac:dyDescent="0.25">
      <c r="B7506">
        <v>1</v>
      </c>
    </row>
    <row r="7507" spans="2:2" x14ac:dyDescent="0.25">
      <c r="B7507">
        <v>1</v>
      </c>
    </row>
    <row r="7508" spans="2:2" x14ac:dyDescent="0.25">
      <c r="B7508">
        <v>1</v>
      </c>
    </row>
    <row r="7509" spans="2:2" x14ac:dyDescent="0.25">
      <c r="B7509">
        <v>1</v>
      </c>
    </row>
    <row r="7510" spans="2:2" x14ac:dyDescent="0.25">
      <c r="B7510">
        <v>1</v>
      </c>
    </row>
    <row r="7511" spans="2:2" x14ac:dyDescent="0.25">
      <c r="B7511">
        <v>1</v>
      </c>
    </row>
    <row r="7512" spans="2:2" x14ac:dyDescent="0.25">
      <c r="B7512">
        <v>1</v>
      </c>
    </row>
    <row r="7513" spans="2:2" x14ac:dyDescent="0.25">
      <c r="B7513">
        <v>1</v>
      </c>
    </row>
    <row r="7514" spans="2:2" x14ac:dyDescent="0.25">
      <c r="B7514">
        <v>1</v>
      </c>
    </row>
    <row r="7515" spans="2:2" x14ac:dyDescent="0.25">
      <c r="B7515">
        <v>1</v>
      </c>
    </row>
    <row r="7516" spans="2:2" x14ac:dyDescent="0.25">
      <c r="B7516">
        <v>1</v>
      </c>
    </row>
    <row r="7517" spans="2:2" x14ac:dyDescent="0.25">
      <c r="B7517">
        <v>1</v>
      </c>
    </row>
    <row r="7518" spans="2:2" x14ac:dyDescent="0.25">
      <c r="B7518">
        <v>1</v>
      </c>
    </row>
    <row r="7519" spans="2:2" x14ac:dyDescent="0.25">
      <c r="B7519">
        <v>1</v>
      </c>
    </row>
    <row r="7520" spans="2:2" x14ac:dyDescent="0.25">
      <c r="B7520">
        <v>1</v>
      </c>
    </row>
    <row r="7521" spans="2:2" x14ac:dyDescent="0.25">
      <c r="B7521">
        <v>1</v>
      </c>
    </row>
    <row r="7522" spans="2:2" x14ac:dyDescent="0.25">
      <c r="B7522">
        <v>1</v>
      </c>
    </row>
    <row r="7523" spans="2:2" x14ac:dyDescent="0.25">
      <c r="B7523">
        <v>1</v>
      </c>
    </row>
    <row r="7524" spans="2:2" x14ac:dyDescent="0.25">
      <c r="B7524">
        <v>1</v>
      </c>
    </row>
    <row r="7525" spans="2:2" x14ac:dyDescent="0.25">
      <c r="B7525">
        <v>1</v>
      </c>
    </row>
    <row r="7526" spans="2:2" x14ac:dyDescent="0.25">
      <c r="B7526">
        <v>1</v>
      </c>
    </row>
    <row r="7527" spans="2:2" x14ac:dyDescent="0.25">
      <c r="B7527">
        <v>1</v>
      </c>
    </row>
    <row r="7528" spans="2:2" x14ac:dyDescent="0.25">
      <c r="B7528">
        <v>1</v>
      </c>
    </row>
    <row r="7529" spans="2:2" x14ac:dyDescent="0.25">
      <c r="B7529">
        <v>1</v>
      </c>
    </row>
    <row r="7530" spans="2:2" x14ac:dyDescent="0.25">
      <c r="B7530">
        <v>1</v>
      </c>
    </row>
    <row r="7531" spans="2:2" x14ac:dyDescent="0.25">
      <c r="B7531">
        <v>1</v>
      </c>
    </row>
    <row r="7532" spans="2:2" x14ac:dyDescent="0.25">
      <c r="B7532">
        <v>1</v>
      </c>
    </row>
    <row r="7533" spans="2:2" x14ac:dyDescent="0.25">
      <c r="B7533">
        <v>1</v>
      </c>
    </row>
    <row r="7534" spans="2:2" x14ac:dyDescent="0.25">
      <c r="B7534">
        <v>1</v>
      </c>
    </row>
    <row r="7535" spans="2:2" x14ac:dyDescent="0.25">
      <c r="B7535">
        <v>1</v>
      </c>
    </row>
    <row r="7536" spans="2:2" x14ac:dyDescent="0.25">
      <c r="B7536">
        <v>1</v>
      </c>
    </row>
    <row r="7537" spans="2:2" x14ac:dyDescent="0.25">
      <c r="B7537">
        <v>1</v>
      </c>
    </row>
    <row r="7538" spans="2:2" x14ac:dyDescent="0.25">
      <c r="B7538">
        <v>1</v>
      </c>
    </row>
    <row r="7539" spans="2:2" x14ac:dyDescent="0.25">
      <c r="B7539">
        <v>1</v>
      </c>
    </row>
    <row r="7540" spans="2:2" x14ac:dyDescent="0.25">
      <c r="B7540">
        <v>1</v>
      </c>
    </row>
    <row r="7541" spans="2:2" x14ac:dyDescent="0.25">
      <c r="B7541">
        <v>1</v>
      </c>
    </row>
    <row r="7542" spans="2:2" x14ac:dyDescent="0.25">
      <c r="B7542">
        <v>1</v>
      </c>
    </row>
    <row r="7543" spans="2:2" x14ac:dyDescent="0.25">
      <c r="B7543">
        <v>1</v>
      </c>
    </row>
    <row r="7544" spans="2:2" x14ac:dyDescent="0.25">
      <c r="B7544">
        <v>1</v>
      </c>
    </row>
    <row r="7545" spans="2:2" x14ac:dyDescent="0.25">
      <c r="B7545">
        <v>1</v>
      </c>
    </row>
    <row r="7546" spans="2:2" x14ac:dyDescent="0.25">
      <c r="B7546">
        <v>1</v>
      </c>
    </row>
    <row r="7547" spans="2:2" x14ac:dyDescent="0.25">
      <c r="B7547">
        <v>1</v>
      </c>
    </row>
    <row r="7548" spans="2:2" x14ac:dyDescent="0.25">
      <c r="B7548">
        <v>1</v>
      </c>
    </row>
    <row r="7549" spans="2:2" x14ac:dyDescent="0.25">
      <c r="B7549">
        <v>1</v>
      </c>
    </row>
    <row r="7550" spans="2:2" x14ac:dyDescent="0.25">
      <c r="B7550">
        <v>1</v>
      </c>
    </row>
    <row r="7551" spans="2:2" x14ac:dyDescent="0.25">
      <c r="B7551">
        <v>1</v>
      </c>
    </row>
    <row r="7552" spans="2:2" x14ac:dyDescent="0.25">
      <c r="B7552">
        <v>1</v>
      </c>
    </row>
    <row r="7553" spans="2:2" x14ac:dyDescent="0.25">
      <c r="B7553">
        <v>1</v>
      </c>
    </row>
    <row r="7554" spans="2:2" x14ac:dyDescent="0.25">
      <c r="B7554">
        <v>1</v>
      </c>
    </row>
    <row r="7555" spans="2:2" x14ac:dyDescent="0.25">
      <c r="B7555">
        <v>1</v>
      </c>
    </row>
    <row r="7556" spans="2:2" x14ac:dyDescent="0.25">
      <c r="B7556">
        <v>1</v>
      </c>
    </row>
    <row r="7557" spans="2:2" x14ac:dyDescent="0.25">
      <c r="B7557">
        <v>1</v>
      </c>
    </row>
    <row r="7558" spans="2:2" x14ac:dyDescent="0.25">
      <c r="B7558">
        <v>1</v>
      </c>
    </row>
    <row r="7559" spans="2:2" x14ac:dyDescent="0.25">
      <c r="B7559">
        <v>1</v>
      </c>
    </row>
    <row r="7560" spans="2:2" x14ac:dyDescent="0.25">
      <c r="B7560">
        <v>1</v>
      </c>
    </row>
    <row r="7561" spans="2:2" x14ac:dyDescent="0.25">
      <c r="B7561">
        <v>1</v>
      </c>
    </row>
    <row r="7562" spans="2:2" x14ac:dyDescent="0.25">
      <c r="B7562">
        <v>1</v>
      </c>
    </row>
    <row r="7563" spans="2:2" x14ac:dyDescent="0.25">
      <c r="B7563">
        <v>1</v>
      </c>
    </row>
    <row r="7564" spans="2:2" x14ac:dyDescent="0.25">
      <c r="B7564">
        <v>1</v>
      </c>
    </row>
    <row r="7565" spans="2:2" x14ac:dyDescent="0.25">
      <c r="B7565">
        <v>1</v>
      </c>
    </row>
    <row r="7566" spans="2:2" x14ac:dyDescent="0.25">
      <c r="B7566">
        <v>1</v>
      </c>
    </row>
    <row r="7567" spans="2:2" x14ac:dyDescent="0.25">
      <c r="B7567">
        <v>1</v>
      </c>
    </row>
    <row r="7568" spans="2:2" x14ac:dyDescent="0.25">
      <c r="B7568">
        <v>1</v>
      </c>
    </row>
    <row r="7569" spans="2:2" x14ac:dyDescent="0.25">
      <c r="B7569">
        <v>1</v>
      </c>
    </row>
    <row r="7570" spans="2:2" x14ac:dyDescent="0.25">
      <c r="B7570">
        <v>1</v>
      </c>
    </row>
    <row r="7571" spans="2:2" x14ac:dyDescent="0.25">
      <c r="B7571">
        <v>1</v>
      </c>
    </row>
    <row r="7572" spans="2:2" x14ac:dyDescent="0.25">
      <c r="B7572">
        <v>1</v>
      </c>
    </row>
    <row r="7573" spans="2:2" x14ac:dyDescent="0.25">
      <c r="B7573">
        <v>1</v>
      </c>
    </row>
    <row r="7574" spans="2:2" x14ac:dyDescent="0.25">
      <c r="B7574">
        <v>1</v>
      </c>
    </row>
    <row r="7575" spans="2:2" x14ac:dyDescent="0.25">
      <c r="B7575">
        <v>1</v>
      </c>
    </row>
    <row r="7576" spans="2:2" x14ac:dyDescent="0.25">
      <c r="B7576">
        <v>1</v>
      </c>
    </row>
    <row r="7577" spans="2:2" x14ac:dyDescent="0.25">
      <c r="B7577">
        <v>1</v>
      </c>
    </row>
    <row r="7578" spans="2:2" x14ac:dyDescent="0.25">
      <c r="B7578">
        <v>1</v>
      </c>
    </row>
    <row r="7579" spans="2:2" x14ac:dyDescent="0.25">
      <c r="B7579">
        <v>1</v>
      </c>
    </row>
    <row r="7580" spans="2:2" x14ac:dyDescent="0.25">
      <c r="B7580">
        <v>1</v>
      </c>
    </row>
    <row r="7581" spans="2:2" x14ac:dyDescent="0.25">
      <c r="B7581">
        <v>1</v>
      </c>
    </row>
    <row r="7582" spans="2:2" x14ac:dyDescent="0.25">
      <c r="B7582">
        <v>1</v>
      </c>
    </row>
    <row r="7583" spans="2:2" x14ac:dyDescent="0.25">
      <c r="B7583">
        <v>1</v>
      </c>
    </row>
    <row r="7584" spans="2:2" x14ac:dyDescent="0.25">
      <c r="B7584">
        <v>1</v>
      </c>
    </row>
    <row r="7585" spans="2:2" x14ac:dyDescent="0.25">
      <c r="B7585">
        <v>1</v>
      </c>
    </row>
    <row r="7586" spans="2:2" x14ac:dyDescent="0.25">
      <c r="B7586">
        <v>1</v>
      </c>
    </row>
    <row r="7587" spans="2:2" x14ac:dyDescent="0.25">
      <c r="B7587">
        <v>1</v>
      </c>
    </row>
    <row r="7588" spans="2:2" x14ac:dyDescent="0.25">
      <c r="B7588">
        <v>1</v>
      </c>
    </row>
    <row r="7589" spans="2:2" x14ac:dyDescent="0.25">
      <c r="B7589">
        <v>1</v>
      </c>
    </row>
    <row r="7590" spans="2:2" x14ac:dyDescent="0.25">
      <c r="B7590">
        <v>1</v>
      </c>
    </row>
    <row r="7591" spans="2:2" x14ac:dyDescent="0.25">
      <c r="B7591">
        <v>1</v>
      </c>
    </row>
    <row r="7592" spans="2:2" x14ac:dyDescent="0.25">
      <c r="B7592">
        <v>1</v>
      </c>
    </row>
    <row r="7593" spans="2:2" x14ac:dyDescent="0.25">
      <c r="B7593">
        <v>1</v>
      </c>
    </row>
    <row r="7594" spans="2:2" x14ac:dyDescent="0.25">
      <c r="B7594">
        <v>1</v>
      </c>
    </row>
    <row r="7595" spans="2:2" x14ac:dyDescent="0.25">
      <c r="B7595">
        <v>1</v>
      </c>
    </row>
    <row r="7596" spans="2:2" x14ac:dyDescent="0.25">
      <c r="B7596">
        <v>1</v>
      </c>
    </row>
    <row r="7597" spans="2:2" x14ac:dyDescent="0.25">
      <c r="B7597">
        <v>1</v>
      </c>
    </row>
    <row r="7598" spans="2:2" x14ac:dyDescent="0.25">
      <c r="B7598">
        <v>1</v>
      </c>
    </row>
    <row r="7599" spans="2:2" x14ac:dyDescent="0.25">
      <c r="B7599">
        <v>1</v>
      </c>
    </row>
    <row r="7600" spans="2:2" x14ac:dyDescent="0.25">
      <c r="B7600">
        <v>1</v>
      </c>
    </row>
    <row r="7601" spans="2:2" x14ac:dyDescent="0.25">
      <c r="B7601">
        <v>1</v>
      </c>
    </row>
    <row r="7602" spans="2:2" x14ac:dyDescent="0.25">
      <c r="B7602">
        <v>1</v>
      </c>
    </row>
    <row r="7603" spans="2:2" x14ac:dyDescent="0.25">
      <c r="B7603">
        <v>1</v>
      </c>
    </row>
    <row r="7604" spans="2:2" x14ac:dyDescent="0.25">
      <c r="B7604">
        <v>1</v>
      </c>
    </row>
    <row r="7605" spans="2:2" x14ac:dyDescent="0.25">
      <c r="B7605">
        <v>1</v>
      </c>
    </row>
    <row r="7606" spans="2:2" x14ac:dyDescent="0.25">
      <c r="B7606">
        <v>1</v>
      </c>
    </row>
    <row r="7607" spans="2:2" x14ac:dyDescent="0.25">
      <c r="B7607">
        <v>1</v>
      </c>
    </row>
    <row r="7608" spans="2:2" x14ac:dyDescent="0.25">
      <c r="B7608">
        <v>1</v>
      </c>
    </row>
    <row r="7609" spans="2:2" x14ac:dyDescent="0.25">
      <c r="B7609">
        <v>1</v>
      </c>
    </row>
    <row r="7610" spans="2:2" x14ac:dyDescent="0.25">
      <c r="B7610">
        <v>1</v>
      </c>
    </row>
    <row r="7611" spans="2:2" x14ac:dyDescent="0.25">
      <c r="B7611">
        <v>1</v>
      </c>
    </row>
    <row r="7612" spans="2:2" x14ac:dyDescent="0.25">
      <c r="B7612">
        <v>1</v>
      </c>
    </row>
    <row r="7613" spans="2:2" x14ac:dyDescent="0.25">
      <c r="B7613">
        <v>1</v>
      </c>
    </row>
    <row r="7614" spans="2:2" x14ac:dyDescent="0.25">
      <c r="B7614">
        <v>1</v>
      </c>
    </row>
    <row r="7615" spans="2:2" x14ac:dyDescent="0.25">
      <c r="B7615">
        <v>1</v>
      </c>
    </row>
    <row r="7616" spans="2:2" x14ac:dyDescent="0.25">
      <c r="B7616">
        <v>1</v>
      </c>
    </row>
    <row r="7617" spans="2:2" x14ac:dyDescent="0.25">
      <c r="B7617">
        <v>1</v>
      </c>
    </row>
    <row r="7618" spans="2:2" x14ac:dyDescent="0.25">
      <c r="B7618">
        <v>1</v>
      </c>
    </row>
    <row r="7619" spans="2:2" x14ac:dyDescent="0.25">
      <c r="B7619">
        <v>1</v>
      </c>
    </row>
    <row r="7620" spans="2:2" x14ac:dyDescent="0.25">
      <c r="B7620">
        <v>1</v>
      </c>
    </row>
    <row r="7621" spans="2:2" x14ac:dyDescent="0.25">
      <c r="B7621">
        <v>1</v>
      </c>
    </row>
    <row r="7622" spans="2:2" x14ac:dyDescent="0.25">
      <c r="B7622">
        <v>1</v>
      </c>
    </row>
    <row r="7623" spans="2:2" x14ac:dyDescent="0.25">
      <c r="B7623">
        <v>1</v>
      </c>
    </row>
    <row r="7624" spans="2:2" x14ac:dyDescent="0.25">
      <c r="B7624">
        <v>1</v>
      </c>
    </row>
    <row r="7625" spans="2:2" x14ac:dyDescent="0.25">
      <c r="B7625">
        <v>1</v>
      </c>
    </row>
    <row r="7626" spans="2:2" x14ac:dyDescent="0.25">
      <c r="B7626">
        <v>1</v>
      </c>
    </row>
    <row r="7627" spans="2:2" x14ac:dyDescent="0.25">
      <c r="B7627">
        <v>1</v>
      </c>
    </row>
    <row r="7628" spans="2:2" x14ac:dyDescent="0.25">
      <c r="B7628">
        <v>1</v>
      </c>
    </row>
    <row r="7629" spans="2:2" x14ac:dyDescent="0.25">
      <c r="B7629">
        <v>1</v>
      </c>
    </row>
    <row r="7630" spans="2:2" x14ac:dyDescent="0.25">
      <c r="B7630">
        <v>1</v>
      </c>
    </row>
    <row r="7631" spans="2:2" x14ac:dyDescent="0.25">
      <c r="B7631">
        <v>1</v>
      </c>
    </row>
    <row r="7632" spans="2:2" x14ac:dyDescent="0.25">
      <c r="B7632">
        <v>1</v>
      </c>
    </row>
    <row r="7633" spans="2:2" x14ac:dyDescent="0.25">
      <c r="B7633">
        <v>1</v>
      </c>
    </row>
    <row r="7634" spans="2:2" x14ac:dyDescent="0.25">
      <c r="B7634">
        <v>1</v>
      </c>
    </row>
    <row r="7635" spans="2:2" x14ac:dyDescent="0.25">
      <c r="B7635">
        <v>1</v>
      </c>
    </row>
    <row r="7636" spans="2:2" x14ac:dyDescent="0.25">
      <c r="B7636">
        <v>1</v>
      </c>
    </row>
    <row r="7637" spans="2:2" x14ac:dyDescent="0.25">
      <c r="B7637">
        <v>1</v>
      </c>
    </row>
    <row r="7638" spans="2:2" x14ac:dyDescent="0.25">
      <c r="B7638">
        <v>1</v>
      </c>
    </row>
    <row r="7639" spans="2:2" x14ac:dyDescent="0.25">
      <c r="B7639">
        <v>1</v>
      </c>
    </row>
    <row r="7640" spans="2:2" x14ac:dyDescent="0.25">
      <c r="B7640">
        <v>1</v>
      </c>
    </row>
    <row r="7641" spans="2:2" x14ac:dyDescent="0.25">
      <c r="B7641">
        <v>1</v>
      </c>
    </row>
    <row r="7642" spans="2:2" x14ac:dyDescent="0.25">
      <c r="B7642">
        <v>1</v>
      </c>
    </row>
    <row r="7643" spans="2:2" x14ac:dyDescent="0.25">
      <c r="B7643">
        <v>1</v>
      </c>
    </row>
    <row r="7644" spans="2:2" x14ac:dyDescent="0.25">
      <c r="B7644">
        <v>1</v>
      </c>
    </row>
    <row r="7645" spans="2:2" x14ac:dyDescent="0.25">
      <c r="B7645">
        <v>1</v>
      </c>
    </row>
    <row r="7646" spans="2:2" x14ac:dyDescent="0.25">
      <c r="B7646">
        <v>1</v>
      </c>
    </row>
    <row r="7647" spans="2:2" x14ac:dyDescent="0.25">
      <c r="B7647">
        <v>1</v>
      </c>
    </row>
    <row r="7648" spans="2:2" x14ac:dyDescent="0.25">
      <c r="B7648">
        <v>1</v>
      </c>
    </row>
    <row r="7649" spans="2:2" x14ac:dyDescent="0.25">
      <c r="B7649">
        <v>1</v>
      </c>
    </row>
    <row r="7650" spans="2:2" x14ac:dyDescent="0.25">
      <c r="B7650">
        <v>1</v>
      </c>
    </row>
    <row r="7651" spans="2:2" x14ac:dyDescent="0.25">
      <c r="B7651">
        <v>1</v>
      </c>
    </row>
    <row r="7652" spans="2:2" x14ac:dyDescent="0.25">
      <c r="B7652">
        <v>1</v>
      </c>
    </row>
    <row r="7653" spans="2:2" x14ac:dyDescent="0.25">
      <c r="B7653">
        <v>1</v>
      </c>
    </row>
    <row r="7654" spans="2:2" x14ac:dyDescent="0.25">
      <c r="B7654">
        <v>1</v>
      </c>
    </row>
    <row r="7655" spans="2:2" x14ac:dyDescent="0.25">
      <c r="B7655">
        <v>1</v>
      </c>
    </row>
    <row r="7656" spans="2:2" x14ac:dyDescent="0.25">
      <c r="B7656">
        <v>1</v>
      </c>
    </row>
    <row r="7657" spans="2:2" x14ac:dyDescent="0.25">
      <c r="B7657">
        <v>1</v>
      </c>
    </row>
    <row r="7658" spans="2:2" x14ac:dyDescent="0.25">
      <c r="B7658">
        <v>1</v>
      </c>
    </row>
    <row r="7659" spans="2:2" x14ac:dyDescent="0.25">
      <c r="B7659">
        <v>1</v>
      </c>
    </row>
    <row r="7660" spans="2:2" x14ac:dyDescent="0.25">
      <c r="B7660">
        <v>1</v>
      </c>
    </row>
    <row r="7661" spans="2:2" x14ac:dyDescent="0.25">
      <c r="B7661">
        <v>1</v>
      </c>
    </row>
    <row r="7662" spans="2:2" x14ac:dyDescent="0.25">
      <c r="B7662">
        <v>1</v>
      </c>
    </row>
    <row r="7663" spans="2:2" x14ac:dyDescent="0.25">
      <c r="B7663">
        <v>1</v>
      </c>
    </row>
    <row r="7664" spans="2:2" x14ac:dyDescent="0.25">
      <c r="B7664">
        <v>1</v>
      </c>
    </row>
    <row r="7665" spans="2:2" x14ac:dyDescent="0.25">
      <c r="B7665">
        <v>1</v>
      </c>
    </row>
    <row r="7666" spans="2:2" x14ac:dyDescent="0.25">
      <c r="B7666">
        <v>1</v>
      </c>
    </row>
    <row r="7667" spans="2:2" x14ac:dyDescent="0.25">
      <c r="B7667">
        <v>1</v>
      </c>
    </row>
    <row r="7668" spans="2:2" x14ac:dyDescent="0.25">
      <c r="B7668">
        <v>1</v>
      </c>
    </row>
    <row r="7669" spans="2:2" x14ac:dyDescent="0.25">
      <c r="B7669">
        <v>1</v>
      </c>
    </row>
    <row r="7670" spans="2:2" x14ac:dyDescent="0.25">
      <c r="B7670">
        <v>1</v>
      </c>
    </row>
    <row r="7671" spans="2:2" x14ac:dyDescent="0.25">
      <c r="B7671">
        <v>1</v>
      </c>
    </row>
    <row r="7672" spans="2:2" x14ac:dyDescent="0.25">
      <c r="B7672">
        <v>1</v>
      </c>
    </row>
    <row r="7673" spans="2:2" x14ac:dyDescent="0.25">
      <c r="B7673">
        <v>1</v>
      </c>
    </row>
    <row r="7674" spans="2:2" x14ac:dyDescent="0.25">
      <c r="B7674">
        <v>1</v>
      </c>
    </row>
    <row r="7675" spans="2:2" x14ac:dyDescent="0.25">
      <c r="B7675">
        <v>1</v>
      </c>
    </row>
    <row r="7676" spans="2:2" x14ac:dyDescent="0.25">
      <c r="B7676">
        <v>1</v>
      </c>
    </row>
    <row r="7677" spans="2:2" x14ac:dyDescent="0.25">
      <c r="B7677">
        <v>1</v>
      </c>
    </row>
    <row r="7678" spans="2:2" x14ac:dyDescent="0.25">
      <c r="B7678">
        <v>1</v>
      </c>
    </row>
    <row r="7679" spans="2:2" x14ac:dyDescent="0.25">
      <c r="B7679">
        <v>1</v>
      </c>
    </row>
    <row r="7680" spans="2:2" x14ac:dyDescent="0.25">
      <c r="B7680">
        <v>1</v>
      </c>
    </row>
    <row r="7681" spans="2:2" x14ac:dyDescent="0.25">
      <c r="B7681">
        <v>1</v>
      </c>
    </row>
    <row r="7682" spans="2:2" x14ac:dyDescent="0.25">
      <c r="B7682">
        <v>1</v>
      </c>
    </row>
    <row r="7683" spans="2:2" x14ac:dyDescent="0.25">
      <c r="B7683">
        <v>1</v>
      </c>
    </row>
    <row r="7684" spans="2:2" x14ac:dyDescent="0.25">
      <c r="B7684">
        <v>1</v>
      </c>
    </row>
    <row r="7685" spans="2:2" x14ac:dyDescent="0.25">
      <c r="B7685">
        <v>1</v>
      </c>
    </row>
    <row r="7686" spans="2:2" x14ac:dyDescent="0.25">
      <c r="B7686">
        <v>1</v>
      </c>
    </row>
    <row r="7687" spans="2:2" x14ac:dyDescent="0.25">
      <c r="B7687">
        <v>1</v>
      </c>
    </row>
    <row r="7688" spans="2:2" x14ac:dyDescent="0.25">
      <c r="B7688">
        <v>1</v>
      </c>
    </row>
    <row r="7689" spans="2:2" x14ac:dyDescent="0.25">
      <c r="B7689">
        <v>1</v>
      </c>
    </row>
    <row r="7690" spans="2:2" x14ac:dyDescent="0.25">
      <c r="B7690">
        <v>1</v>
      </c>
    </row>
    <row r="7691" spans="2:2" x14ac:dyDescent="0.25">
      <c r="B7691">
        <v>1</v>
      </c>
    </row>
    <row r="7692" spans="2:2" x14ac:dyDescent="0.25">
      <c r="B7692">
        <v>1</v>
      </c>
    </row>
    <row r="7693" spans="2:2" x14ac:dyDescent="0.25">
      <c r="B7693">
        <v>1</v>
      </c>
    </row>
    <row r="7694" spans="2:2" x14ac:dyDescent="0.25">
      <c r="B7694">
        <v>1</v>
      </c>
    </row>
    <row r="7695" spans="2:2" x14ac:dyDescent="0.25">
      <c r="B7695">
        <v>1</v>
      </c>
    </row>
    <row r="7696" spans="2:2" x14ac:dyDescent="0.25">
      <c r="B7696">
        <v>1</v>
      </c>
    </row>
    <row r="7697" spans="2:2" x14ac:dyDescent="0.25">
      <c r="B7697">
        <v>1</v>
      </c>
    </row>
    <row r="7698" spans="2:2" x14ac:dyDescent="0.25">
      <c r="B7698">
        <v>1</v>
      </c>
    </row>
    <row r="7699" spans="2:2" x14ac:dyDescent="0.25">
      <c r="B7699">
        <v>1</v>
      </c>
    </row>
    <row r="7700" spans="2:2" x14ac:dyDescent="0.25">
      <c r="B7700">
        <v>1</v>
      </c>
    </row>
    <row r="7701" spans="2:2" x14ac:dyDescent="0.25">
      <c r="B7701">
        <v>1</v>
      </c>
    </row>
    <row r="7702" spans="2:2" x14ac:dyDescent="0.25">
      <c r="B7702">
        <v>1</v>
      </c>
    </row>
    <row r="7703" spans="2:2" x14ac:dyDescent="0.25">
      <c r="B7703">
        <v>1</v>
      </c>
    </row>
    <row r="7704" spans="2:2" x14ac:dyDescent="0.25">
      <c r="B7704">
        <v>1</v>
      </c>
    </row>
    <row r="7705" spans="2:2" x14ac:dyDescent="0.25">
      <c r="B7705">
        <v>1</v>
      </c>
    </row>
    <row r="7706" spans="2:2" x14ac:dyDescent="0.25">
      <c r="B7706">
        <v>1</v>
      </c>
    </row>
    <row r="7707" spans="2:2" x14ac:dyDescent="0.25">
      <c r="B7707">
        <v>1</v>
      </c>
    </row>
    <row r="7708" spans="2:2" x14ac:dyDescent="0.25">
      <c r="B7708">
        <v>1</v>
      </c>
    </row>
    <row r="7709" spans="2:2" x14ac:dyDescent="0.25">
      <c r="B7709">
        <v>1</v>
      </c>
    </row>
    <row r="7710" spans="2:2" x14ac:dyDescent="0.25">
      <c r="B7710">
        <v>1</v>
      </c>
    </row>
    <row r="7711" spans="2:2" x14ac:dyDescent="0.25">
      <c r="B7711">
        <v>1</v>
      </c>
    </row>
    <row r="7712" spans="2:2" x14ac:dyDescent="0.25">
      <c r="B7712">
        <v>1</v>
      </c>
    </row>
    <row r="7713" spans="2:2" x14ac:dyDescent="0.25">
      <c r="B7713">
        <v>1</v>
      </c>
    </row>
    <row r="7714" spans="2:2" x14ac:dyDescent="0.25">
      <c r="B7714">
        <v>1</v>
      </c>
    </row>
    <row r="7715" spans="2:2" x14ac:dyDescent="0.25">
      <c r="B7715">
        <v>1</v>
      </c>
    </row>
    <row r="7716" spans="2:2" x14ac:dyDescent="0.25">
      <c r="B7716">
        <v>1</v>
      </c>
    </row>
    <row r="7717" spans="2:2" x14ac:dyDescent="0.25">
      <c r="B7717">
        <v>1</v>
      </c>
    </row>
    <row r="7718" spans="2:2" x14ac:dyDescent="0.25">
      <c r="B7718">
        <v>1</v>
      </c>
    </row>
    <row r="7719" spans="2:2" x14ac:dyDescent="0.25">
      <c r="B7719">
        <v>1</v>
      </c>
    </row>
    <row r="7720" spans="2:2" x14ac:dyDescent="0.25">
      <c r="B7720">
        <v>1</v>
      </c>
    </row>
    <row r="7721" spans="2:2" x14ac:dyDescent="0.25">
      <c r="B7721">
        <v>1</v>
      </c>
    </row>
    <row r="7722" spans="2:2" x14ac:dyDescent="0.25">
      <c r="B7722">
        <v>1</v>
      </c>
    </row>
    <row r="7723" spans="2:2" x14ac:dyDescent="0.25">
      <c r="B7723">
        <v>1</v>
      </c>
    </row>
    <row r="7724" spans="2:2" x14ac:dyDescent="0.25">
      <c r="B7724">
        <v>1</v>
      </c>
    </row>
    <row r="7725" spans="2:2" x14ac:dyDescent="0.25">
      <c r="B7725">
        <v>1</v>
      </c>
    </row>
    <row r="7726" spans="2:2" x14ac:dyDescent="0.25">
      <c r="B7726">
        <v>1</v>
      </c>
    </row>
    <row r="7727" spans="2:2" x14ac:dyDescent="0.25">
      <c r="B7727">
        <v>1</v>
      </c>
    </row>
    <row r="7728" spans="2:2" x14ac:dyDescent="0.25">
      <c r="B7728">
        <v>1</v>
      </c>
    </row>
    <row r="7729" spans="2:2" x14ac:dyDescent="0.25">
      <c r="B7729">
        <v>1</v>
      </c>
    </row>
    <row r="7730" spans="2:2" x14ac:dyDescent="0.25">
      <c r="B7730">
        <v>1</v>
      </c>
    </row>
    <row r="7731" spans="2:2" x14ac:dyDescent="0.25">
      <c r="B7731">
        <v>1</v>
      </c>
    </row>
    <row r="7732" spans="2:2" x14ac:dyDescent="0.25">
      <c r="B7732">
        <v>1</v>
      </c>
    </row>
    <row r="7733" spans="2:2" x14ac:dyDescent="0.25">
      <c r="B7733">
        <v>1</v>
      </c>
    </row>
    <row r="7734" spans="2:2" x14ac:dyDescent="0.25">
      <c r="B7734">
        <v>1</v>
      </c>
    </row>
    <row r="7735" spans="2:2" x14ac:dyDescent="0.25">
      <c r="B7735">
        <v>1</v>
      </c>
    </row>
    <row r="7736" spans="2:2" x14ac:dyDescent="0.25">
      <c r="B7736">
        <v>1</v>
      </c>
    </row>
    <row r="7737" spans="2:2" x14ac:dyDescent="0.25">
      <c r="B7737">
        <v>1</v>
      </c>
    </row>
    <row r="7738" spans="2:2" x14ac:dyDescent="0.25">
      <c r="B7738">
        <v>1</v>
      </c>
    </row>
    <row r="7739" spans="2:2" x14ac:dyDescent="0.25">
      <c r="B7739">
        <v>1</v>
      </c>
    </row>
    <row r="7740" spans="2:2" x14ac:dyDescent="0.25">
      <c r="B7740">
        <v>1</v>
      </c>
    </row>
    <row r="7741" spans="2:2" x14ac:dyDescent="0.25">
      <c r="B7741">
        <v>1</v>
      </c>
    </row>
    <row r="7742" spans="2:2" x14ac:dyDescent="0.25">
      <c r="B7742">
        <v>1</v>
      </c>
    </row>
    <row r="7743" spans="2:2" x14ac:dyDescent="0.25">
      <c r="B7743">
        <v>1</v>
      </c>
    </row>
    <row r="7744" spans="2:2" x14ac:dyDescent="0.25">
      <c r="B7744">
        <v>1</v>
      </c>
    </row>
    <row r="7745" spans="2:2" x14ac:dyDescent="0.25">
      <c r="B7745">
        <v>1</v>
      </c>
    </row>
    <row r="7746" spans="2:2" x14ac:dyDescent="0.25">
      <c r="B7746">
        <v>1</v>
      </c>
    </row>
    <row r="7747" spans="2:2" x14ac:dyDescent="0.25">
      <c r="B7747">
        <v>1</v>
      </c>
    </row>
    <row r="7748" spans="2:2" x14ac:dyDescent="0.25">
      <c r="B7748">
        <v>1</v>
      </c>
    </row>
    <row r="7749" spans="2:2" x14ac:dyDescent="0.25">
      <c r="B7749">
        <v>1</v>
      </c>
    </row>
    <row r="7750" spans="2:2" x14ac:dyDescent="0.25">
      <c r="B7750">
        <v>1</v>
      </c>
    </row>
    <row r="7751" spans="2:2" x14ac:dyDescent="0.25">
      <c r="B7751">
        <v>1</v>
      </c>
    </row>
    <row r="7752" spans="2:2" x14ac:dyDescent="0.25">
      <c r="B7752">
        <v>1</v>
      </c>
    </row>
    <row r="7753" spans="2:2" x14ac:dyDescent="0.25">
      <c r="B7753">
        <v>1</v>
      </c>
    </row>
    <row r="7754" spans="2:2" x14ac:dyDescent="0.25">
      <c r="B7754">
        <v>1</v>
      </c>
    </row>
    <row r="7755" spans="2:2" x14ac:dyDescent="0.25">
      <c r="B7755">
        <v>1</v>
      </c>
    </row>
    <row r="7756" spans="2:2" x14ac:dyDescent="0.25">
      <c r="B7756">
        <v>1</v>
      </c>
    </row>
    <row r="7757" spans="2:2" x14ac:dyDescent="0.25">
      <c r="B7757">
        <v>1</v>
      </c>
    </row>
    <row r="7758" spans="2:2" x14ac:dyDescent="0.25">
      <c r="B7758">
        <v>1</v>
      </c>
    </row>
    <row r="7759" spans="2:2" x14ac:dyDescent="0.25">
      <c r="B7759">
        <v>1</v>
      </c>
    </row>
    <row r="7760" spans="2:2" x14ac:dyDescent="0.25">
      <c r="B7760">
        <v>1</v>
      </c>
    </row>
    <row r="7761" spans="2:2" x14ac:dyDescent="0.25">
      <c r="B7761">
        <v>1</v>
      </c>
    </row>
    <row r="7762" spans="2:2" x14ac:dyDescent="0.25">
      <c r="B7762">
        <v>1</v>
      </c>
    </row>
    <row r="7763" spans="2:2" x14ac:dyDescent="0.25">
      <c r="B7763">
        <v>1</v>
      </c>
    </row>
    <row r="7764" spans="2:2" x14ac:dyDescent="0.25">
      <c r="B7764">
        <v>1</v>
      </c>
    </row>
    <row r="7765" spans="2:2" x14ac:dyDescent="0.25">
      <c r="B7765">
        <v>1</v>
      </c>
    </row>
    <row r="7766" spans="2:2" x14ac:dyDescent="0.25">
      <c r="B7766">
        <v>1</v>
      </c>
    </row>
    <row r="7767" spans="2:2" x14ac:dyDescent="0.25">
      <c r="B7767">
        <v>1</v>
      </c>
    </row>
    <row r="7768" spans="2:2" x14ac:dyDescent="0.25">
      <c r="B7768">
        <v>1</v>
      </c>
    </row>
    <row r="7769" spans="2:2" x14ac:dyDescent="0.25">
      <c r="B7769">
        <v>1</v>
      </c>
    </row>
    <row r="7770" spans="2:2" x14ac:dyDescent="0.25">
      <c r="B7770">
        <v>1</v>
      </c>
    </row>
    <row r="7771" spans="2:2" x14ac:dyDescent="0.25">
      <c r="B7771">
        <v>1</v>
      </c>
    </row>
    <row r="7772" spans="2:2" x14ac:dyDescent="0.25">
      <c r="B7772">
        <v>1</v>
      </c>
    </row>
    <row r="7773" spans="2:2" x14ac:dyDescent="0.25">
      <c r="B7773">
        <v>1</v>
      </c>
    </row>
    <row r="7774" spans="2:2" x14ac:dyDescent="0.25">
      <c r="B7774">
        <v>1</v>
      </c>
    </row>
    <row r="7775" spans="2:2" x14ac:dyDescent="0.25">
      <c r="B7775">
        <v>1</v>
      </c>
    </row>
    <row r="7776" spans="2:2" x14ac:dyDescent="0.25">
      <c r="B7776">
        <v>1</v>
      </c>
    </row>
    <row r="7777" spans="2:2" x14ac:dyDescent="0.25">
      <c r="B7777">
        <v>1</v>
      </c>
    </row>
    <row r="7778" spans="2:2" x14ac:dyDescent="0.25">
      <c r="B7778">
        <v>1</v>
      </c>
    </row>
    <row r="7779" spans="2:2" x14ac:dyDescent="0.25">
      <c r="B7779">
        <v>1</v>
      </c>
    </row>
    <row r="7780" spans="2:2" x14ac:dyDescent="0.25">
      <c r="B7780">
        <v>1</v>
      </c>
    </row>
    <row r="7781" spans="2:2" x14ac:dyDescent="0.25">
      <c r="B7781">
        <v>1</v>
      </c>
    </row>
    <row r="7782" spans="2:2" x14ac:dyDescent="0.25">
      <c r="B7782">
        <v>1</v>
      </c>
    </row>
    <row r="7783" spans="2:2" x14ac:dyDescent="0.25">
      <c r="B7783">
        <v>1</v>
      </c>
    </row>
    <row r="7784" spans="2:2" x14ac:dyDescent="0.25">
      <c r="B7784">
        <v>1</v>
      </c>
    </row>
    <row r="7785" spans="2:2" x14ac:dyDescent="0.25">
      <c r="B7785">
        <v>1</v>
      </c>
    </row>
    <row r="7786" spans="2:2" x14ac:dyDescent="0.25">
      <c r="B7786">
        <v>1</v>
      </c>
    </row>
    <row r="7787" spans="2:2" x14ac:dyDescent="0.25">
      <c r="B7787">
        <v>1</v>
      </c>
    </row>
    <row r="7788" spans="2:2" x14ac:dyDescent="0.25">
      <c r="B7788">
        <v>1</v>
      </c>
    </row>
    <row r="7789" spans="2:2" x14ac:dyDescent="0.25">
      <c r="B7789">
        <v>1</v>
      </c>
    </row>
    <row r="7790" spans="2:2" x14ac:dyDescent="0.25">
      <c r="B7790">
        <v>1</v>
      </c>
    </row>
    <row r="7791" spans="2:2" x14ac:dyDescent="0.25">
      <c r="B7791">
        <v>1</v>
      </c>
    </row>
    <row r="7792" spans="2:2" x14ac:dyDescent="0.25">
      <c r="B7792">
        <v>1</v>
      </c>
    </row>
    <row r="7793" spans="2:2" x14ac:dyDescent="0.25">
      <c r="B7793">
        <v>1</v>
      </c>
    </row>
    <row r="7794" spans="2:2" x14ac:dyDescent="0.25">
      <c r="B7794">
        <v>1</v>
      </c>
    </row>
    <row r="7795" spans="2:2" x14ac:dyDescent="0.25">
      <c r="B7795">
        <v>1</v>
      </c>
    </row>
    <row r="7796" spans="2:2" x14ac:dyDescent="0.25">
      <c r="B7796">
        <v>1</v>
      </c>
    </row>
    <row r="7797" spans="2:2" x14ac:dyDescent="0.25">
      <c r="B7797">
        <v>1</v>
      </c>
    </row>
    <row r="7798" spans="2:2" x14ac:dyDescent="0.25">
      <c r="B7798">
        <v>1</v>
      </c>
    </row>
    <row r="7799" spans="2:2" x14ac:dyDescent="0.25">
      <c r="B7799">
        <v>1</v>
      </c>
    </row>
    <row r="7800" spans="2:2" x14ac:dyDescent="0.25">
      <c r="B7800">
        <v>1</v>
      </c>
    </row>
    <row r="7801" spans="2:2" x14ac:dyDescent="0.25">
      <c r="B7801">
        <v>1</v>
      </c>
    </row>
    <row r="7802" spans="2:2" x14ac:dyDescent="0.25">
      <c r="B7802">
        <v>1</v>
      </c>
    </row>
    <row r="7803" spans="2:2" x14ac:dyDescent="0.25">
      <c r="B7803">
        <v>1</v>
      </c>
    </row>
    <row r="7804" spans="2:2" x14ac:dyDescent="0.25">
      <c r="B7804">
        <v>1</v>
      </c>
    </row>
    <row r="7805" spans="2:2" x14ac:dyDescent="0.25">
      <c r="B7805">
        <v>1</v>
      </c>
    </row>
    <row r="7806" spans="2:2" x14ac:dyDescent="0.25">
      <c r="B7806">
        <v>1</v>
      </c>
    </row>
    <row r="7807" spans="2:2" x14ac:dyDescent="0.25">
      <c r="B7807">
        <v>1</v>
      </c>
    </row>
    <row r="7808" spans="2:2" x14ac:dyDescent="0.25">
      <c r="B7808">
        <v>1</v>
      </c>
    </row>
    <row r="7809" spans="2:2" x14ac:dyDescent="0.25">
      <c r="B7809">
        <v>1</v>
      </c>
    </row>
    <row r="7810" spans="2:2" x14ac:dyDescent="0.25">
      <c r="B7810">
        <v>1</v>
      </c>
    </row>
    <row r="7811" spans="2:2" x14ac:dyDescent="0.25">
      <c r="B7811">
        <v>1</v>
      </c>
    </row>
    <row r="7812" spans="2:2" x14ac:dyDescent="0.25">
      <c r="B7812">
        <v>1</v>
      </c>
    </row>
    <row r="7813" spans="2:2" x14ac:dyDescent="0.25">
      <c r="B7813">
        <v>1</v>
      </c>
    </row>
    <row r="7814" spans="2:2" x14ac:dyDescent="0.25">
      <c r="B7814">
        <v>1</v>
      </c>
    </row>
    <row r="7815" spans="2:2" x14ac:dyDescent="0.25">
      <c r="B7815">
        <v>1</v>
      </c>
    </row>
    <row r="7816" spans="2:2" x14ac:dyDescent="0.25">
      <c r="B7816">
        <v>1</v>
      </c>
    </row>
    <row r="7817" spans="2:2" x14ac:dyDescent="0.25">
      <c r="B7817">
        <v>1</v>
      </c>
    </row>
    <row r="7818" spans="2:2" x14ac:dyDescent="0.25">
      <c r="B7818">
        <v>1</v>
      </c>
    </row>
    <row r="7819" spans="2:2" x14ac:dyDescent="0.25">
      <c r="B7819">
        <v>1</v>
      </c>
    </row>
    <row r="7820" spans="2:2" x14ac:dyDescent="0.25">
      <c r="B7820">
        <v>1</v>
      </c>
    </row>
    <row r="7821" spans="2:2" x14ac:dyDescent="0.25">
      <c r="B7821">
        <v>1</v>
      </c>
    </row>
    <row r="7822" spans="2:2" x14ac:dyDescent="0.25">
      <c r="B7822">
        <v>1</v>
      </c>
    </row>
    <row r="7823" spans="2:2" x14ac:dyDescent="0.25">
      <c r="B7823">
        <v>1</v>
      </c>
    </row>
    <row r="7824" spans="2:2" x14ac:dyDescent="0.25">
      <c r="B7824">
        <v>1</v>
      </c>
    </row>
    <row r="7825" spans="2:2" x14ac:dyDescent="0.25">
      <c r="B7825">
        <v>1</v>
      </c>
    </row>
    <row r="7826" spans="2:2" x14ac:dyDescent="0.25">
      <c r="B7826">
        <v>1</v>
      </c>
    </row>
    <row r="7827" spans="2:2" x14ac:dyDescent="0.25">
      <c r="B7827">
        <v>1</v>
      </c>
    </row>
    <row r="7828" spans="2:2" x14ac:dyDescent="0.25">
      <c r="B7828">
        <v>1</v>
      </c>
    </row>
    <row r="7829" spans="2:2" x14ac:dyDescent="0.25">
      <c r="B7829">
        <v>1</v>
      </c>
    </row>
    <row r="7830" spans="2:2" x14ac:dyDescent="0.25">
      <c r="B7830">
        <v>1</v>
      </c>
    </row>
    <row r="7831" spans="2:2" x14ac:dyDescent="0.25">
      <c r="B7831">
        <v>1</v>
      </c>
    </row>
    <row r="7832" spans="2:2" x14ac:dyDescent="0.25">
      <c r="B7832">
        <v>1</v>
      </c>
    </row>
    <row r="7833" spans="2:2" x14ac:dyDescent="0.25">
      <c r="B7833">
        <v>1</v>
      </c>
    </row>
    <row r="7834" spans="2:2" x14ac:dyDescent="0.25">
      <c r="B7834">
        <v>1</v>
      </c>
    </row>
    <row r="7835" spans="2:2" x14ac:dyDescent="0.25">
      <c r="B7835">
        <v>1</v>
      </c>
    </row>
    <row r="7836" spans="2:2" x14ac:dyDescent="0.25">
      <c r="B7836">
        <v>1</v>
      </c>
    </row>
    <row r="7837" spans="2:2" x14ac:dyDescent="0.25">
      <c r="B7837">
        <v>1</v>
      </c>
    </row>
    <row r="7838" spans="2:2" x14ac:dyDescent="0.25">
      <c r="B7838">
        <v>1</v>
      </c>
    </row>
    <row r="7839" spans="2:2" x14ac:dyDescent="0.25">
      <c r="B7839">
        <v>1</v>
      </c>
    </row>
    <row r="7840" spans="2:2" x14ac:dyDescent="0.25">
      <c r="B7840">
        <v>1</v>
      </c>
    </row>
    <row r="7841" spans="2:2" x14ac:dyDescent="0.25">
      <c r="B7841">
        <v>1</v>
      </c>
    </row>
    <row r="7842" spans="2:2" x14ac:dyDescent="0.25">
      <c r="B7842">
        <v>1</v>
      </c>
    </row>
    <row r="7843" spans="2:2" x14ac:dyDescent="0.25">
      <c r="B7843">
        <v>1</v>
      </c>
    </row>
    <row r="7844" spans="2:2" x14ac:dyDescent="0.25">
      <c r="B7844">
        <v>1</v>
      </c>
    </row>
    <row r="7845" spans="2:2" x14ac:dyDescent="0.25">
      <c r="B7845">
        <v>1</v>
      </c>
    </row>
    <row r="7846" spans="2:2" x14ac:dyDescent="0.25">
      <c r="B7846">
        <v>1</v>
      </c>
    </row>
    <row r="7847" spans="2:2" x14ac:dyDescent="0.25">
      <c r="B7847">
        <v>1</v>
      </c>
    </row>
    <row r="7848" spans="2:2" x14ac:dyDescent="0.25">
      <c r="B7848">
        <v>1</v>
      </c>
    </row>
    <row r="7849" spans="2:2" x14ac:dyDescent="0.25">
      <c r="B7849">
        <v>1</v>
      </c>
    </row>
    <row r="7850" spans="2:2" x14ac:dyDescent="0.25">
      <c r="B7850">
        <v>1</v>
      </c>
    </row>
    <row r="7851" spans="2:2" x14ac:dyDescent="0.25">
      <c r="B7851">
        <v>1</v>
      </c>
    </row>
    <row r="7852" spans="2:2" x14ac:dyDescent="0.25">
      <c r="B7852">
        <v>1</v>
      </c>
    </row>
    <row r="7853" spans="2:2" x14ac:dyDescent="0.25">
      <c r="B7853">
        <v>1</v>
      </c>
    </row>
    <row r="7854" spans="2:2" x14ac:dyDescent="0.25">
      <c r="B7854">
        <v>1</v>
      </c>
    </row>
    <row r="7855" spans="2:2" x14ac:dyDescent="0.25">
      <c r="B7855">
        <v>1</v>
      </c>
    </row>
    <row r="7856" spans="2:2" x14ac:dyDescent="0.25">
      <c r="B7856">
        <v>1</v>
      </c>
    </row>
    <row r="7857" spans="2:2" x14ac:dyDescent="0.25">
      <c r="B7857">
        <v>1</v>
      </c>
    </row>
    <row r="7858" spans="2:2" x14ac:dyDescent="0.25">
      <c r="B7858">
        <v>1</v>
      </c>
    </row>
    <row r="7859" spans="2:2" x14ac:dyDescent="0.25">
      <c r="B7859">
        <v>1</v>
      </c>
    </row>
    <row r="7860" spans="2:2" x14ac:dyDescent="0.25">
      <c r="B7860">
        <v>1</v>
      </c>
    </row>
    <row r="7861" spans="2:2" x14ac:dyDescent="0.25">
      <c r="B7861">
        <v>1</v>
      </c>
    </row>
    <row r="7862" spans="2:2" x14ac:dyDescent="0.25">
      <c r="B7862">
        <v>1</v>
      </c>
    </row>
    <row r="7863" spans="2:2" x14ac:dyDescent="0.25">
      <c r="B7863">
        <v>1</v>
      </c>
    </row>
    <row r="7864" spans="2:2" x14ac:dyDescent="0.25">
      <c r="B7864">
        <v>1</v>
      </c>
    </row>
    <row r="7865" spans="2:2" x14ac:dyDescent="0.25">
      <c r="B7865">
        <v>1</v>
      </c>
    </row>
    <row r="7866" spans="2:2" x14ac:dyDescent="0.25">
      <c r="B7866">
        <v>1</v>
      </c>
    </row>
    <row r="7867" spans="2:2" x14ac:dyDescent="0.25">
      <c r="B7867">
        <v>1</v>
      </c>
    </row>
    <row r="7868" spans="2:2" x14ac:dyDescent="0.25">
      <c r="B7868">
        <v>1</v>
      </c>
    </row>
    <row r="7869" spans="2:2" x14ac:dyDescent="0.25">
      <c r="B7869">
        <v>1</v>
      </c>
    </row>
    <row r="7870" spans="2:2" x14ac:dyDescent="0.25">
      <c r="B7870">
        <v>1</v>
      </c>
    </row>
    <row r="7871" spans="2:2" x14ac:dyDescent="0.25">
      <c r="B7871">
        <v>1</v>
      </c>
    </row>
    <row r="7872" spans="2:2" x14ac:dyDescent="0.25">
      <c r="B7872">
        <v>1</v>
      </c>
    </row>
    <row r="7873" spans="2:2" x14ac:dyDescent="0.25">
      <c r="B7873">
        <v>1</v>
      </c>
    </row>
    <row r="7874" spans="2:2" x14ac:dyDescent="0.25">
      <c r="B7874">
        <v>1</v>
      </c>
    </row>
    <row r="7875" spans="2:2" x14ac:dyDescent="0.25">
      <c r="B7875">
        <v>1</v>
      </c>
    </row>
    <row r="7876" spans="2:2" x14ac:dyDescent="0.25">
      <c r="B7876">
        <v>1</v>
      </c>
    </row>
    <row r="7877" spans="2:2" x14ac:dyDescent="0.25">
      <c r="B7877">
        <v>1</v>
      </c>
    </row>
    <row r="7878" spans="2:2" x14ac:dyDescent="0.25">
      <c r="B7878">
        <v>1</v>
      </c>
    </row>
    <row r="7879" spans="2:2" x14ac:dyDescent="0.25">
      <c r="B7879">
        <v>1</v>
      </c>
    </row>
    <row r="7880" spans="2:2" x14ac:dyDescent="0.25">
      <c r="B7880">
        <v>1</v>
      </c>
    </row>
    <row r="7881" spans="2:2" x14ac:dyDescent="0.25">
      <c r="B7881">
        <v>1</v>
      </c>
    </row>
    <row r="7882" spans="2:2" x14ac:dyDescent="0.25">
      <c r="B7882">
        <v>1</v>
      </c>
    </row>
    <row r="7883" spans="2:2" x14ac:dyDescent="0.25">
      <c r="B7883">
        <v>1</v>
      </c>
    </row>
    <row r="7884" spans="2:2" x14ac:dyDescent="0.25">
      <c r="B7884">
        <v>1</v>
      </c>
    </row>
    <row r="7885" spans="2:2" x14ac:dyDescent="0.25">
      <c r="B7885">
        <v>1</v>
      </c>
    </row>
    <row r="7886" spans="2:2" x14ac:dyDescent="0.25">
      <c r="B7886">
        <v>1</v>
      </c>
    </row>
    <row r="7887" spans="2:2" x14ac:dyDescent="0.25">
      <c r="B7887">
        <v>1</v>
      </c>
    </row>
    <row r="7888" spans="2:2" x14ac:dyDescent="0.25">
      <c r="B7888">
        <v>1</v>
      </c>
    </row>
    <row r="7889" spans="2:2" x14ac:dyDescent="0.25">
      <c r="B7889">
        <v>1</v>
      </c>
    </row>
    <row r="7890" spans="2:2" x14ac:dyDescent="0.25">
      <c r="B7890">
        <v>1</v>
      </c>
    </row>
    <row r="7891" spans="2:2" x14ac:dyDescent="0.25">
      <c r="B7891">
        <v>1</v>
      </c>
    </row>
    <row r="7892" spans="2:2" x14ac:dyDescent="0.25">
      <c r="B7892">
        <v>1</v>
      </c>
    </row>
    <row r="7893" spans="2:2" x14ac:dyDescent="0.25">
      <c r="B7893">
        <v>1</v>
      </c>
    </row>
    <row r="7894" spans="2:2" x14ac:dyDescent="0.25">
      <c r="B7894">
        <v>1</v>
      </c>
    </row>
    <row r="7895" spans="2:2" x14ac:dyDescent="0.25">
      <c r="B7895">
        <v>1</v>
      </c>
    </row>
    <row r="7896" spans="2:2" x14ac:dyDescent="0.25">
      <c r="B7896">
        <v>1</v>
      </c>
    </row>
    <row r="7897" spans="2:2" x14ac:dyDescent="0.25">
      <c r="B7897">
        <v>1</v>
      </c>
    </row>
    <row r="7898" spans="2:2" x14ac:dyDescent="0.25">
      <c r="B7898">
        <v>1</v>
      </c>
    </row>
    <row r="7899" spans="2:2" x14ac:dyDescent="0.25">
      <c r="B7899">
        <v>1</v>
      </c>
    </row>
    <row r="7900" spans="2:2" x14ac:dyDescent="0.25">
      <c r="B7900">
        <v>1</v>
      </c>
    </row>
    <row r="7901" spans="2:2" x14ac:dyDescent="0.25">
      <c r="B7901">
        <v>1</v>
      </c>
    </row>
    <row r="7902" spans="2:2" x14ac:dyDescent="0.25">
      <c r="B7902">
        <v>1</v>
      </c>
    </row>
    <row r="7903" spans="2:2" x14ac:dyDescent="0.25">
      <c r="B7903">
        <v>1</v>
      </c>
    </row>
    <row r="7904" spans="2:2" x14ac:dyDescent="0.25">
      <c r="B7904">
        <v>1</v>
      </c>
    </row>
    <row r="7905" spans="2:2" x14ac:dyDescent="0.25">
      <c r="B7905">
        <v>1</v>
      </c>
    </row>
    <row r="7906" spans="2:2" x14ac:dyDescent="0.25">
      <c r="B7906">
        <v>1</v>
      </c>
    </row>
    <row r="7907" spans="2:2" x14ac:dyDescent="0.25">
      <c r="B7907">
        <v>1</v>
      </c>
    </row>
    <row r="7908" spans="2:2" x14ac:dyDescent="0.25">
      <c r="B7908">
        <v>1</v>
      </c>
    </row>
    <row r="7909" spans="2:2" x14ac:dyDescent="0.25">
      <c r="B7909">
        <v>1</v>
      </c>
    </row>
    <row r="7910" spans="2:2" x14ac:dyDescent="0.25">
      <c r="B7910">
        <v>1</v>
      </c>
    </row>
    <row r="7911" spans="2:2" x14ac:dyDescent="0.25">
      <c r="B7911">
        <v>1</v>
      </c>
    </row>
    <row r="7912" spans="2:2" x14ac:dyDescent="0.25">
      <c r="B7912">
        <v>1</v>
      </c>
    </row>
    <row r="7913" spans="2:2" x14ac:dyDescent="0.25">
      <c r="B7913">
        <v>1</v>
      </c>
    </row>
    <row r="7914" spans="2:2" x14ac:dyDescent="0.25">
      <c r="B7914">
        <v>1</v>
      </c>
    </row>
    <row r="7915" spans="2:2" x14ac:dyDescent="0.25">
      <c r="B7915">
        <v>1</v>
      </c>
    </row>
    <row r="7916" spans="2:2" x14ac:dyDescent="0.25">
      <c r="B7916">
        <v>1</v>
      </c>
    </row>
    <row r="7917" spans="2:2" x14ac:dyDescent="0.25">
      <c r="B7917">
        <v>1</v>
      </c>
    </row>
    <row r="7918" spans="2:2" x14ac:dyDescent="0.25">
      <c r="B7918">
        <v>1</v>
      </c>
    </row>
    <row r="7919" spans="2:2" x14ac:dyDescent="0.25">
      <c r="B7919">
        <v>1</v>
      </c>
    </row>
    <row r="7920" spans="2:2" x14ac:dyDescent="0.25">
      <c r="B7920">
        <v>1</v>
      </c>
    </row>
    <row r="7921" spans="2:2" x14ac:dyDescent="0.25">
      <c r="B7921">
        <v>1</v>
      </c>
    </row>
    <row r="7922" spans="2:2" x14ac:dyDescent="0.25">
      <c r="B7922">
        <v>1</v>
      </c>
    </row>
    <row r="7923" spans="2:2" x14ac:dyDescent="0.25">
      <c r="B7923">
        <v>1</v>
      </c>
    </row>
    <row r="7924" spans="2:2" x14ac:dyDescent="0.25">
      <c r="B7924">
        <v>1</v>
      </c>
    </row>
    <row r="7925" spans="2:2" x14ac:dyDescent="0.25">
      <c r="B7925">
        <v>1</v>
      </c>
    </row>
    <row r="7926" spans="2:2" x14ac:dyDescent="0.25">
      <c r="B7926">
        <v>1</v>
      </c>
    </row>
    <row r="7927" spans="2:2" x14ac:dyDescent="0.25">
      <c r="B7927">
        <v>1</v>
      </c>
    </row>
    <row r="7928" spans="2:2" x14ac:dyDescent="0.25">
      <c r="B7928">
        <v>1</v>
      </c>
    </row>
    <row r="7929" spans="2:2" x14ac:dyDescent="0.25">
      <c r="B7929">
        <v>1</v>
      </c>
    </row>
    <row r="7930" spans="2:2" x14ac:dyDescent="0.25">
      <c r="B7930">
        <v>1</v>
      </c>
    </row>
    <row r="7931" spans="2:2" x14ac:dyDescent="0.25">
      <c r="B7931">
        <v>1</v>
      </c>
    </row>
    <row r="7932" spans="2:2" x14ac:dyDescent="0.25">
      <c r="B7932">
        <v>1</v>
      </c>
    </row>
    <row r="7933" spans="2:2" x14ac:dyDescent="0.25">
      <c r="B7933">
        <v>1</v>
      </c>
    </row>
    <row r="7934" spans="2:2" x14ac:dyDescent="0.25">
      <c r="B7934">
        <v>1</v>
      </c>
    </row>
    <row r="7935" spans="2:2" x14ac:dyDescent="0.25">
      <c r="B7935">
        <v>1</v>
      </c>
    </row>
    <row r="7936" spans="2:2" x14ac:dyDescent="0.25">
      <c r="B7936">
        <v>1</v>
      </c>
    </row>
    <row r="7937" spans="2:2" x14ac:dyDescent="0.25">
      <c r="B7937">
        <v>1</v>
      </c>
    </row>
    <row r="7938" spans="2:2" x14ac:dyDescent="0.25">
      <c r="B7938">
        <v>1</v>
      </c>
    </row>
    <row r="7939" spans="2:2" x14ac:dyDescent="0.25">
      <c r="B7939">
        <v>1</v>
      </c>
    </row>
    <row r="7940" spans="2:2" x14ac:dyDescent="0.25">
      <c r="B7940">
        <v>1</v>
      </c>
    </row>
    <row r="7941" spans="2:2" x14ac:dyDescent="0.25">
      <c r="B7941">
        <v>1</v>
      </c>
    </row>
    <row r="7942" spans="2:2" x14ac:dyDescent="0.25">
      <c r="B7942">
        <v>1</v>
      </c>
    </row>
    <row r="7943" spans="2:2" x14ac:dyDescent="0.25">
      <c r="B7943">
        <v>1</v>
      </c>
    </row>
    <row r="7944" spans="2:2" x14ac:dyDescent="0.25">
      <c r="B7944">
        <v>1</v>
      </c>
    </row>
    <row r="7945" spans="2:2" x14ac:dyDescent="0.25">
      <c r="B7945">
        <v>1</v>
      </c>
    </row>
    <row r="7946" spans="2:2" x14ac:dyDescent="0.25">
      <c r="B7946">
        <v>1</v>
      </c>
    </row>
    <row r="7947" spans="2:2" x14ac:dyDescent="0.25">
      <c r="B7947">
        <v>1</v>
      </c>
    </row>
    <row r="7948" spans="2:2" x14ac:dyDescent="0.25">
      <c r="B7948">
        <v>1</v>
      </c>
    </row>
    <row r="7949" spans="2:2" x14ac:dyDescent="0.25">
      <c r="B7949">
        <v>1</v>
      </c>
    </row>
    <row r="7950" spans="2:2" x14ac:dyDescent="0.25">
      <c r="B7950">
        <v>1</v>
      </c>
    </row>
    <row r="7951" spans="2:2" x14ac:dyDescent="0.25">
      <c r="B7951">
        <v>1</v>
      </c>
    </row>
    <row r="7952" spans="2:2" x14ac:dyDescent="0.25">
      <c r="B7952">
        <v>1</v>
      </c>
    </row>
    <row r="7953" spans="2:2" x14ac:dyDescent="0.25">
      <c r="B7953">
        <v>1</v>
      </c>
    </row>
    <row r="7954" spans="2:2" x14ac:dyDescent="0.25">
      <c r="B7954">
        <v>1</v>
      </c>
    </row>
    <row r="7955" spans="2:2" x14ac:dyDescent="0.25">
      <c r="B7955">
        <v>1</v>
      </c>
    </row>
    <row r="7956" spans="2:2" x14ac:dyDescent="0.25">
      <c r="B7956">
        <v>1</v>
      </c>
    </row>
    <row r="7957" spans="2:2" x14ac:dyDescent="0.25">
      <c r="B7957">
        <v>1</v>
      </c>
    </row>
    <row r="7958" spans="2:2" x14ac:dyDescent="0.25">
      <c r="B7958">
        <v>1</v>
      </c>
    </row>
    <row r="7959" spans="2:2" x14ac:dyDescent="0.25">
      <c r="B7959">
        <v>1</v>
      </c>
    </row>
    <row r="7960" spans="2:2" x14ac:dyDescent="0.25">
      <c r="B7960">
        <v>1</v>
      </c>
    </row>
    <row r="7961" spans="2:2" x14ac:dyDescent="0.25">
      <c r="B7961">
        <v>1</v>
      </c>
    </row>
    <row r="7962" spans="2:2" x14ac:dyDescent="0.25">
      <c r="B7962">
        <v>1</v>
      </c>
    </row>
    <row r="7963" spans="2:2" x14ac:dyDescent="0.25">
      <c r="B7963">
        <v>1</v>
      </c>
    </row>
    <row r="7964" spans="2:2" x14ac:dyDescent="0.25">
      <c r="B7964">
        <v>1</v>
      </c>
    </row>
    <row r="7965" spans="2:2" x14ac:dyDescent="0.25">
      <c r="B7965">
        <v>1</v>
      </c>
    </row>
    <row r="7966" spans="2:2" x14ac:dyDescent="0.25">
      <c r="B7966">
        <v>1</v>
      </c>
    </row>
    <row r="7967" spans="2:2" x14ac:dyDescent="0.25">
      <c r="B7967">
        <v>1</v>
      </c>
    </row>
    <row r="7968" spans="2:2" x14ac:dyDescent="0.25">
      <c r="B7968">
        <v>1</v>
      </c>
    </row>
    <row r="7969" spans="2:2" x14ac:dyDescent="0.25">
      <c r="B7969">
        <v>1</v>
      </c>
    </row>
    <row r="7970" spans="2:2" x14ac:dyDescent="0.25">
      <c r="B7970">
        <v>1</v>
      </c>
    </row>
    <row r="7971" spans="2:2" x14ac:dyDescent="0.25">
      <c r="B7971">
        <v>1</v>
      </c>
    </row>
    <row r="7972" spans="2:2" x14ac:dyDescent="0.25">
      <c r="B7972">
        <v>1</v>
      </c>
    </row>
    <row r="7973" spans="2:2" x14ac:dyDescent="0.25">
      <c r="B7973">
        <v>1</v>
      </c>
    </row>
    <row r="7974" spans="2:2" x14ac:dyDescent="0.25">
      <c r="B7974">
        <v>1</v>
      </c>
    </row>
    <row r="7975" spans="2:2" x14ac:dyDescent="0.25">
      <c r="B7975">
        <v>1</v>
      </c>
    </row>
    <row r="7976" spans="2:2" x14ac:dyDescent="0.25">
      <c r="B7976">
        <v>1</v>
      </c>
    </row>
    <row r="7977" spans="2:2" x14ac:dyDescent="0.25">
      <c r="B7977">
        <v>1</v>
      </c>
    </row>
    <row r="7978" spans="2:2" x14ac:dyDescent="0.25">
      <c r="B7978">
        <v>1</v>
      </c>
    </row>
    <row r="7979" spans="2:2" x14ac:dyDescent="0.25">
      <c r="B7979">
        <v>1</v>
      </c>
    </row>
    <row r="7980" spans="2:2" x14ac:dyDescent="0.25">
      <c r="B7980">
        <v>1</v>
      </c>
    </row>
    <row r="7981" spans="2:2" x14ac:dyDescent="0.25">
      <c r="B7981">
        <v>1</v>
      </c>
    </row>
    <row r="7982" spans="2:2" x14ac:dyDescent="0.25">
      <c r="B7982">
        <v>1</v>
      </c>
    </row>
    <row r="7983" spans="2:2" x14ac:dyDescent="0.25">
      <c r="B7983">
        <v>1</v>
      </c>
    </row>
    <row r="7984" spans="2:2" x14ac:dyDescent="0.25">
      <c r="B7984">
        <v>1</v>
      </c>
    </row>
    <row r="7985" spans="2:2" x14ac:dyDescent="0.25">
      <c r="B7985">
        <v>1</v>
      </c>
    </row>
    <row r="7986" spans="2:2" x14ac:dyDescent="0.25">
      <c r="B7986">
        <v>1</v>
      </c>
    </row>
    <row r="7987" spans="2:2" x14ac:dyDescent="0.25">
      <c r="B7987">
        <v>1</v>
      </c>
    </row>
    <row r="7988" spans="2:2" x14ac:dyDescent="0.25">
      <c r="B7988">
        <v>1</v>
      </c>
    </row>
    <row r="7989" spans="2:2" x14ac:dyDescent="0.25">
      <c r="B7989">
        <v>1</v>
      </c>
    </row>
    <row r="7990" spans="2:2" x14ac:dyDescent="0.25">
      <c r="B7990">
        <v>1</v>
      </c>
    </row>
    <row r="7991" spans="2:2" x14ac:dyDescent="0.25">
      <c r="B7991">
        <v>1</v>
      </c>
    </row>
    <row r="7992" spans="2:2" x14ac:dyDescent="0.25">
      <c r="B7992">
        <v>1</v>
      </c>
    </row>
    <row r="7993" spans="2:2" x14ac:dyDescent="0.25">
      <c r="B7993">
        <v>1</v>
      </c>
    </row>
    <row r="7994" spans="2:2" x14ac:dyDescent="0.25">
      <c r="B7994">
        <v>1</v>
      </c>
    </row>
    <row r="7995" spans="2:2" x14ac:dyDescent="0.25">
      <c r="B7995">
        <v>1</v>
      </c>
    </row>
    <row r="7996" spans="2:2" x14ac:dyDescent="0.25">
      <c r="B7996">
        <v>1</v>
      </c>
    </row>
    <row r="7997" spans="2:2" x14ac:dyDescent="0.25">
      <c r="B7997">
        <v>1</v>
      </c>
    </row>
    <row r="7998" spans="2:2" x14ac:dyDescent="0.25">
      <c r="B7998">
        <v>1</v>
      </c>
    </row>
    <row r="7999" spans="2:2" x14ac:dyDescent="0.25">
      <c r="B7999">
        <v>1</v>
      </c>
    </row>
    <row r="8000" spans="2:2" x14ac:dyDescent="0.25">
      <c r="B8000">
        <v>1</v>
      </c>
    </row>
    <row r="8001" spans="2:2" x14ac:dyDescent="0.25">
      <c r="B8001">
        <v>1</v>
      </c>
    </row>
    <row r="8002" spans="2:2" x14ac:dyDescent="0.25">
      <c r="B8002">
        <v>1</v>
      </c>
    </row>
    <row r="8003" spans="2:2" x14ac:dyDescent="0.25">
      <c r="B8003">
        <v>1</v>
      </c>
    </row>
    <row r="8004" spans="2:2" x14ac:dyDescent="0.25">
      <c r="B8004">
        <v>1</v>
      </c>
    </row>
    <row r="8005" spans="2:2" x14ac:dyDescent="0.25">
      <c r="B8005">
        <v>1</v>
      </c>
    </row>
    <row r="8006" spans="2:2" x14ac:dyDescent="0.25">
      <c r="B8006">
        <v>1</v>
      </c>
    </row>
    <row r="8007" spans="2:2" x14ac:dyDescent="0.25">
      <c r="B8007">
        <v>1</v>
      </c>
    </row>
    <row r="8008" spans="2:2" x14ac:dyDescent="0.25">
      <c r="B8008">
        <v>1</v>
      </c>
    </row>
    <row r="8009" spans="2:2" x14ac:dyDescent="0.25">
      <c r="B8009">
        <v>1</v>
      </c>
    </row>
    <row r="8010" spans="2:2" x14ac:dyDescent="0.25">
      <c r="B8010">
        <v>1</v>
      </c>
    </row>
    <row r="8011" spans="2:2" x14ac:dyDescent="0.25">
      <c r="B8011">
        <v>1</v>
      </c>
    </row>
    <row r="8012" spans="2:2" x14ac:dyDescent="0.25">
      <c r="B8012">
        <v>1</v>
      </c>
    </row>
    <row r="8013" spans="2:2" x14ac:dyDescent="0.25">
      <c r="B8013">
        <v>1</v>
      </c>
    </row>
    <row r="8014" spans="2:2" x14ac:dyDescent="0.25">
      <c r="B8014">
        <v>1</v>
      </c>
    </row>
    <row r="8015" spans="2:2" x14ac:dyDescent="0.25">
      <c r="B8015">
        <v>1</v>
      </c>
    </row>
    <row r="8016" spans="2:2" x14ac:dyDescent="0.25">
      <c r="B8016">
        <v>1</v>
      </c>
    </row>
    <row r="8017" spans="2:2" x14ac:dyDescent="0.25">
      <c r="B8017">
        <v>1</v>
      </c>
    </row>
    <row r="8018" spans="2:2" x14ac:dyDescent="0.25">
      <c r="B8018">
        <v>1</v>
      </c>
    </row>
    <row r="8019" spans="2:2" x14ac:dyDescent="0.25">
      <c r="B8019">
        <v>1</v>
      </c>
    </row>
    <row r="8020" spans="2:2" x14ac:dyDescent="0.25">
      <c r="B8020">
        <v>1</v>
      </c>
    </row>
    <row r="8021" spans="2:2" x14ac:dyDescent="0.25">
      <c r="B8021">
        <v>1</v>
      </c>
    </row>
    <row r="8022" spans="2:2" x14ac:dyDescent="0.25">
      <c r="B8022">
        <v>1</v>
      </c>
    </row>
    <row r="8023" spans="2:2" x14ac:dyDescent="0.25">
      <c r="B8023">
        <v>1</v>
      </c>
    </row>
    <row r="8024" spans="2:2" x14ac:dyDescent="0.25">
      <c r="B8024">
        <v>1</v>
      </c>
    </row>
    <row r="8025" spans="2:2" x14ac:dyDescent="0.25">
      <c r="B8025">
        <v>1</v>
      </c>
    </row>
    <row r="8026" spans="2:2" x14ac:dyDescent="0.25">
      <c r="B8026">
        <v>1</v>
      </c>
    </row>
    <row r="8027" spans="2:2" x14ac:dyDescent="0.25">
      <c r="B8027">
        <v>1</v>
      </c>
    </row>
    <row r="8028" spans="2:2" x14ac:dyDescent="0.25">
      <c r="B8028">
        <v>1</v>
      </c>
    </row>
    <row r="8029" spans="2:2" x14ac:dyDescent="0.25">
      <c r="B8029">
        <v>1</v>
      </c>
    </row>
    <row r="8030" spans="2:2" x14ac:dyDescent="0.25">
      <c r="B8030">
        <v>1</v>
      </c>
    </row>
    <row r="8031" spans="2:2" x14ac:dyDescent="0.25">
      <c r="B8031">
        <v>1</v>
      </c>
    </row>
    <row r="8032" spans="2:2" x14ac:dyDescent="0.25">
      <c r="B8032">
        <v>1</v>
      </c>
    </row>
    <row r="8033" spans="2:2" x14ac:dyDescent="0.25">
      <c r="B8033">
        <v>1</v>
      </c>
    </row>
    <row r="8034" spans="2:2" x14ac:dyDescent="0.25">
      <c r="B8034">
        <v>1</v>
      </c>
    </row>
    <row r="8035" spans="2:2" x14ac:dyDescent="0.25">
      <c r="B8035">
        <v>1</v>
      </c>
    </row>
    <row r="8036" spans="2:2" x14ac:dyDescent="0.25">
      <c r="B8036">
        <v>1</v>
      </c>
    </row>
    <row r="8037" spans="2:2" x14ac:dyDescent="0.25">
      <c r="B8037">
        <v>1</v>
      </c>
    </row>
    <row r="8038" spans="2:2" x14ac:dyDescent="0.25">
      <c r="B8038">
        <v>1</v>
      </c>
    </row>
    <row r="8039" spans="2:2" x14ac:dyDescent="0.25">
      <c r="B8039">
        <v>1</v>
      </c>
    </row>
    <row r="8040" spans="2:2" x14ac:dyDescent="0.25">
      <c r="B8040">
        <v>1</v>
      </c>
    </row>
    <row r="8041" spans="2:2" x14ac:dyDescent="0.25">
      <c r="B8041">
        <v>1</v>
      </c>
    </row>
    <row r="8042" spans="2:2" x14ac:dyDescent="0.25">
      <c r="B8042">
        <v>1</v>
      </c>
    </row>
    <row r="8043" spans="2:2" x14ac:dyDescent="0.25">
      <c r="B8043">
        <v>1</v>
      </c>
    </row>
    <row r="8044" spans="2:2" x14ac:dyDescent="0.25">
      <c r="B8044">
        <v>1</v>
      </c>
    </row>
    <row r="8045" spans="2:2" x14ac:dyDescent="0.25">
      <c r="B8045">
        <v>1</v>
      </c>
    </row>
    <row r="8046" spans="2:2" x14ac:dyDescent="0.25">
      <c r="B8046">
        <v>1</v>
      </c>
    </row>
    <row r="8047" spans="2:2" x14ac:dyDescent="0.25">
      <c r="B8047">
        <v>1</v>
      </c>
    </row>
    <row r="8048" spans="2:2" x14ac:dyDescent="0.25">
      <c r="B8048">
        <v>1</v>
      </c>
    </row>
    <row r="8049" spans="2:2" x14ac:dyDescent="0.25">
      <c r="B8049">
        <v>1</v>
      </c>
    </row>
    <row r="8050" spans="2:2" x14ac:dyDescent="0.25">
      <c r="B8050">
        <v>1</v>
      </c>
    </row>
    <row r="8051" spans="2:2" x14ac:dyDescent="0.25">
      <c r="B8051">
        <v>1</v>
      </c>
    </row>
    <row r="8052" spans="2:2" x14ac:dyDescent="0.25">
      <c r="B8052">
        <v>1</v>
      </c>
    </row>
    <row r="8053" spans="2:2" x14ac:dyDescent="0.25">
      <c r="B8053">
        <v>1</v>
      </c>
    </row>
    <row r="8054" spans="2:2" x14ac:dyDescent="0.25">
      <c r="B8054">
        <v>1</v>
      </c>
    </row>
    <row r="8055" spans="2:2" x14ac:dyDescent="0.25">
      <c r="B8055">
        <v>1</v>
      </c>
    </row>
    <row r="8056" spans="2:2" x14ac:dyDescent="0.25">
      <c r="B8056">
        <v>1</v>
      </c>
    </row>
    <row r="8057" spans="2:2" x14ac:dyDescent="0.25">
      <c r="B8057">
        <v>1</v>
      </c>
    </row>
    <row r="8058" spans="2:2" x14ac:dyDescent="0.25">
      <c r="B8058">
        <v>1</v>
      </c>
    </row>
    <row r="8059" spans="2:2" x14ac:dyDescent="0.25">
      <c r="B8059">
        <v>1</v>
      </c>
    </row>
    <row r="8060" spans="2:2" x14ac:dyDescent="0.25">
      <c r="B8060">
        <v>1</v>
      </c>
    </row>
    <row r="8061" spans="2:2" x14ac:dyDescent="0.25">
      <c r="B8061">
        <v>1</v>
      </c>
    </row>
    <row r="8062" spans="2:2" x14ac:dyDescent="0.25">
      <c r="B8062">
        <v>1</v>
      </c>
    </row>
    <row r="8063" spans="2:2" x14ac:dyDescent="0.25">
      <c r="B8063">
        <v>1</v>
      </c>
    </row>
    <row r="8064" spans="2:2" x14ac:dyDescent="0.25">
      <c r="B8064">
        <v>1</v>
      </c>
    </row>
    <row r="8065" spans="2:2" x14ac:dyDescent="0.25">
      <c r="B8065">
        <v>1</v>
      </c>
    </row>
    <row r="8066" spans="2:2" x14ac:dyDescent="0.25">
      <c r="B8066">
        <v>1</v>
      </c>
    </row>
    <row r="8067" spans="2:2" x14ac:dyDescent="0.25">
      <c r="B8067">
        <v>1</v>
      </c>
    </row>
    <row r="8068" spans="2:2" x14ac:dyDescent="0.25">
      <c r="B8068">
        <v>1</v>
      </c>
    </row>
    <row r="8069" spans="2:2" x14ac:dyDescent="0.25">
      <c r="B8069">
        <v>1</v>
      </c>
    </row>
    <row r="8070" spans="2:2" x14ac:dyDescent="0.25">
      <c r="B8070">
        <v>1</v>
      </c>
    </row>
    <row r="8071" spans="2:2" x14ac:dyDescent="0.25">
      <c r="B8071">
        <v>1</v>
      </c>
    </row>
    <row r="8072" spans="2:2" x14ac:dyDescent="0.25">
      <c r="B8072">
        <v>1</v>
      </c>
    </row>
    <row r="8073" spans="2:2" x14ac:dyDescent="0.25">
      <c r="B8073">
        <v>1</v>
      </c>
    </row>
    <row r="8074" spans="2:2" x14ac:dyDescent="0.25">
      <c r="B8074">
        <v>1</v>
      </c>
    </row>
    <row r="8075" spans="2:2" x14ac:dyDescent="0.25">
      <c r="B8075">
        <v>1</v>
      </c>
    </row>
    <row r="8076" spans="2:2" x14ac:dyDescent="0.25">
      <c r="B8076">
        <v>1</v>
      </c>
    </row>
    <row r="8077" spans="2:2" x14ac:dyDescent="0.25">
      <c r="B8077">
        <v>1</v>
      </c>
    </row>
    <row r="8078" spans="2:2" x14ac:dyDescent="0.25">
      <c r="B8078">
        <v>1</v>
      </c>
    </row>
    <row r="8079" spans="2:2" x14ac:dyDescent="0.25">
      <c r="B8079">
        <v>1</v>
      </c>
    </row>
    <row r="8080" spans="2:2" x14ac:dyDescent="0.25">
      <c r="B8080">
        <v>1</v>
      </c>
    </row>
    <row r="8081" spans="2:2" x14ac:dyDescent="0.25">
      <c r="B8081">
        <v>1</v>
      </c>
    </row>
    <row r="8082" spans="2:2" x14ac:dyDescent="0.25">
      <c r="B8082">
        <v>1</v>
      </c>
    </row>
    <row r="8083" spans="2:2" x14ac:dyDescent="0.25">
      <c r="B8083">
        <v>1</v>
      </c>
    </row>
    <row r="8084" spans="2:2" x14ac:dyDescent="0.25">
      <c r="B8084">
        <v>1</v>
      </c>
    </row>
    <row r="8085" spans="2:2" x14ac:dyDescent="0.25">
      <c r="B8085">
        <v>1</v>
      </c>
    </row>
    <row r="8086" spans="2:2" x14ac:dyDescent="0.25">
      <c r="B8086">
        <v>1</v>
      </c>
    </row>
    <row r="8087" spans="2:2" x14ac:dyDescent="0.25">
      <c r="B8087">
        <v>1</v>
      </c>
    </row>
    <row r="8088" spans="2:2" x14ac:dyDescent="0.25">
      <c r="B8088">
        <v>1</v>
      </c>
    </row>
    <row r="8089" spans="2:2" x14ac:dyDescent="0.25">
      <c r="B8089">
        <v>1</v>
      </c>
    </row>
    <row r="8090" spans="2:2" x14ac:dyDescent="0.25">
      <c r="B8090">
        <v>1</v>
      </c>
    </row>
    <row r="8091" spans="2:2" x14ac:dyDescent="0.25">
      <c r="B8091">
        <v>1</v>
      </c>
    </row>
    <row r="8092" spans="2:2" x14ac:dyDescent="0.25">
      <c r="B8092">
        <v>1</v>
      </c>
    </row>
    <row r="8093" spans="2:2" x14ac:dyDescent="0.25">
      <c r="B8093">
        <v>1</v>
      </c>
    </row>
    <row r="8094" spans="2:2" x14ac:dyDescent="0.25">
      <c r="B8094">
        <v>1</v>
      </c>
    </row>
    <row r="8095" spans="2:2" x14ac:dyDescent="0.25">
      <c r="B8095">
        <v>1</v>
      </c>
    </row>
    <row r="8096" spans="2:2" x14ac:dyDescent="0.25">
      <c r="B8096">
        <v>1</v>
      </c>
    </row>
    <row r="8097" spans="2:2" x14ac:dyDescent="0.25">
      <c r="B8097">
        <v>1</v>
      </c>
    </row>
    <row r="8098" spans="2:2" x14ac:dyDescent="0.25">
      <c r="B8098">
        <v>1</v>
      </c>
    </row>
    <row r="8099" spans="2:2" x14ac:dyDescent="0.25">
      <c r="B8099">
        <v>1</v>
      </c>
    </row>
    <row r="8100" spans="2:2" x14ac:dyDescent="0.25">
      <c r="B8100">
        <v>1</v>
      </c>
    </row>
    <row r="8101" spans="2:2" x14ac:dyDescent="0.25">
      <c r="B8101">
        <v>1</v>
      </c>
    </row>
    <row r="8102" spans="2:2" x14ac:dyDescent="0.25">
      <c r="B8102">
        <v>1</v>
      </c>
    </row>
    <row r="8103" spans="2:2" x14ac:dyDescent="0.25">
      <c r="B8103">
        <v>1</v>
      </c>
    </row>
    <row r="8104" spans="2:2" x14ac:dyDescent="0.25">
      <c r="B8104">
        <v>1</v>
      </c>
    </row>
    <row r="8105" spans="2:2" x14ac:dyDescent="0.25">
      <c r="B8105">
        <v>1</v>
      </c>
    </row>
    <row r="8106" spans="2:2" x14ac:dyDescent="0.25">
      <c r="B8106">
        <v>1</v>
      </c>
    </row>
    <row r="8107" spans="2:2" x14ac:dyDescent="0.25">
      <c r="B8107">
        <v>1</v>
      </c>
    </row>
    <row r="8108" spans="2:2" x14ac:dyDescent="0.25">
      <c r="B8108">
        <v>1</v>
      </c>
    </row>
    <row r="8109" spans="2:2" x14ac:dyDescent="0.25">
      <c r="B8109">
        <v>1</v>
      </c>
    </row>
    <row r="8110" spans="2:2" x14ac:dyDescent="0.25">
      <c r="B8110">
        <v>1</v>
      </c>
    </row>
    <row r="8111" spans="2:2" x14ac:dyDescent="0.25">
      <c r="B8111">
        <v>1</v>
      </c>
    </row>
    <row r="8112" spans="2:2" x14ac:dyDescent="0.25">
      <c r="B8112">
        <v>1</v>
      </c>
    </row>
    <row r="8113" spans="2:2" x14ac:dyDescent="0.25">
      <c r="B8113">
        <v>1</v>
      </c>
    </row>
    <row r="8114" spans="2:2" x14ac:dyDescent="0.25">
      <c r="B8114">
        <v>1</v>
      </c>
    </row>
    <row r="8115" spans="2:2" x14ac:dyDescent="0.25">
      <c r="B8115">
        <v>1</v>
      </c>
    </row>
    <row r="8116" spans="2:2" x14ac:dyDescent="0.25">
      <c r="B8116">
        <v>1</v>
      </c>
    </row>
    <row r="8117" spans="2:2" x14ac:dyDescent="0.25">
      <c r="B8117">
        <v>1</v>
      </c>
    </row>
    <row r="8118" spans="2:2" x14ac:dyDescent="0.25">
      <c r="B8118">
        <v>1</v>
      </c>
    </row>
    <row r="8119" spans="2:2" x14ac:dyDescent="0.25">
      <c r="B8119">
        <v>1</v>
      </c>
    </row>
    <row r="8120" spans="2:2" x14ac:dyDescent="0.25">
      <c r="B8120">
        <v>1</v>
      </c>
    </row>
    <row r="8121" spans="2:2" x14ac:dyDescent="0.25">
      <c r="B8121">
        <v>1</v>
      </c>
    </row>
    <row r="8122" spans="2:2" x14ac:dyDescent="0.25">
      <c r="B8122">
        <v>1</v>
      </c>
    </row>
    <row r="8123" spans="2:2" x14ac:dyDescent="0.25">
      <c r="B8123">
        <v>1</v>
      </c>
    </row>
    <row r="8124" spans="2:2" x14ac:dyDescent="0.25">
      <c r="B8124">
        <v>1</v>
      </c>
    </row>
    <row r="8125" spans="2:2" x14ac:dyDescent="0.25">
      <c r="B8125">
        <v>1</v>
      </c>
    </row>
    <row r="8126" spans="2:2" x14ac:dyDescent="0.25">
      <c r="B8126">
        <v>1</v>
      </c>
    </row>
    <row r="8127" spans="2:2" x14ac:dyDescent="0.25">
      <c r="B8127">
        <v>1</v>
      </c>
    </row>
    <row r="8128" spans="2:2" x14ac:dyDescent="0.25">
      <c r="B8128">
        <v>1</v>
      </c>
    </row>
    <row r="8129" spans="2:2" x14ac:dyDescent="0.25">
      <c r="B8129">
        <v>1</v>
      </c>
    </row>
    <row r="8130" spans="2:2" x14ac:dyDescent="0.25">
      <c r="B8130">
        <v>1</v>
      </c>
    </row>
    <row r="8131" spans="2:2" x14ac:dyDescent="0.25">
      <c r="B8131">
        <v>1</v>
      </c>
    </row>
    <row r="8132" spans="2:2" x14ac:dyDescent="0.25">
      <c r="B8132">
        <v>1</v>
      </c>
    </row>
    <row r="8133" spans="2:2" x14ac:dyDescent="0.25">
      <c r="B8133">
        <v>1</v>
      </c>
    </row>
    <row r="8134" spans="2:2" x14ac:dyDescent="0.25">
      <c r="B8134">
        <v>1</v>
      </c>
    </row>
    <row r="8135" spans="2:2" x14ac:dyDescent="0.25">
      <c r="B8135">
        <v>1</v>
      </c>
    </row>
    <row r="8136" spans="2:2" x14ac:dyDescent="0.25">
      <c r="B8136">
        <v>1</v>
      </c>
    </row>
    <row r="8137" spans="2:2" x14ac:dyDescent="0.25">
      <c r="B8137">
        <v>1</v>
      </c>
    </row>
    <row r="8138" spans="2:2" x14ac:dyDescent="0.25">
      <c r="B8138">
        <v>1</v>
      </c>
    </row>
    <row r="8139" spans="2:2" x14ac:dyDescent="0.25">
      <c r="B8139">
        <v>1</v>
      </c>
    </row>
    <row r="8140" spans="2:2" x14ac:dyDescent="0.25">
      <c r="B8140">
        <v>1</v>
      </c>
    </row>
    <row r="8141" spans="2:2" x14ac:dyDescent="0.25">
      <c r="B8141">
        <v>1</v>
      </c>
    </row>
    <row r="8142" spans="2:2" x14ac:dyDescent="0.25">
      <c r="B8142">
        <v>1</v>
      </c>
    </row>
    <row r="8143" spans="2:2" x14ac:dyDescent="0.25">
      <c r="B8143">
        <v>1</v>
      </c>
    </row>
    <row r="8144" spans="2:2" x14ac:dyDescent="0.25">
      <c r="B8144">
        <v>1</v>
      </c>
    </row>
    <row r="8145" spans="2:2" x14ac:dyDescent="0.25">
      <c r="B8145">
        <v>1</v>
      </c>
    </row>
    <row r="8146" spans="2:2" x14ac:dyDescent="0.25">
      <c r="B8146">
        <v>1</v>
      </c>
    </row>
    <row r="8147" spans="2:2" x14ac:dyDescent="0.25">
      <c r="B8147">
        <v>1</v>
      </c>
    </row>
    <row r="8148" spans="2:2" x14ac:dyDescent="0.25">
      <c r="B8148">
        <v>1</v>
      </c>
    </row>
    <row r="8149" spans="2:2" x14ac:dyDescent="0.25">
      <c r="B8149">
        <v>1</v>
      </c>
    </row>
    <row r="8150" spans="2:2" x14ac:dyDescent="0.25">
      <c r="B8150">
        <v>1</v>
      </c>
    </row>
    <row r="8151" spans="2:2" x14ac:dyDescent="0.25">
      <c r="B8151">
        <v>1</v>
      </c>
    </row>
    <row r="8152" spans="2:2" x14ac:dyDescent="0.25">
      <c r="B8152">
        <v>1</v>
      </c>
    </row>
    <row r="8153" spans="2:2" x14ac:dyDescent="0.25">
      <c r="B8153">
        <v>1</v>
      </c>
    </row>
    <row r="8154" spans="2:2" x14ac:dyDescent="0.25">
      <c r="B8154">
        <v>1</v>
      </c>
    </row>
    <row r="8155" spans="2:2" x14ac:dyDescent="0.25">
      <c r="B8155">
        <v>1</v>
      </c>
    </row>
    <row r="8156" spans="2:2" x14ac:dyDescent="0.25">
      <c r="B8156">
        <v>1</v>
      </c>
    </row>
    <row r="8157" spans="2:2" x14ac:dyDescent="0.25">
      <c r="B8157">
        <v>1</v>
      </c>
    </row>
    <row r="8158" spans="2:2" x14ac:dyDescent="0.25">
      <c r="B8158">
        <v>1</v>
      </c>
    </row>
    <row r="8159" spans="2:2" x14ac:dyDescent="0.25">
      <c r="B8159">
        <v>1</v>
      </c>
    </row>
    <row r="8160" spans="2:2" x14ac:dyDescent="0.25">
      <c r="B8160">
        <v>1</v>
      </c>
    </row>
    <row r="8161" spans="2:2" x14ac:dyDescent="0.25">
      <c r="B8161">
        <v>1</v>
      </c>
    </row>
    <row r="8162" spans="2:2" x14ac:dyDescent="0.25">
      <c r="B8162">
        <v>1</v>
      </c>
    </row>
    <row r="8163" spans="2:2" x14ac:dyDescent="0.25">
      <c r="B8163">
        <v>1</v>
      </c>
    </row>
    <row r="8164" spans="2:2" x14ac:dyDescent="0.25">
      <c r="B8164">
        <v>1</v>
      </c>
    </row>
    <row r="8165" spans="2:2" x14ac:dyDescent="0.25">
      <c r="B8165">
        <v>1</v>
      </c>
    </row>
    <row r="8166" spans="2:2" x14ac:dyDescent="0.25">
      <c r="B8166">
        <v>1</v>
      </c>
    </row>
    <row r="8167" spans="2:2" x14ac:dyDescent="0.25">
      <c r="B8167">
        <v>1</v>
      </c>
    </row>
    <row r="8168" spans="2:2" x14ac:dyDescent="0.25">
      <c r="B8168">
        <v>1</v>
      </c>
    </row>
    <row r="8169" spans="2:2" x14ac:dyDescent="0.25">
      <c r="B8169">
        <v>1</v>
      </c>
    </row>
    <row r="8170" spans="2:2" x14ac:dyDescent="0.25">
      <c r="B8170">
        <v>1</v>
      </c>
    </row>
    <row r="8171" spans="2:2" x14ac:dyDescent="0.25">
      <c r="B8171">
        <v>1</v>
      </c>
    </row>
    <row r="8172" spans="2:2" x14ac:dyDescent="0.25">
      <c r="B8172">
        <v>1</v>
      </c>
    </row>
    <row r="8173" spans="2:2" x14ac:dyDescent="0.25">
      <c r="B8173">
        <v>1</v>
      </c>
    </row>
    <row r="8174" spans="2:2" x14ac:dyDescent="0.25">
      <c r="B8174">
        <v>1</v>
      </c>
    </row>
    <row r="8175" spans="2:2" x14ac:dyDescent="0.25">
      <c r="B8175">
        <v>1</v>
      </c>
    </row>
    <row r="8176" spans="2:2" x14ac:dyDescent="0.25">
      <c r="B8176">
        <v>1</v>
      </c>
    </row>
    <row r="8177" spans="2:2" x14ac:dyDescent="0.25">
      <c r="B8177">
        <v>1</v>
      </c>
    </row>
    <row r="8178" spans="2:2" x14ac:dyDescent="0.25">
      <c r="B8178">
        <v>1</v>
      </c>
    </row>
    <row r="8179" spans="2:2" x14ac:dyDescent="0.25">
      <c r="B8179">
        <v>1</v>
      </c>
    </row>
    <row r="8180" spans="2:2" x14ac:dyDescent="0.25">
      <c r="B818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B22A-31FE-4B7F-91A9-4299C80C077A}">
  <dimension ref="A1:B94"/>
  <sheetViews>
    <sheetView topLeftCell="A79" workbookViewId="0">
      <selection activeCell="D94" sqref="D94"/>
    </sheetView>
  </sheetViews>
  <sheetFormatPr baseColWidth="10" defaultRowHeight="15" x14ac:dyDescent="0.25"/>
  <cols>
    <col min="1" max="1" width="10.85546875" bestFit="1" customWidth="1"/>
  </cols>
  <sheetData>
    <row r="1" spans="1:2" x14ac:dyDescent="0.25">
      <c r="A1" s="15" t="s">
        <v>125</v>
      </c>
      <c r="B1" t="s">
        <v>195</v>
      </c>
    </row>
    <row r="2" spans="1:2" x14ac:dyDescent="0.25">
      <c r="A2" s="23">
        <v>2974710793</v>
      </c>
      <c r="B2">
        <v>1</v>
      </c>
    </row>
    <row r="3" spans="1:2" x14ac:dyDescent="0.25">
      <c r="A3" s="23">
        <v>1151125419</v>
      </c>
      <c r="B3">
        <v>1</v>
      </c>
    </row>
    <row r="4" spans="1:2" x14ac:dyDescent="0.25">
      <c r="A4" s="23">
        <v>1136805781</v>
      </c>
      <c r="B4">
        <v>1</v>
      </c>
    </row>
    <row r="5" spans="1:2" x14ac:dyDescent="0.25">
      <c r="A5" s="23">
        <v>1133865407</v>
      </c>
      <c r="B5">
        <v>1</v>
      </c>
    </row>
    <row r="6" spans="1:2" x14ac:dyDescent="0.25">
      <c r="A6" s="23">
        <v>3758458760</v>
      </c>
      <c r="B6">
        <v>1</v>
      </c>
    </row>
    <row r="7" spans="1:2" x14ac:dyDescent="0.25">
      <c r="A7" s="23">
        <v>1168496167</v>
      </c>
      <c r="B7">
        <v>1</v>
      </c>
    </row>
    <row r="8" spans="1:2" x14ac:dyDescent="0.25">
      <c r="A8" s="23">
        <v>1150581075</v>
      </c>
      <c r="B8">
        <v>1</v>
      </c>
    </row>
    <row r="9" spans="1:2" x14ac:dyDescent="0.25">
      <c r="A9" s="23">
        <v>1158960601</v>
      </c>
      <c r="B9">
        <v>1</v>
      </c>
    </row>
    <row r="10" spans="1:2" x14ac:dyDescent="0.25">
      <c r="A10" s="23">
        <v>3434285285</v>
      </c>
      <c r="B10">
        <v>1</v>
      </c>
    </row>
    <row r="11" spans="1:2" x14ac:dyDescent="0.25">
      <c r="A11" s="23">
        <v>1154105594</v>
      </c>
      <c r="B11">
        <v>1</v>
      </c>
    </row>
    <row r="12" spans="1:2" x14ac:dyDescent="0.25">
      <c r="A12" s="23">
        <v>3456028486</v>
      </c>
      <c r="B12">
        <v>1</v>
      </c>
    </row>
    <row r="13" spans="1:2" x14ac:dyDescent="0.25">
      <c r="A13" s="23">
        <v>2966713589</v>
      </c>
      <c r="B13">
        <v>1</v>
      </c>
    </row>
    <row r="14" spans="1:2" x14ac:dyDescent="0.25">
      <c r="A14" s="23">
        <v>1157344597</v>
      </c>
      <c r="B14">
        <v>1</v>
      </c>
    </row>
    <row r="15" spans="1:2" x14ac:dyDescent="0.25">
      <c r="A15" s="23">
        <v>3624563378</v>
      </c>
      <c r="B15">
        <v>1</v>
      </c>
    </row>
    <row r="16" spans="1:2" x14ac:dyDescent="0.25">
      <c r="A16" s="23">
        <v>3875492270</v>
      </c>
      <c r="B16">
        <v>1</v>
      </c>
    </row>
    <row r="17" spans="1:2" x14ac:dyDescent="0.25">
      <c r="A17" s="23">
        <v>1158396566</v>
      </c>
      <c r="B17">
        <v>1</v>
      </c>
    </row>
    <row r="18" spans="1:2" x14ac:dyDescent="0.25">
      <c r="A18" s="23">
        <v>1123158989</v>
      </c>
      <c r="B18">
        <v>1</v>
      </c>
    </row>
    <row r="19" spans="1:2" x14ac:dyDescent="0.25">
      <c r="A19" s="23">
        <v>1141950686</v>
      </c>
      <c r="B19">
        <v>1</v>
      </c>
    </row>
    <row r="20" spans="1:2" x14ac:dyDescent="0.25">
      <c r="A20" s="23">
        <v>1151752294</v>
      </c>
      <c r="B20">
        <v>1</v>
      </c>
    </row>
    <row r="21" spans="1:2" x14ac:dyDescent="0.25">
      <c r="A21" s="23">
        <v>3425499799</v>
      </c>
      <c r="B21">
        <v>1</v>
      </c>
    </row>
    <row r="22" spans="1:2" x14ac:dyDescent="0.25">
      <c r="A22" s="23">
        <v>1130574484</v>
      </c>
      <c r="B22">
        <v>1</v>
      </c>
    </row>
    <row r="23" spans="1:2" x14ac:dyDescent="0.25">
      <c r="A23" s="23">
        <v>2645257742</v>
      </c>
      <c r="B23">
        <v>1</v>
      </c>
    </row>
    <row r="24" spans="1:2" x14ac:dyDescent="0.25">
      <c r="A24" s="23">
        <v>1151153296</v>
      </c>
      <c r="B24">
        <v>1</v>
      </c>
    </row>
    <row r="25" spans="1:2" x14ac:dyDescent="0.25">
      <c r="A25" s="23">
        <v>3814166435</v>
      </c>
      <c r="B25">
        <v>1</v>
      </c>
    </row>
    <row r="26" spans="1:2" x14ac:dyDescent="0.25">
      <c r="A26" s="23">
        <v>1178905642</v>
      </c>
      <c r="B26">
        <v>1</v>
      </c>
    </row>
    <row r="27" spans="1:2" x14ac:dyDescent="0.25">
      <c r="A27" s="23">
        <v>1121802113</v>
      </c>
      <c r="B27">
        <v>1</v>
      </c>
    </row>
    <row r="28" spans="1:2" x14ac:dyDescent="0.25">
      <c r="A28" s="23">
        <v>2645643066</v>
      </c>
      <c r="B28">
        <v>1</v>
      </c>
    </row>
    <row r="29" spans="1:2" x14ac:dyDescent="0.25">
      <c r="A29" s="23">
        <v>1141933037</v>
      </c>
      <c r="B29">
        <v>1</v>
      </c>
    </row>
    <row r="30" spans="1:2" x14ac:dyDescent="0.25">
      <c r="A30" s="23">
        <v>3887468685</v>
      </c>
      <c r="B30">
        <v>1</v>
      </c>
    </row>
    <row r="31" spans="1:2" x14ac:dyDescent="0.25">
      <c r="A31" s="23">
        <v>2942447438</v>
      </c>
      <c r="B31">
        <v>1</v>
      </c>
    </row>
    <row r="32" spans="1:2" x14ac:dyDescent="0.25">
      <c r="A32" s="23">
        <v>2477363728</v>
      </c>
      <c r="B32">
        <v>1</v>
      </c>
    </row>
    <row r="33" spans="1:2" x14ac:dyDescent="0.25">
      <c r="A33" s="23">
        <v>1161394100</v>
      </c>
      <c r="B33">
        <v>1</v>
      </c>
    </row>
    <row r="34" spans="1:2" x14ac:dyDescent="0.25">
      <c r="A34" s="23">
        <v>2804870311</v>
      </c>
      <c r="B34">
        <v>1</v>
      </c>
    </row>
    <row r="35" spans="1:2" x14ac:dyDescent="0.25">
      <c r="A35" s="23">
        <v>3487323524</v>
      </c>
      <c r="B35">
        <v>1</v>
      </c>
    </row>
    <row r="36" spans="1:2" x14ac:dyDescent="0.25">
      <c r="A36" s="23">
        <v>1173677362</v>
      </c>
      <c r="B36">
        <v>1</v>
      </c>
    </row>
    <row r="37" spans="1:2" x14ac:dyDescent="0.25">
      <c r="A37" s="23">
        <v>2942349855</v>
      </c>
      <c r="B37">
        <v>1</v>
      </c>
    </row>
    <row r="38" spans="1:2" x14ac:dyDescent="0.25">
      <c r="A38" s="23">
        <v>1138782884</v>
      </c>
      <c r="B38">
        <v>1</v>
      </c>
    </row>
    <row r="39" spans="1:2" x14ac:dyDescent="0.25">
      <c r="A39" s="23">
        <v>2996336918</v>
      </c>
      <c r="B39">
        <v>1</v>
      </c>
    </row>
    <row r="40" spans="1:2" x14ac:dyDescent="0.25">
      <c r="A40" s="23">
        <v>2984151033</v>
      </c>
      <c r="B40">
        <v>1</v>
      </c>
    </row>
    <row r="41" spans="1:2" x14ac:dyDescent="0.25">
      <c r="A41" s="23">
        <v>2995491251</v>
      </c>
      <c r="B41">
        <v>1</v>
      </c>
    </row>
    <row r="42" spans="1:2" x14ac:dyDescent="0.25">
      <c r="A42" s="23">
        <v>3794329933</v>
      </c>
      <c r="B42">
        <v>1</v>
      </c>
    </row>
    <row r="43" spans="1:2" x14ac:dyDescent="0.25">
      <c r="A43" s="23">
        <v>1131924932</v>
      </c>
      <c r="B43">
        <v>1</v>
      </c>
    </row>
    <row r="44" spans="1:2" x14ac:dyDescent="0.25">
      <c r="A44" s="23">
        <v>1144075342</v>
      </c>
      <c r="B44">
        <v>1</v>
      </c>
    </row>
    <row r="45" spans="1:2" x14ac:dyDescent="0.25">
      <c r="A45" s="23">
        <v>2946527493</v>
      </c>
      <c r="B45">
        <v>1</v>
      </c>
    </row>
    <row r="46" spans="1:2" x14ac:dyDescent="0.25">
      <c r="A46" s="23">
        <v>1136399795</v>
      </c>
      <c r="B46">
        <v>1</v>
      </c>
    </row>
    <row r="47" spans="1:2" x14ac:dyDescent="0.25">
      <c r="A47" s="23">
        <v>1132925480</v>
      </c>
      <c r="B47">
        <v>1</v>
      </c>
    </row>
    <row r="48" spans="1:2" x14ac:dyDescent="0.25">
      <c r="A48" s="23">
        <v>3515417221</v>
      </c>
      <c r="B48">
        <v>1</v>
      </c>
    </row>
    <row r="49" spans="1:2" x14ac:dyDescent="0.25">
      <c r="A49" s="23">
        <v>1124890826</v>
      </c>
      <c r="B49">
        <v>1</v>
      </c>
    </row>
    <row r="50" spans="1:2" x14ac:dyDescent="0.25">
      <c r="A50" s="23">
        <v>3471575083</v>
      </c>
      <c r="B50">
        <v>1</v>
      </c>
    </row>
    <row r="51" spans="1:2" x14ac:dyDescent="0.25">
      <c r="A51" s="23">
        <v>1123166588</v>
      </c>
      <c r="B51">
        <v>1</v>
      </c>
    </row>
    <row r="52" spans="1:2" x14ac:dyDescent="0.25">
      <c r="A52" s="23">
        <v>3757514893</v>
      </c>
      <c r="B52">
        <v>1</v>
      </c>
    </row>
    <row r="53" spans="1:2" x14ac:dyDescent="0.25">
      <c r="A53" s="23">
        <v>1162435087</v>
      </c>
      <c r="B53">
        <v>1</v>
      </c>
    </row>
    <row r="54" spans="1:2" x14ac:dyDescent="0.25">
      <c r="A54" s="23">
        <v>2214093854</v>
      </c>
      <c r="B54">
        <v>1</v>
      </c>
    </row>
    <row r="55" spans="1:2" x14ac:dyDescent="0.25">
      <c r="A55" s="23">
        <v>3517694175</v>
      </c>
      <c r="B55">
        <v>1</v>
      </c>
    </row>
    <row r="56" spans="1:2" x14ac:dyDescent="0.25">
      <c r="A56" s="23">
        <v>2665138500</v>
      </c>
      <c r="B56">
        <v>1</v>
      </c>
    </row>
    <row r="57" spans="1:2" x14ac:dyDescent="0.25">
      <c r="A57" s="23">
        <v>3834623000</v>
      </c>
      <c r="B57">
        <v>1</v>
      </c>
    </row>
    <row r="58" spans="1:2" x14ac:dyDescent="0.25">
      <c r="A58" s="23">
        <v>1170026367</v>
      </c>
      <c r="B58">
        <v>1</v>
      </c>
    </row>
    <row r="59" spans="1:2" x14ac:dyDescent="0.25">
      <c r="A59" s="23">
        <v>2966275301</v>
      </c>
      <c r="B59">
        <v>1</v>
      </c>
    </row>
    <row r="60" spans="1:2" x14ac:dyDescent="0.25">
      <c r="A60" s="23">
        <v>2964474210</v>
      </c>
      <c r="B60">
        <v>1</v>
      </c>
    </row>
    <row r="61" spans="1:2" x14ac:dyDescent="0.25">
      <c r="A61" s="23">
        <v>1136926758</v>
      </c>
      <c r="B61">
        <v>1</v>
      </c>
    </row>
    <row r="62" spans="1:2" x14ac:dyDescent="0.25">
      <c r="A62" s="23">
        <v>3409453798</v>
      </c>
      <c r="B62">
        <v>1</v>
      </c>
    </row>
    <row r="63" spans="1:2" x14ac:dyDescent="0.25">
      <c r="A63" s="23">
        <v>1173636571</v>
      </c>
      <c r="B63">
        <v>1</v>
      </c>
    </row>
    <row r="64" spans="1:2" x14ac:dyDescent="0.25">
      <c r="A64" s="23">
        <v>1157670700</v>
      </c>
      <c r="B64">
        <v>1</v>
      </c>
    </row>
    <row r="65" spans="1:2" x14ac:dyDescent="0.25">
      <c r="A65" s="23">
        <v>1162110861</v>
      </c>
      <c r="B65">
        <v>1</v>
      </c>
    </row>
    <row r="66" spans="1:2" x14ac:dyDescent="0.25">
      <c r="A66" s="23">
        <v>2804620420</v>
      </c>
      <c r="B66">
        <v>1</v>
      </c>
    </row>
    <row r="67" spans="1:2" x14ac:dyDescent="0.25">
      <c r="A67" s="23">
        <v>2664331017</v>
      </c>
      <c r="B67">
        <v>1</v>
      </c>
    </row>
    <row r="68" spans="1:2" x14ac:dyDescent="0.25">
      <c r="A68" s="23">
        <v>2996303192</v>
      </c>
      <c r="B68">
        <v>1</v>
      </c>
    </row>
    <row r="69" spans="1:2" x14ac:dyDescent="0.25">
      <c r="A69" s="23">
        <v>1160014494</v>
      </c>
      <c r="B69">
        <v>1</v>
      </c>
    </row>
    <row r="70" spans="1:2" x14ac:dyDescent="0.25">
      <c r="A70" s="23">
        <v>1125540333</v>
      </c>
      <c r="B70">
        <v>1</v>
      </c>
    </row>
    <row r="71" spans="1:2" x14ac:dyDescent="0.25">
      <c r="A71" s="23">
        <v>3878620038</v>
      </c>
      <c r="B71">
        <v>1</v>
      </c>
    </row>
    <row r="72" spans="1:2" x14ac:dyDescent="0.25">
      <c r="A72" s="23">
        <v>3875542044</v>
      </c>
      <c r="B72">
        <v>1</v>
      </c>
    </row>
    <row r="73" spans="1:2" x14ac:dyDescent="0.25">
      <c r="A73" s="23">
        <v>1155671697</v>
      </c>
      <c r="B73">
        <v>1</v>
      </c>
    </row>
    <row r="74" spans="1:2" x14ac:dyDescent="0.25">
      <c r="A74" s="23">
        <v>3584817529</v>
      </c>
      <c r="B74">
        <v>1</v>
      </c>
    </row>
    <row r="75" spans="1:2" x14ac:dyDescent="0.25">
      <c r="A75" s="23">
        <v>2995223324</v>
      </c>
      <c r="B75">
        <v>1</v>
      </c>
    </row>
    <row r="76" spans="1:2" x14ac:dyDescent="0.25">
      <c r="A76" s="23">
        <v>2926501860</v>
      </c>
      <c r="B76">
        <v>1</v>
      </c>
    </row>
    <row r="77" spans="1:2" x14ac:dyDescent="0.25">
      <c r="A77" s="23">
        <v>2994246318</v>
      </c>
      <c r="B77">
        <v>1</v>
      </c>
    </row>
    <row r="78" spans="1:2" x14ac:dyDescent="0.25">
      <c r="A78" s="23">
        <v>1164393016</v>
      </c>
      <c r="B78">
        <v>1</v>
      </c>
    </row>
    <row r="79" spans="1:2" x14ac:dyDescent="0.25">
      <c r="A79" s="23">
        <v>2314406501</v>
      </c>
      <c r="B79">
        <v>1</v>
      </c>
    </row>
    <row r="80" spans="1:2" x14ac:dyDescent="0.25">
      <c r="A80" s="23">
        <v>3812360919</v>
      </c>
      <c r="B80">
        <v>1</v>
      </c>
    </row>
    <row r="81" spans="1:2" x14ac:dyDescent="0.25">
      <c r="A81" s="23">
        <v>2323618698</v>
      </c>
      <c r="B81">
        <v>1</v>
      </c>
    </row>
    <row r="82" spans="1:2" x14ac:dyDescent="0.25">
      <c r="A82" s="23">
        <v>3812227718</v>
      </c>
      <c r="B82">
        <v>1</v>
      </c>
    </row>
    <row r="83" spans="1:2" x14ac:dyDescent="0.25">
      <c r="A83" s="23">
        <v>2616209845</v>
      </c>
      <c r="B83">
        <v>1</v>
      </c>
    </row>
    <row r="84" spans="1:2" x14ac:dyDescent="0.25">
      <c r="A84" s="23">
        <v>1138147198</v>
      </c>
      <c r="B84">
        <v>1</v>
      </c>
    </row>
    <row r="85" spans="1:2" x14ac:dyDescent="0.25">
      <c r="A85" s="23">
        <v>1140568002</v>
      </c>
      <c r="B85">
        <v>1</v>
      </c>
    </row>
    <row r="86" spans="1:2" x14ac:dyDescent="0.25">
      <c r="A86" s="23">
        <v>1161208647</v>
      </c>
      <c r="B86">
        <v>1</v>
      </c>
    </row>
    <row r="87" spans="1:2" x14ac:dyDescent="0.25">
      <c r="A87" s="23">
        <v>1150149521</v>
      </c>
      <c r="B87">
        <v>1</v>
      </c>
    </row>
    <row r="88" spans="1:2" x14ac:dyDescent="0.25">
      <c r="A88" s="23">
        <v>2984591372</v>
      </c>
      <c r="B88">
        <v>1</v>
      </c>
    </row>
    <row r="89" spans="1:2" x14ac:dyDescent="0.25">
      <c r="A89" s="23">
        <v>1133624222</v>
      </c>
      <c r="B89">
        <v>1</v>
      </c>
    </row>
    <row r="90" spans="1:2" x14ac:dyDescent="0.25">
      <c r="A90" s="23">
        <v>2994562619</v>
      </c>
      <c r="B90">
        <v>1</v>
      </c>
    </row>
    <row r="91" spans="1:2" x14ac:dyDescent="0.25">
      <c r="A91" s="23">
        <v>1132613083</v>
      </c>
      <c r="B91">
        <v>1</v>
      </c>
    </row>
    <row r="92" spans="1:2" x14ac:dyDescent="0.25">
      <c r="A92" s="23">
        <v>2646282239</v>
      </c>
      <c r="B92">
        <v>1</v>
      </c>
    </row>
    <row r="93" spans="1:2" x14ac:dyDescent="0.25">
      <c r="A93" s="23">
        <v>3487305022</v>
      </c>
      <c r="B93">
        <v>1</v>
      </c>
    </row>
    <row r="94" spans="1:2" x14ac:dyDescent="0.25">
      <c r="A94" s="23">
        <v>2284679325</v>
      </c>
      <c r="B94">
        <v>1</v>
      </c>
    </row>
  </sheetData>
  <autoFilter ref="A1:B236" xr:uid="{C631B22A-31FE-4B7F-91A9-4299C80C077A}">
    <sortState xmlns:xlrd2="http://schemas.microsoft.com/office/spreadsheetml/2017/richdata2" ref="A2:B236">
      <sortCondition ref="B1:B236"/>
    </sortState>
  </autoFilter>
  <conditionalFormatting sqref="A1:A94">
    <cfRule type="duplicateValues" dxfId="36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showGridLines="0" zoomScaleNormal="100" workbookViewId="0">
      <selection activeCell="F7" sqref="F7"/>
    </sheetView>
  </sheetViews>
  <sheetFormatPr baseColWidth="10" defaultColWidth="21" defaultRowHeight="15" x14ac:dyDescent="0.25"/>
  <cols>
    <col min="1" max="1" width="20.140625" style="3" bestFit="1" customWidth="1"/>
    <col min="2" max="2" width="19.5703125" style="3" bestFit="1" customWidth="1"/>
    <col min="3" max="3" width="8.140625" style="3" bestFit="1" customWidth="1"/>
    <col min="4" max="4" width="21.140625" customWidth="1"/>
  </cols>
  <sheetData>
    <row r="1" spans="1:3" x14ac:dyDescent="0.25">
      <c r="A1" s="4" t="s">
        <v>9</v>
      </c>
      <c r="B1" s="3" t="s">
        <v>71</v>
      </c>
    </row>
    <row r="3" spans="1:3" ht="15.75" thickBot="1" x14ac:dyDescent="0.3">
      <c r="A3" s="4" t="s">
        <v>72</v>
      </c>
      <c r="B3" s="3" t="s">
        <v>73</v>
      </c>
      <c r="C3" s="3" t="s">
        <v>3</v>
      </c>
    </row>
    <row r="4" spans="1:3" ht="15.75" thickBot="1" x14ac:dyDescent="0.3">
      <c r="A4" s="3" t="s">
        <v>55</v>
      </c>
      <c r="B4" s="34">
        <v>414</v>
      </c>
      <c r="C4" s="5">
        <v>1</v>
      </c>
    </row>
    <row r="5" spans="1:3" x14ac:dyDescent="0.25">
      <c r="A5" s="9">
        <v>9</v>
      </c>
      <c r="B5" s="34">
        <v>33</v>
      </c>
      <c r="C5" s="5">
        <v>7.9710144927536225E-2</v>
      </c>
    </row>
    <row r="6" spans="1:3" ht="15.75" thickBot="1" x14ac:dyDescent="0.3">
      <c r="A6" s="9">
        <v>10</v>
      </c>
      <c r="B6" s="34">
        <v>54</v>
      </c>
      <c r="C6" s="5">
        <v>0.13043478260869565</v>
      </c>
    </row>
    <row r="7" spans="1:3" ht="15.75" thickBot="1" x14ac:dyDescent="0.3">
      <c r="A7" s="9">
        <v>11</v>
      </c>
      <c r="B7" s="34">
        <v>47</v>
      </c>
      <c r="C7" s="5">
        <v>0.11352657004830918</v>
      </c>
    </row>
    <row r="8" spans="1:3" x14ac:dyDescent="0.25">
      <c r="A8" s="9">
        <v>12</v>
      </c>
      <c r="B8" s="34">
        <v>38</v>
      </c>
      <c r="C8" s="5">
        <v>9.1787439613526575E-2</v>
      </c>
    </row>
    <row r="9" spans="1:3" x14ac:dyDescent="0.25">
      <c r="A9" s="9">
        <v>13</v>
      </c>
      <c r="B9" s="34">
        <v>39</v>
      </c>
      <c r="C9" s="5">
        <v>9.420289855072464E-2</v>
      </c>
    </row>
    <row r="10" spans="1:3" x14ac:dyDescent="0.25">
      <c r="A10" s="9">
        <v>14</v>
      </c>
      <c r="B10" s="34">
        <v>29</v>
      </c>
      <c r="C10" s="5">
        <v>7.0048309178743967E-2</v>
      </c>
    </row>
    <row r="11" spans="1:3" x14ac:dyDescent="0.25">
      <c r="A11" s="9">
        <v>15</v>
      </c>
      <c r="B11" s="34">
        <v>30</v>
      </c>
      <c r="C11" s="5">
        <v>7.2463768115942032E-2</v>
      </c>
    </row>
    <row r="12" spans="1:3" x14ac:dyDescent="0.25">
      <c r="A12" s="9">
        <v>16</v>
      </c>
      <c r="B12" s="34">
        <v>39</v>
      </c>
      <c r="C12" s="5">
        <v>9.420289855072464E-2</v>
      </c>
    </row>
    <row r="13" spans="1:3" x14ac:dyDescent="0.25">
      <c r="A13" s="9">
        <v>17</v>
      </c>
      <c r="B13" s="34">
        <v>36</v>
      </c>
      <c r="C13" s="5">
        <v>8.6956521739130432E-2</v>
      </c>
    </row>
    <row r="14" spans="1:3" x14ac:dyDescent="0.25">
      <c r="A14" s="9">
        <v>18</v>
      </c>
      <c r="B14" s="34">
        <v>24</v>
      </c>
      <c r="C14" s="5">
        <v>5.7971014492753624E-2</v>
      </c>
    </row>
    <row r="15" spans="1:3" x14ac:dyDescent="0.25">
      <c r="A15" s="9">
        <v>19</v>
      </c>
      <c r="B15" s="34">
        <v>22</v>
      </c>
      <c r="C15" s="5">
        <v>5.3140096618357488E-2</v>
      </c>
    </row>
    <row r="16" spans="1:3" x14ac:dyDescent="0.25">
      <c r="A16" s="9">
        <v>20</v>
      </c>
      <c r="B16" s="34">
        <v>23</v>
      </c>
      <c r="C16" s="5">
        <v>5.5555555555555552E-2</v>
      </c>
    </row>
    <row r="17" spans="1:10" x14ac:dyDescent="0.25">
      <c r="A17" s="3" t="s">
        <v>1</v>
      </c>
      <c r="B17" s="34">
        <v>414</v>
      </c>
      <c r="C17" s="5">
        <v>1</v>
      </c>
    </row>
    <row r="18" spans="1:10" ht="15.75" thickBot="1" x14ac:dyDescent="0.3">
      <c r="A18"/>
      <c r="B18"/>
      <c r="C18"/>
    </row>
    <row r="19" spans="1:10" ht="15.75" thickBot="1" x14ac:dyDescent="0.3">
      <c r="A19"/>
      <c r="B19"/>
      <c r="C19"/>
      <c r="I19" s="8" t="s">
        <v>2</v>
      </c>
      <c r="J19" s="8" t="s">
        <v>68</v>
      </c>
    </row>
    <row r="20" spans="1:10" x14ac:dyDescent="0.25">
      <c r="A20"/>
      <c r="B20"/>
      <c r="C20"/>
      <c r="I20" s="3">
        <f>+GETPIVOTDATA("Cuenta de Conexión",$A$3,"Conexión","Conectadas")</f>
        <v>414</v>
      </c>
      <c r="J20" s="3" t="e">
        <f>+GETPIVOTDATA("Cuenta de Conexión",$A$3,"Conexión","Perdidas")</f>
        <v>#REF!</v>
      </c>
    </row>
    <row r="21" spans="1:10" x14ac:dyDescent="0.25">
      <c r="A21"/>
      <c r="B21"/>
      <c r="C21"/>
    </row>
    <row r="22" spans="1:10" x14ac:dyDescent="0.25">
      <c r="A22"/>
      <c r="B22"/>
      <c r="C22"/>
      <c r="D22" t="s">
        <v>74</v>
      </c>
    </row>
    <row r="23" spans="1:10" x14ac:dyDescent="0.25">
      <c r="A23"/>
      <c r="B23"/>
      <c r="C23"/>
    </row>
    <row r="24" spans="1:10" x14ac:dyDescent="0.25">
      <c r="A24"/>
      <c r="B24"/>
      <c r="C24"/>
    </row>
    <row r="25" spans="1:10" x14ac:dyDescent="0.25">
      <c r="A25"/>
      <c r="B25"/>
      <c r="C25"/>
    </row>
    <row r="26" spans="1:10" x14ac:dyDescent="0.25">
      <c r="A26"/>
      <c r="B26"/>
      <c r="C26"/>
    </row>
    <row r="27" spans="1:10" x14ac:dyDescent="0.25">
      <c r="A27"/>
      <c r="B27"/>
      <c r="C27"/>
    </row>
    <row r="28" spans="1:10" x14ac:dyDescent="0.25">
      <c r="A28"/>
      <c r="B28"/>
      <c r="C28"/>
    </row>
    <row r="29" spans="1:10" x14ac:dyDescent="0.25">
      <c r="A29"/>
      <c r="B29"/>
      <c r="C29"/>
    </row>
    <row r="30" spans="1:10" x14ac:dyDescent="0.25">
      <c r="A30"/>
      <c r="B30"/>
      <c r="C30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4"/>
  <sheetViews>
    <sheetView workbookViewId="0">
      <selection activeCell="E30" sqref="E30"/>
    </sheetView>
  </sheetViews>
  <sheetFormatPr baseColWidth="10" defaultColWidth="11.42578125" defaultRowHeight="15" x14ac:dyDescent="0.25"/>
  <sheetData>
    <row r="1" spans="1:18" x14ac:dyDescent="0.25">
      <c r="A1" s="6" t="s">
        <v>75</v>
      </c>
      <c r="B1" s="6" t="s">
        <v>76</v>
      </c>
      <c r="E1" t="s">
        <v>77</v>
      </c>
      <c r="F1" t="s">
        <v>78</v>
      </c>
      <c r="I1" t="s">
        <v>79</v>
      </c>
      <c r="J1" t="s">
        <v>80</v>
      </c>
      <c r="R1" s="1">
        <v>50</v>
      </c>
    </row>
    <row r="2" spans="1:18" x14ac:dyDescent="0.25">
      <c r="A2" s="2" t="s">
        <v>81</v>
      </c>
      <c r="B2" t="s">
        <v>82</v>
      </c>
      <c r="E2" s="3">
        <v>90</v>
      </c>
      <c r="F2" t="s">
        <v>83</v>
      </c>
      <c r="I2" s="2" t="s">
        <v>60</v>
      </c>
      <c r="J2" t="s">
        <v>55</v>
      </c>
      <c r="R2" s="1">
        <v>37</v>
      </c>
    </row>
    <row r="3" spans="1:18" x14ac:dyDescent="0.25">
      <c r="A3" s="2" t="s">
        <v>84</v>
      </c>
      <c r="B3" t="s">
        <v>82</v>
      </c>
      <c r="E3" s="3">
        <v>95</v>
      </c>
      <c r="F3" t="s">
        <v>54</v>
      </c>
      <c r="I3" s="2" t="s">
        <v>69</v>
      </c>
      <c r="J3" t="s">
        <v>68</v>
      </c>
      <c r="R3" s="1">
        <v>0</v>
      </c>
    </row>
    <row r="4" spans="1:18" x14ac:dyDescent="0.25">
      <c r="A4" s="2" t="s">
        <v>85</v>
      </c>
      <c r="B4" t="s">
        <v>82</v>
      </c>
      <c r="E4" s="3">
        <v>97</v>
      </c>
      <c r="F4" t="s">
        <v>54</v>
      </c>
    </row>
    <row r="5" spans="1:18" x14ac:dyDescent="0.25">
      <c r="A5" s="2" t="s">
        <v>86</v>
      </c>
      <c r="B5" t="s">
        <v>82</v>
      </c>
      <c r="E5" s="3">
        <v>150</v>
      </c>
      <c r="F5" t="s">
        <v>54</v>
      </c>
    </row>
    <row r="6" spans="1:18" x14ac:dyDescent="0.25">
      <c r="A6" s="2" t="s">
        <v>87</v>
      </c>
      <c r="B6" t="s">
        <v>82</v>
      </c>
    </row>
    <row r="7" spans="1:18" x14ac:dyDescent="0.25">
      <c r="A7" s="2" t="s">
        <v>88</v>
      </c>
      <c r="B7" t="s">
        <v>82</v>
      </c>
    </row>
    <row r="8" spans="1:18" x14ac:dyDescent="0.25">
      <c r="A8" s="2" t="s">
        <v>89</v>
      </c>
      <c r="B8" t="s">
        <v>82</v>
      </c>
    </row>
    <row r="9" spans="1:18" x14ac:dyDescent="0.25">
      <c r="A9" s="2" t="s">
        <v>90</v>
      </c>
      <c r="B9" t="s">
        <v>82</v>
      </c>
    </row>
    <row r="10" spans="1:18" x14ac:dyDescent="0.25">
      <c r="A10" s="2" t="s">
        <v>91</v>
      </c>
      <c r="B10" t="s">
        <v>82</v>
      </c>
    </row>
    <row r="11" spans="1:18" x14ac:dyDescent="0.25">
      <c r="A11" s="2" t="s">
        <v>92</v>
      </c>
      <c r="B11" t="s">
        <v>82</v>
      </c>
    </row>
    <row r="12" spans="1:18" x14ac:dyDescent="0.25">
      <c r="A12" s="2" t="s">
        <v>93</v>
      </c>
      <c r="B12" t="s">
        <v>82</v>
      </c>
    </row>
    <row r="13" spans="1:18" x14ac:dyDescent="0.25">
      <c r="A13" s="2" t="s">
        <v>94</v>
      </c>
      <c r="B13" t="s">
        <v>82</v>
      </c>
    </row>
    <row r="14" spans="1:18" x14ac:dyDescent="0.25">
      <c r="A14" s="2" t="s">
        <v>95</v>
      </c>
      <c r="B14" t="s">
        <v>82</v>
      </c>
    </row>
    <row r="15" spans="1:18" x14ac:dyDescent="0.25">
      <c r="A15" s="2" t="s">
        <v>96</v>
      </c>
      <c r="B15" t="s">
        <v>82</v>
      </c>
    </row>
    <row r="16" spans="1:18" x14ac:dyDescent="0.25">
      <c r="A16" s="2" t="s">
        <v>97</v>
      </c>
      <c r="B16" t="s">
        <v>82</v>
      </c>
    </row>
    <row r="17" spans="1:2" x14ac:dyDescent="0.25">
      <c r="A17" s="2" t="s">
        <v>98</v>
      </c>
      <c r="B17" t="s">
        <v>82</v>
      </c>
    </row>
    <row r="18" spans="1:2" x14ac:dyDescent="0.25">
      <c r="A18" s="2" t="s">
        <v>99</v>
      </c>
      <c r="B18" t="s">
        <v>82</v>
      </c>
    </row>
    <row r="19" spans="1:2" x14ac:dyDescent="0.25">
      <c r="A19" s="2" t="s">
        <v>100</v>
      </c>
      <c r="B19" t="s">
        <v>82</v>
      </c>
    </row>
    <row r="20" spans="1:2" x14ac:dyDescent="0.25">
      <c r="A20" s="2" t="s">
        <v>101</v>
      </c>
      <c r="B20" t="s">
        <v>82</v>
      </c>
    </row>
    <row r="21" spans="1:2" x14ac:dyDescent="0.25">
      <c r="A21" s="2" t="s">
        <v>102</v>
      </c>
      <c r="B21" t="s">
        <v>82</v>
      </c>
    </row>
    <row r="22" spans="1:2" x14ac:dyDescent="0.25">
      <c r="A22" s="2" t="s">
        <v>103</v>
      </c>
      <c r="B22" t="s">
        <v>82</v>
      </c>
    </row>
    <row r="23" spans="1:2" x14ac:dyDescent="0.25">
      <c r="A23" s="2" t="s">
        <v>104</v>
      </c>
      <c r="B23" t="s">
        <v>82</v>
      </c>
    </row>
    <row r="24" spans="1:2" x14ac:dyDescent="0.25">
      <c r="A24" s="2" t="s">
        <v>105</v>
      </c>
      <c r="B24" t="s">
        <v>82</v>
      </c>
    </row>
    <row r="25" spans="1:2" x14ac:dyDescent="0.25">
      <c r="A25" s="2" t="s">
        <v>106</v>
      </c>
      <c r="B25" t="s">
        <v>82</v>
      </c>
    </row>
    <row r="26" spans="1:2" x14ac:dyDescent="0.25">
      <c r="A26" s="2" t="s">
        <v>107</v>
      </c>
      <c r="B26" t="s">
        <v>82</v>
      </c>
    </row>
    <row r="27" spans="1:2" x14ac:dyDescent="0.25">
      <c r="A27" s="2" t="s">
        <v>108</v>
      </c>
      <c r="B27" t="s">
        <v>82</v>
      </c>
    </row>
    <row r="28" spans="1:2" x14ac:dyDescent="0.25">
      <c r="A28" s="2" t="s">
        <v>109</v>
      </c>
      <c r="B28" t="s">
        <v>82</v>
      </c>
    </row>
    <row r="29" spans="1:2" x14ac:dyDescent="0.25">
      <c r="A29" s="2" t="s">
        <v>110</v>
      </c>
      <c r="B29" t="s">
        <v>82</v>
      </c>
    </row>
    <row r="30" spans="1:2" x14ac:dyDescent="0.25">
      <c r="A30" s="2" t="s">
        <v>111</v>
      </c>
      <c r="B30" t="s">
        <v>82</v>
      </c>
    </row>
    <row r="31" spans="1:2" x14ac:dyDescent="0.25">
      <c r="A31" s="2" t="s">
        <v>112</v>
      </c>
      <c r="B31" t="s">
        <v>82</v>
      </c>
    </row>
    <row r="32" spans="1:2" x14ac:dyDescent="0.25">
      <c r="A32" s="2" t="s">
        <v>113</v>
      </c>
      <c r="B32" t="s">
        <v>82</v>
      </c>
    </row>
    <row r="33" spans="1:2" x14ac:dyDescent="0.25">
      <c r="A33" s="2" t="s">
        <v>114</v>
      </c>
      <c r="B33" t="s">
        <v>82</v>
      </c>
    </row>
    <row r="34" spans="1:2" x14ac:dyDescent="0.25">
      <c r="A34" s="2" t="s">
        <v>115</v>
      </c>
      <c r="B3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info</vt:lpstr>
      <vt:lpstr>Tabla dinamica</vt:lpstr>
      <vt:lpstr>MATRICULAS</vt:lpstr>
      <vt:lpstr>Hoja3</vt:lpstr>
      <vt:lpstr>Entrantes admisiones</vt:lpstr>
      <vt:lpstr>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grupo quest</dc:creator>
  <cp:keywords/>
  <dc:description/>
  <cp:lastModifiedBy>grupo quest</cp:lastModifiedBy>
  <cp:revision/>
  <dcterms:created xsi:type="dcterms:W3CDTF">2024-02-07T17:43:03Z</dcterms:created>
  <dcterms:modified xsi:type="dcterms:W3CDTF">2026-06-17T14:11:21Z</dcterms:modified>
  <cp:category/>
  <cp:contentStatus/>
</cp:coreProperties>
</file>